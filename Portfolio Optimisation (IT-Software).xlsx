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Other Models\"/>
    </mc:Choice>
  </mc:AlternateContent>
  <xr:revisionPtr revIDLastSave="0" documentId="13_ncr:1_{77D7C3F9-0893-44E8-9890-0B5CEBC009B4}" xr6:coauthVersionLast="47" xr6:coauthVersionMax="47" xr10:uidLastSave="{00000000-0000-0000-0000-000000000000}"/>
  <bookViews>
    <workbookView xWindow="-108" yWindow="-108" windowWidth="23256" windowHeight="13176" activeTab="1" xr2:uid="{C2BB0191-4620-48D2-9AE3-ECC272B1FF42}"/>
  </bookViews>
  <sheets>
    <sheet name="Portfolio_optimisation" sheetId="1" r:id="rId1"/>
    <sheet name="Efficient_frontier" sheetId="2" r:id="rId2"/>
  </sheets>
  <definedNames>
    <definedName name="gold">Efficient_frontier!$S$7:$S$253</definedName>
    <definedName name="nifty50">Efficient_frontier!$Q$7:$Q$253</definedName>
    <definedName name="solver_adj" localSheetId="0" hidden="1">Portfolio_optimisation!$C$570:$C$579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Portfolio_optimisation!$C$570:$C$579</definedName>
    <definedName name="solver_lhs2" localSheetId="0" hidden="1">Portfolio_optimisation!$C$570:$C$579</definedName>
    <definedName name="solver_lhs3" localSheetId="0" hidden="1">Portfolio_optimisation!$C$581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Portfolio_optimisation!$C$582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hs1" localSheetId="0" hidden="1">Portfolio_optimisation!$G$570:$G$579</definedName>
    <definedName name="solver_rhs2" localSheetId="0" hidden="1">Portfolio_optimisation!$F$570:$F$579</definedName>
    <definedName name="solver_rhs3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49" i="1" l="1"/>
  <c r="C547" i="1"/>
  <c r="C546" i="1"/>
  <c r="C582" i="1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D581" i="1"/>
  <c r="E581" i="1" a="1"/>
  <c r="E581" i="1" s="1"/>
  <c r="C581" i="1"/>
  <c r="C273" i="1"/>
  <c r="H274" i="1" s="1"/>
  <c r="F12" i="2"/>
  <c r="F11" i="2"/>
  <c r="D12" i="2"/>
  <c r="D13" i="2" s="1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7" i="2"/>
  <c r="I581" i="1"/>
  <c r="H28" i="2"/>
  <c r="Y6" i="2"/>
  <c r="H31" i="2"/>
  <c r="Y7" i="2"/>
  <c r="E274" i="1" l="1"/>
  <c r="N274" i="1"/>
  <c r="M274" i="1"/>
  <c r="L274" i="1"/>
  <c r="I274" i="1"/>
  <c r="G274" i="1"/>
  <c r="F274" i="1"/>
  <c r="K274" i="1"/>
  <c r="J274" i="1"/>
  <c r="D14" i="2"/>
  <c r="F13" i="2"/>
  <c r="X9" i="2"/>
  <c r="W6" i="2"/>
  <c r="W7" i="2" s="1"/>
  <c r="E5" i="2" s="1"/>
  <c r="G5" i="2"/>
  <c r="X6" i="2"/>
  <c r="X7" i="2" s="1"/>
  <c r="E6" i="2" s="1"/>
  <c r="W9" i="2"/>
  <c r="E11" i="2" l="1"/>
  <c r="C11" i="2" s="1"/>
  <c r="E12" i="2"/>
  <c r="C12" i="2" s="1"/>
  <c r="E13" i="2"/>
  <c r="D15" i="2"/>
  <c r="F14" i="2"/>
  <c r="E14" i="2"/>
  <c r="C282" i="1"/>
  <c r="D282" i="1"/>
  <c r="E282" i="1"/>
  <c r="F282" i="1"/>
  <c r="G282" i="1"/>
  <c r="H282" i="1"/>
  <c r="I282" i="1"/>
  <c r="J282" i="1"/>
  <c r="K282" i="1"/>
  <c r="L282" i="1"/>
  <c r="C283" i="1"/>
  <c r="D283" i="1"/>
  <c r="E283" i="1"/>
  <c r="F283" i="1"/>
  <c r="G283" i="1"/>
  <c r="H283" i="1"/>
  <c r="I283" i="1"/>
  <c r="J283" i="1"/>
  <c r="K283" i="1"/>
  <c r="L283" i="1"/>
  <c r="C284" i="1"/>
  <c r="D284" i="1"/>
  <c r="E284" i="1"/>
  <c r="F284" i="1"/>
  <c r="G284" i="1"/>
  <c r="H284" i="1"/>
  <c r="I284" i="1"/>
  <c r="J284" i="1"/>
  <c r="K284" i="1"/>
  <c r="L284" i="1"/>
  <c r="C285" i="1"/>
  <c r="D285" i="1"/>
  <c r="E285" i="1"/>
  <c r="F285" i="1"/>
  <c r="G285" i="1"/>
  <c r="H285" i="1"/>
  <c r="I285" i="1"/>
  <c r="J285" i="1"/>
  <c r="K285" i="1"/>
  <c r="L285" i="1"/>
  <c r="C286" i="1"/>
  <c r="D286" i="1"/>
  <c r="E286" i="1"/>
  <c r="F286" i="1"/>
  <c r="G286" i="1"/>
  <c r="H286" i="1"/>
  <c r="I286" i="1"/>
  <c r="J286" i="1"/>
  <c r="K286" i="1"/>
  <c r="L286" i="1"/>
  <c r="C287" i="1"/>
  <c r="D287" i="1"/>
  <c r="E287" i="1"/>
  <c r="F287" i="1"/>
  <c r="G287" i="1"/>
  <c r="H287" i="1"/>
  <c r="I287" i="1"/>
  <c r="J287" i="1"/>
  <c r="K287" i="1"/>
  <c r="L287" i="1"/>
  <c r="C288" i="1"/>
  <c r="D288" i="1"/>
  <c r="E288" i="1"/>
  <c r="F288" i="1"/>
  <c r="G288" i="1"/>
  <c r="H288" i="1"/>
  <c r="I288" i="1"/>
  <c r="J288" i="1"/>
  <c r="K288" i="1"/>
  <c r="L288" i="1"/>
  <c r="C289" i="1"/>
  <c r="D289" i="1"/>
  <c r="E289" i="1"/>
  <c r="F289" i="1"/>
  <c r="G289" i="1"/>
  <c r="H289" i="1"/>
  <c r="I289" i="1"/>
  <c r="J289" i="1"/>
  <c r="K289" i="1"/>
  <c r="L289" i="1"/>
  <c r="C290" i="1"/>
  <c r="D290" i="1"/>
  <c r="E290" i="1"/>
  <c r="F290" i="1"/>
  <c r="G290" i="1"/>
  <c r="H290" i="1"/>
  <c r="I290" i="1"/>
  <c r="J290" i="1"/>
  <c r="K290" i="1"/>
  <c r="L290" i="1"/>
  <c r="C291" i="1"/>
  <c r="D291" i="1"/>
  <c r="E291" i="1"/>
  <c r="F291" i="1"/>
  <c r="G291" i="1"/>
  <c r="H291" i="1"/>
  <c r="I291" i="1"/>
  <c r="J291" i="1"/>
  <c r="K291" i="1"/>
  <c r="L291" i="1"/>
  <c r="C292" i="1"/>
  <c r="D292" i="1"/>
  <c r="E292" i="1"/>
  <c r="F292" i="1"/>
  <c r="G292" i="1"/>
  <c r="H292" i="1"/>
  <c r="I292" i="1"/>
  <c r="J292" i="1"/>
  <c r="K292" i="1"/>
  <c r="L292" i="1"/>
  <c r="C293" i="1"/>
  <c r="D293" i="1"/>
  <c r="E293" i="1"/>
  <c r="F293" i="1"/>
  <c r="G293" i="1"/>
  <c r="H293" i="1"/>
  <c r="I293" i="1"/>
  <c r="J293" i="1"/>
  <c r="K293" i="1"/>
  <c r="L293" i="1"/>
  <c r="C294" i="1"/>
  <c r="D294" i="1"/>
  <c r="E294" i="1"/>
  <c r="F294" i="1"/>
  <c r="G294" i="1"/>
  <c r="H294" i="1"/>
  <c r="I294" i="1"/>
  <c r="J294" i="1"/>
  <c r="K294" i="1"/>
  <c r="L294" i="1"/>
  <c r="C295" i="1"/>
  <c r="D295" i="1"/>
  <c r="E295" i="1"/>
  <c r="F295" i="1"/>
  <c r="G295" i="1"/>
  <c r="H295" i="1"/>
  <c r="I295" i="1"/>
  <c r="J295" i="1"/>
  <c r="K295" i="1"/>
  <c r="L295" i="1"/>
  <c r="C296" i="1"/>
  <c r="D296" i="1"/>
  <c r="E296" i="1"/>
  <c r="F296" i="1"/>
  <c r="G296" i="1"/>
  <c r="H296" i="1"/>
  <c r="I296" i="1"/>
  <c r="J296" i="1"/>
  <c r="K296" i="1"/>
  <c r="L296" i="1"/>
  <c r="C297" i="1"/>
  <c r="D297" i="1"/>
  <c r="E297" i="1"/>
  <c r="F297" i="1"/>
  <c r="G297" i="1"/>
  <c r="H297" i="1"/>
  <c r="I297" i="1"/>
  <c r="J297" i="1"/>
  <c r="K297" i="1"/>
  <c r="L297" i="1"/>
  <c r="C298" i="1"/>
  <c r="D298" i="1"/>
  <c r="E298" i="1"/>
  <c r="F298" i="1"/>
  <c r="G298" i="1"/>
  <c r="H298" i="1"/>
  <c r="I298" i="1"/>
  <c r="J298" i="1"/>
  <c r="K298" i="1"/>
  <c r="L298" i="1"/>
  <c r="C299" i="1"/>
  <c r="D299" i="1"/>
  <c r="E299" i="1"/>
  <c r="F299" i="1"/>
  <c r="G299" i="1"/>
  <c r="H299" i="1"/>
  <c r="I299" i="1"/>
  <c r="J299" i="1"/>
  <c r="K299" i="1"/>
  <c r="L299" i="1"/>
  <c r="C300" i="1"/>
  <c r="D300" i="1"/>
  <c r="E300" i="1"/>
  <c r="F300" i="1"/>
  <c r="G300" i="1"/>
  <c r="H300" i="1"/>
  <c r="I300" i="1"/>
  <c r="J300" i="1"/>
  <c r="K300" i="1"/>
  <c r="L300" i="1"/>
  <c r="C301" i="1"/>
  <c r="D301" i="1"/>
  <c r="E301" i="1"/>
  <c r="F301" i="1"/>
  <c r="G301" i="1"/>
  <c r="H301" i="1"/>
  <c r="I301" i="1"/>
  <c r="J301" i="1"/>
  <c r="K301" i="1"/>
  <c r="L301" i="1"/>
  <c r="C302" i="1"/>
  <c r="D302" i="1"/>
  <c r="E302" i="1"/>
  <c r="F302" i="1"/>
  <c r="G302" i="1"/>
  <c r="H302" i="1"/>
  <c r="I302" i="1"/>
  <c r="J302" i="1"/>
  <c r="K302" i="1"/>
  <c r="L302" i="1"/>
  <c r="C303" i="1"/>
  <c r="D303" i="1"/>
  <c r="E303" i="1"/>
  <c r="F303" i="1"/>
  <c r="G303" i="1"/>
  <c r="H303" i="1"/>
  <c r="I303" i="1"/>
  <c r="J303" i="1"/>
  <c r="K303" i="1"/>
  <c r="L303" i="1"/>
  <c r="C304" i="1"/>
  <c r="D304" i="1"/>
  <c r="E304" i="1"/>
  <c r="F304" i="1"/>
  <c r="G304" i="1"/>
  <c r="H304" i="1"/>
  <c r="I304" i="1"/>
  <c r="J304" i="1"/>
  <c r="K304" i="1"/>
  <c r="L304" i="1"/>
  <c r="C305" i="1"/>
  <c r="D305" i="1"/>
  <c r="E305" i="1"/>
  <c r="F305" i="1"/>
  <c r="G305" i="1"/>
  <c r="H305" i="1"/>
  <c r="I305" i="1"/>
  <c r="J305" i="1"/>
  <c r="K305" i="1"/>
  <c r="L305" i="1"/>
  <c r="C306" i="1"/>
  <c r="D306" i="1"/>
  <c r="E306" i="1"/>
  <c r="F306" i="1"/>
  <c r="G306" i="1"/>
  <c r="H306" i="1"/>
  <c r="I306" i="1"/>
  <c r="J306" i="1"/>
  <c r="K306" i="1"/>
  <c r="L306" i="1"/>
  <c r="C307" i="1"/>
  <c r="D307" i="1"/>
  <c r="E307" i="1"/>
  <c r="F307" i="1"/>
  <c r="G307" i="1"/>
  <c r="H307" i="1"/>
  <c r="I307" i="1"/>
  <c r="J307" i="1"/>
  <c r="K307" i="1"/>
  <c r="L307" i="1"/>
  <c r="C308" i="1"/>
  <c r="D308" i="1"/>
  <c r="E308" i="1"/>
  <c r="F308" i="1"/>
  <c r="G308" i="1"/>
  <c r="H308" i="1"/>
  <c r="I308" i="1"/>
  <c r="J308" i="1"/>
  <c r="K308" i="1"/>
  <c r="L308" i="1"/>
  <c r="C309" i="1"/>
  <c r="D309" i="1"/>
  <c r="E309" i="1"/>
  <c r="F309" i="1"/>
  <c r="G309" i="1"/>
  <c r="H309" i="1"/>
  <c r="I309" i="1"/>
  <c r="J309" i="1"/>
  <c r="K309" i="1"/>
  <c r="L309" i="1"/>
  <c r="C310" i="1"/>
  <c r="D310" i="1"/>
  <c r="E310" i="1"/>
  <c r="F310" i="1"/>
  <c r="G310" i="1"/>
  <c r="H310" i="1"/>
  <c r="I310" i="1"/>
  <c r="J310" i="1"/>
  <c r="K310" i="1"/>
  <c r="L310" i="1"/>
  <c r="C311" i="1"/>
  <c r="D311" i="1"/>
  <c r="E311" i="1"/>
  <c r="F311" i="1"/>
  <c r="G311" i="1"/>
  <c r="H311" i="1"/>
  <c r="I311" i="1"/>
  <c r="J311" i="1"/>
  <c r="K311" i="1"/>
  <c r="L311" i="1"/>
  <c r="C312" i="1"/>
  <c r="D312" i="1"/>
  <c r="E312" i="1"/>
  <c r="F312" i="1"/>
  <c r="G312" i="1"/>
  <c r="H312" i="1"/>
  <c r="I312" i="1"/>
  <c r="J312" i="1"/>
  <c r="K312" i="1"/>
  <c r="L312" i="1"/>
  <c r="C313" i="1"/>
  <c r="D313" i="1"/>
  <c r="E313" i="1"/>
  <c r="F313" i="1"/>
  <c r="G313" i="1"/>
  <c r="H313" i="1"/>
  <c r="I313" i="1"/>
  <c r="J313" i="1"/>
  <c r="K313" i="1"/>
  <c r="L313" i="1"/>
  <c r="C314" i="1"/>
  <c r="D314" i="1"/>
  <c r="E314" i="1"/>
  <c r="F314" i="1"/>
  <c r="G314" i="1"/>
  <c r="H314" i="1"/>
  <c r="I314" i="1"/>
  <c r="J314" i="1"/>
  <c r="K314" i="1"/>
  <c r="L314" i="1"/>
  <c r="C315" i="1"/>
  <c r="D315" i="1"/>
  <c r="E315" i="1"/>
  <c r="F315" i="1"/>
  <c r="G315" i="1"/>
  <c r="H315" i="1"/>
  <c r="I315" i="1"/>
  <c r="J315" i="1"/>
  <c r="K315" i="1"/>
  <c r="L315" i="1"/>
  <c r="C316" i="1"/>
  <c r="D316" i="1"/>
  <c r="E316" i="1"/>
  <c r="F316" i="1"/>
  <c r="G316" i="1"/>
  <c r="H316" i="1"/>
  <c r="I316" i="1"/>
  <c r="J316" i="1"/>
  <c r="K316" i="1"/>
  <c r="L316" i="1"/>
  <c r="C317" i="1"/>
  <c r="D317" i="1"/>
  <c r="E317" i="1"/>
  <c r="F317" i="1"/>
  <c r="G317" i="1"/>
  <c r="H317" i="1"/>
  <c r="I317" i="1"/>
  <c r="J317" i="1"/>
  <c r="K317" i="1"/>
  <c r="L317" i="1"/>
  <c r="C318" i="1"/>
  <c r="D318" i="1"/>
  <c r="E318" i="1"/>
  <c r="F318" i="1"/>
  <c r="G318" i="1"/>
  <c r="H318" i="1"/>
  <c r="I318" i="1"/>
  <c r="J318" i="1"/>
  <c r="K318" i="1"/>
  <c r="L318" i="1"/>
  <c r="C319" i="1"/>
  <c r="D319" i="1"/>
  <c r="E319" i="1"/>
  <c r="F319" i="1"/>
  <c r="G319" i="1"/>
  <c r="H319" i="1"/>
  <c r="I319" i="1"/>
  <c r="J319" i="1"/>
  <c r="K319" i="1"/>
  <c r="L319" i="1"/>
  <c r="C320" i="1"/>
  <c r="D320" i="1"/>
  <c r="E320" i="1"/>
  <c r="F320" i="1"/>
  <c r="G320" i="1"/>
  <c r="H320" i="1"/>
  <c r="I320" i="1"/>
  <c r="J320" i="1"/>
  <c r="K320" i="1"/>
  <c r="L320" i="1"/>
  <c r="C321" i="1"/>
  <c r="D321" i="1"/>
  <c r="E321" i="1"/>
  <c r="F321" i="1"/>
  <c r="G321" i="1"/>
  <c r="H321" i="1"/>
  <c r="I321" i="1"/>
  <c r="J321" i="1"/>
  <c r="K321" i="1"/>
  <c r="L321" i="1"/>
  <c r="C322" i="1"/>
  <c r="D322" i="1"/>
  <c r="E322" i="1"/>
  <c r="F322" i="1"/>
  <c r="G322" i="1"/>
  <c r="H322" i="1"/>
  <c r="I322" i="1"/>
  <c r="J322" i="1"/>
  <c r="K322" i="1"/>
  <c r="L322" i="1"/>
  <c r="C323" i="1"/>
  <c r="D323" i="1"/>
  <c r="E323" i="1"/>
  <c r="F323" i="1"/>
  <c r="G323" i="1"/>
  <c r="H323" i="1"/>
  <c r="I323" i="1"/>
  <c r="J323" i="1"/>
  <c r="K323" i="1"/>
  <c r="L323" i="1"/>
  <c r="C324" i="1"/>
  <c r="D324" i="1"/>
  <c r="E324" i="1"/>
  <c r="F324" i="1"/>
  <c r="G324" i="1"/>
  <c r="H324" i="1"/>
  <c r="I324" i="1"/>
  <c r="J324" i="1"/>
  <c r="K324" i="1"/>
  <c r="L324" i="1"/>
  <c r="C325" i="1"/>
  <c r="D325" i="1"/>
  <c r="E325" i="1"/>
  <c r="F325" i="1"/>
  <c r="G325" i="1"/>
  <c r="H325" i="1"/>
  <c r="I325" i="1"/>
  <c r="J325" i="1"/>
  <c r="K325" i="1"/>
  <c r="L325" i="1"/>
  <c r="C326" i="1"/>
  <c r="D326" i="1"/>
  <c r="E326" i="1"/>
  <c r="F326" i="1"/>
  <c r="G326" i="1"/>
  <c r="H326" i="1"/>
  <c r="I326" i="1"/>
  <c r="J326" i="1"/>
  <c r="K326" i="1"/>
  <c r="L326" i="1"/>
  <c r="C327" i="1"/>
  <c r="D327" i="1"/>
  <c r="E327" i="1"/>
  <c r="F327" i="1"/>
  <c r="G327" i="1"/>
  <c r="H327" i="1"/>
  <c r="I327" i="1"/>
  <c r="J327" i="1"/>
  <c r="K327" i="1"/>
  <c r="L327" i="1"/>
  <c r="C328" i="1"/>
  <c r="D328" i="1"/>
  <c r="E328" i="1"/>
  <c r="F328" i="1"/>
  <c r="G328" i="1"/>
  <c r="H328" i="1"/>
  <c r="I328" i="1"/>
  <c r="J328" i="1"/>
  <c r="K328" i="1"/>
  <c r="L328" i="1"/>
  <c r="C329" i="1"/>
  <c r="D329" i="1"/>
  <c r="E329" i="1"/>
  <c r="F329" i="1"/>
  <c r="G329" i="1"/>
  <c r="H329" i="1"/>
  <c r="I329" i="1"/>
  <c r="J329" i="1"/>
  <c r="K329" i="1"/>
  <c r="L329" i="1"/>
  <c r="C330" i="1"/>
  <c r="D330" i="1"/>
  <c r="E330" i="1"/>
  <c r="F330" i="1"/>
  <c r="G330" i="1"/>
  <c r="H330" i="1"/>
  <c r="I330" i="1"/>
  <c r="J330" i="1"/>
  <c r="K330" i="1"/>
  <c r="L330" i="1"/>
  <c r="C331" i="1"/>
  <c r="D331" i="1"/>
  <c r="E331" i="1"/>
  <c r="F331" i="1"/>
  <c r="G331" i="1"/>
  <c r="H331" i="1"/>
  <c r="I331" i="1"/>
  <c r="J331" i="1"/>
  <c r="K331" i="1"/>
  <c r="L331" i="1"/>
  <c r="C332" i="1"/>
  <c r="D332" i="1"/>
  <c r="E332" i="1"/>
  <c r="F332" i="1"/>
  <c r="G332" i="1"/>
  <c r="H332" i="1"/>
  <c r="I332" i="1"/>
  <c r="J332" i="1"/>
  <c r="K332" i="1"/>
  <c r="L332" i="1"/>
  <c r="C333" i="1"/>
  <c r="D333" i="1"/>
  <c r="E333" i="1"/>
  <c r="F333" i="1"/>
  <c r="G333" i="1"/>
  <c r="H333" i="1"/>
  <c r="I333" i="1"/>
  <c r="J333" i="1"/>
  <c r="K333" i="1"/>
  <c r="L333" i="1"/>
  <c r="C334" i="1"/>
  <c r="D334" i="1"/>
  <c r="E334" i="1"/>
  <c r="F334" i="1"/>
  <c r="G334" i="1"/>
  <c r="H334" i="1"/>
  <c r="I334" i="1"/>
  <c r="J334" i="1"/>
  <c r="K334" i="1"/>
  <c r="L334" i="1"/>
  <c r="C335" i="1"/>
  <c r="D335" i="1"/>
  <c r="E335" i="1"/>
  <c r="F335" i="1"/>
  <c r="G335" i="1"/>
  <c r="H335" i="1"/>
  <c r="I335" i="1"/>
  <c r="J335" i="1"/>
  <c r="K335" i="1"/>
  <c r="L335" i="1"/>
  <c r="C336" i="1"/>
  <c r="D336" i="1"/>
  <c r="E336" i="1"/>
  <c r="F336" i="1"/>
  <c r="G336" i="1"/>
  <c r="H336" i="1"/>
  <c r="I336" i="1"/>
  <c r="J336" i="1"/>
  <c r="K336" i="1"/>
  <c r="L336" i="1"/>
  <c r="C337" i="1"/>
  <c r="D337" i="1"/>
  <c r="E337" i="1"/>
  <c r="F337" i="1"/>
  <c r="G337" i="1"/>
  <c r="H337" i="1"/>
  <c r="I337" i="1"/>
  <c r="J337" i="1"/>
  <c r="K337" i="1"/>
  <c r="L337" i="1"/>
  <c r="C338" i="1"/>
  <c r="D338" i="1"/>
  <c r="E338" i="1"/>
  <c r="F338" i="1"/>
  <c r="G338" i="1"/>
  <c r="H338" i="1"/>
  <c r="I338" i="1"/>
  <c r="J338" i="1"/>
  <c r="K338" i="1"/>
  <c r="L338" i="1"/>
  <c r="C339" i="1"/>
  <c r="D339" i="1"/>
  <c r="E339" i="1"/>
  <c r="F339" i="1"/>
  <c r="G339" i="1"/>
  <c r="H339" i="1"/>
  <c r="I339" i="1"/>
  <c r="J339" i="1"/>
  <c r="K339" i="1"/>
  <c r="L339" i="1"/>
  <c r="C340" i="1"/>
  <c r="D340" i="1"/>
  <c r="E340" i="1"/>
  <c r="F340" i="1"/>
  <c r="G340" i="1"/>
  <c r="H340" i="1"/>
  <c r="I340" i="1"/>
  <c r="J340" i="1"/>
  <c r="K340" i="1"/>
  <c r="L340" i="1"/>
  <c r="C341" i="1"/>
  <c r="D341" i="1"/>
  <c r="E341" i="1"/>
  <c r="F341" i="1"/>
  <c r="G341" i="1"/>
  <c r="H341" i="1"/>
  <c r="I341" i="1"/>
  <c r="J341" i="1"/>
  <c r="K341" i="1"/>
  <c r="L341" i="1"/>
  <c r="C342" i="1"/>
  <c r="D342" i="1"/>
  <c r="E342" i="1"/>
  <c r="F342" i="1"/>
  <c r="G342" i="1"/>
  <c r="H342" i="1"/>
  <c r="I342" i="1"/>
  <c r="J342" i="1"/>
  <c r="K342" i="1"/>
  <c r="L342" i="1"/>
  <c r="C343" i="1"/>
  <c r="D343" i="1"/>
  <c r="E343" i="1"/>
  <c r="F343" i="1"/>
  <c r="G343" i="1"/>
  <c r="H343" i="1"/>
  <c r="I343" i="1"/>
  <c r="J343" i="1"/>
  <c r="K343" i="1"/>
  <c r="L343" i="1"/>
  <c r="C344" i="1"/>
  <c r="D344" i="1"/>
  <c r="E344" i="1"/>
  <c r="F344" i="1"/>
  <c r="G344" i="1"/>
  <c r="H344" i="1"/>
  <c r="I344" i="1"/>
  <c r="J344" i="1"/>
  <c r="K344" i="1"/>
  <c r="L344" i="1"/>
  <c r="C345" i="1"/>
  <c r="D345" i="1"/>
  <c r="E345" i="1"/>
  <c r="F345" i="1"/>
  <c r="G345" i="1"/>
  <c r="H345" i="1"/>
  <c r="I345" i="1"/>
  <c r="J345" i="1"/>
  <c r="K345" i="1"/>
  <c r="L345" i="1"/>
  <c r="C346" i="1"/>
  <c r="D346" i="1"/>
  <c r="E346" i="1"/>
  <c r="F346" i="1"/>
  <c r="G346" i="1"/>
  <c r="H346" i="1"/>
  <c r="I346" i="1"/>
  <c r="J346" i="1"/>
  <c r="K346" i="1"/>
  <c r="L346" i="1"/>
  <c r="C347" i="1"/>
  <c r="D347" i="1"/>
  <c r="E347" i="1"/>
  <c r="F347" i="1"/>
  <c r="G347" i="1"/>
  <c r="H347" i="1"/>
  <c r="I347" i="1"/>
  <c r="J347" i="1"/>
  <c r="K347" i="1"/>
  <c r="L347" i="1"/>
  <c r="C348" i="1"/>
  <c r="D348" i="1"/>
  <c r="E348" i="1"/>
  <c r="F348" i="1"/>
  <c r="G348" i="1"/>
  <c r="H348" i="1"/>
  <c r="I348" i="1"/>
  <c r="J348" i="1"/>
  <c r="K348" i="1"/>
  <c r="L348" i="1"/>
  <c r="C349" i="1"/>
  <c r="D349" i="1"/>
  <c r="E349" i="1"/>
  <c r="F349" i="1"/>
  <c r="G349" i="1"/>
  <c r="H349" i="1"/>
  <c r="I349" i="1"/>
  <c r="J349" i="1"/>
  <c r="K349" i="1"/>
  <c r="L349" i="1"/>
  <c r="C350" i="1"/>
  <c r="D350" i="1"/>
  <c r="E350" i="1"/>
  <c r="F350" i="1"/>
  <c r="G350" i="1"/>
  <c r="H350" i="1"/>
  <c r="I350" i="1"/>
  <c r="J350" i="1"/>
  <c r="K350" i="1"/>
  <c r="L350" i="1"/>
  <c r="C351" i="1"/>
  <c r="D351" i="1"/>
  <c r="E351" i="1"/>
  <c r="F351" i="1"/>
  <c r="G351" i="1"/>
  <c r="H351" i="1"/>
  <c r="I351" i="1"/>
  <c r="J351" i="1"/>
  <c r="K351" i="1"/>
  <c r="L351" i="1"/>
  <c r="C352" i="1"/>
  <c r="D352" i="1"/>
  <c r="E352" i="1"/>
  <c r="F352" i="1"/>
  <c r="G352" i="1"/>
  <c r="H352" i="1"/>
  <c r="I352" i="1"/>
  <c r="J352" i="1"/>
  <c r="K352" i="1"/>
  <c r="L352" i="1"/>
  <c r="C353" i="1"/>
  <c r="D353" i="1"/>
  <c r="E353" i="1"/>
  <c r="F353" i="1"/>
  <c r="G353" i="1"/>
  <c r="H353" i="1"/>
  <c r="I353" i="1"/>
  <c r="J353" i="1"/>
  <c r="K353" i="1"/>
  <c r="L353" i="1"/>
  <c r="C354" i="1"/>
  <c r="D354" i="1"/>
  <c r="E354" i="1"/>
  <c r="F354" i="1"/>
  <c r="G354" i="1"/>
  <c r="H354" i="1"/>
  <c r="I354" i="1"/>
  <c r="J354" i="1"/>
  <c r="K354" i="1"/>
  <c r="L354" i="1"/>
  <c r="C355" i="1"/>
  <c r="D355" i="1"/>
  <c r="E355" i="1"/>
  <c r="F355" i="1"/>
  <c r="G355" i="1"/>
  <c r="H355" i="1"/>
  <c r="I355" i="1"/>
  <c r="J355" i="1"/>
  <c r="K355" i="1"/>
  <c r="L355" i="1"/>
  <c r="C356" i="1"/>
  <c r="D356" i="1"/>
  <c r="E356" i="1"/>
  <c r="F356" i="1"/>
  <c r="G356" i="1"/>
  <c r="H356" i="1"/>
  <c r="I356" i="1"/>
  <c r="J356" i="1"/>
  <c r="K356" i="1"/>
  <c r="L356" i="1"/>
  <c r="C357" i="1"/>
  <c r="D357" i="1"/>
  <c r="E357" i="1"/>
  <c r="F357" i="1"/>
  <c r="G357" i="1"/>
  <c r="H357" i="1"/>
  <c r="I357" i="1"/>
  <c r="J357" i="1"/>
  <c r="K357" i="1"/>
  <c r="L357" i="1"/>
  <c r="C358" i="1"/>
  <c r="D358" i="1"/>
  <c r="E358" i="1"/>
  <c r="F358" i="1"/>
  <c r="G358" i="1"/>
  <c r="H358" i="1"/>
  <c r="I358" i="1"/>
  <c r="J358" i="1"/>
  <c r="K358" i="1"/>
  <c r="L358" i="1"/>
  <c r="C359" i="1"/>
  <c r="D359" i="1"/>
  <c r="E359" i="1"/>
  <c r="F359" i="1"/>
  <c r="G359" i="1"/>
  <c r="H359" i="1"/>
  <c r="I359" i="1"/>
  <c r="J359" i="1"/>
  <c r="K359" i="1"/>
  <c r="L359" i="1"/>
  <c r="C360" i="1"/>
  <c r="D360" i="1"/>
  <c r="E360" i="1"/>
  <c r="F360" i="1"/>
  <c r="G360" i="1"/>
  <c r="H360" i="1"/>
  <c r="I360" i="1"/>
  <c r="J360" i="1"/>
  <c r="K360" i="1"/>
  <c r="L360" i="1"/>
  <c r="C361" i="1"/>
  <c r="D361" i="1"/>
  <c r="E361" i="1"/>
  <c r="F361" i="1"/>
  <c r="G361" i="1"/>
  <c r="H361" i="1"/>
  <c r="I361" i="1"/>
  <c r="J361" i="1"/>
  <c r="K361" i="1"/>
  <c r="L361" i="1"/>
  <c r="C362" i="1"/>
  <c r="D362" i="1"/>
  <c r="E362" i="1"/>
  <c r="F362" i="1"/>
  <c r="G362" i="1"/>
  <c r="H362" i="1"/>
  <c r="I362" i="1"/>
  <c r="J362" i="1"/>
  <c r="K362" i="1"/>
  <c r="L362" i="1"/>
  <c r="C363" i="1"/>
  <c r="D363" i="1"/>
  <c r="E363" i="1"/>
  <c r="F363" i="1"/>
  <c r="G363" i="1"/>
  <c r="H363" i="1"/>
  <c r="I363" i="1"/>
  <c r="J363" i="1"/>
  <c r="K363" i="1"/>
  <c r="L363" i="1"/>
  <c r="C364" i="1"/>
  <c r="D364" i="1"/>
  <c r="E364" i="1"/>
  <c r="F364" i="1"/>
  <c r="G364" i="1"/>
  <c r="H364" i="1"/>
  <c r="I364" i="1"/>
  <c r="J364" i="1"/>
  <c r="K364" i="1"/>
  <c r="L364" i="1"/>
  <c r="C365" i="1"/>
  <c r="D365" i="1"/>
  <c r="E365" i="1"/>
  <c r="F365" i="1"/>
  <c r="G365" i="1"/>
  <c r="H365" i="1"/>
  <c r="I365" i="1"/>
  <c r="J365" i="1"/>
  <c r="K365" i="1"/>
  <c r="L365" i="1"/>
  <c r="C366" i="1"/>
  <c r="D366" i="1"/>
  <c r="E366" i="1"/>
  <c r="F366" i="1"/>
  <c r="G366" i="1"/>
  <c r="H366" i="1"/>
  <c r="I366" i="1"/>
  <c r="J366" i="1"/>
  <c r="K366" i="1"/>
  <c r="L366" i="1"/>
  <c r="C367" i="1"/>
  <c r="D367" i="1"/>
  <c r="E367" i="1"/>
  <c r="F367" i="1"/>
  <c r="G367" i="1"/>
  <c r="H367" i="1"/>
  <c r="I367" i="1"/>
  <c r="J367" i="1"/>
  <c r="K367" i="1"/>
  <c r="L367" i="1"/>
  <c r="C368" i="1"/>
  <c r="D368" i="1"/>
  <c r="E368" i="1"/>
  <c r="F368" i="1"/>
  <c r="G368" i="1"/>
  <c r="H368" i="1"/>
  <c r="I368" i="1"/>
  <c r="J368" i="1"/>
  <c r="K368" i="1"/>
  <c r="L368" i="1"/>
  <c r="C369" i="1"/>
  <c r="D369" i="1"/>
  <c r="E369" i="1"/>
  <c r="F369" i="1"/>
  <c r="G369" i="1"/>
  <c r="H369" i="1"/>
  <c r="I369" i="1"/>
  <c r="J369" i="1"/>
  <c r="K369" i="1"/>
  <c r="L369" i="1"/>
  <c r="C370" i="1"/>
  <c r="D370" i="1"/>
  <c r="E370" i="1"/>
  <c r="F370" i="1"/>
  <c r="G370" i="1"/>
  <c r="H370" i="1"/>
  <c r="I370" i="1"/>
  <c r="J370" i="1"/>
  <c r="K370" i="1"/>
  <c r="L370" i="1"/>
  <c r="C371" i="1"/>
  <c r="D371" i="1"/>
  <c r="E371" i="1"/>
  <c r="F371" i="1"/>
  <c r="G371" i="1"/>
  <c r="H371" i="1"/>
  <c r="I371" i="1"/>
  <c r="J371" i="1"/>
  <c r="K371" i="1"/>
  <c r="L371" i="1"/>
  <c r="C372" i="1"/>
  <c r="D372" i="1"/>
  <c r="E372" i="1"/>
  <c r="F372" i="1"/>
  <c r="G372" i="1"/>
  <c r="H372" i="1"/>
  <c r="I372" i="1"/>
  <c r="J372" i="1"/>
  <c r="K372" i="1"/>
  <c r="L372" i="1"/>
  <c r="C373" i="1"/>
  <c r="D373" i="1"/>
  <c r="E373" i="1"/>
  <c r="F373" i="1"/>
  <c r="G373" i="1"/>
  <c r="H373" i="1"/>
  <c r="I373" i="1"/>
  <c r="J373" i="1"/>
  <c r="K373" i="1"/>
  <c r="L373" i="1"/>
  <c r="C374" i="1"/>
  <c r="D374" i="1"/>
  <c r="E374" i="1"/>
  <c r="F374" i="1"/>
  <c r="G374" i="1"/>
  <c r="H374" i="1"/>
  <c r="I374" i="1"/>
  <c r="J374" i="1"/>
  <c r="K374" i="1"/>
  <c r="L374" i="1"/>
  <c r="C375" i="1"/>
  <c r="D375" i="1"/>
  <c r="E375" i="1"/>
  <c r="F375" i="1"/>
  <c r="G375" i="1"/>
  <c r="H375" i="1"/>
  <c r="I375" i="1"/>
  <c r="J375" i="1"/>
  <c r="K375" i="1"/>
  <c r="L375" i="1"/>
  <c r="C376" i="1"/>
  <c r="D376" i="1"/>
  <c r="E376" i="1"/>
  <c r="F376" i="1"/>
  <c r="G376" i="1"/>
  <c r="H376" i="1"/>
  <c r="I376" i="1"/>
  <c r="J376" i="1"/>
  <c r="K376" i="1"/>
  <c r="L376" i="1"/>
  <c r="C377" i="1"/>
  <c r="D377" i="1"/>
  <c r="E377" i="1"/>
  <c r="F377" i="1"/>
  <c r="G377" i="1"/>
  <c r="H377" i="1"/>
  <c r="I377" i="1"/>
  <c r="J377" i="1"/>
  <c r="K377" i="1"/>
  <c r="L377" i="1"/>
  <c r="C378" i="1"/>
  <c r="D378" i="1"/>
  <c r="E378" i="1"/>
  <c r="F378" i="1"/>
  <c r="G378" i="1"/>
  <c r="H378" i="1"/>
  <c r="I378" i="1"/>
  <c r="J378" i="1"/>
  <c r="K378" i="1"/>
  <c r="L378" i="1"/>
  <c r="C379" i="1"/>
  <c r="D379" i="1"/>
  <c r="E379" i="1"/>
  <c r="F379" i="1"/>
  <c r="G379" i="1"/>
  <c r="H379" i="1"/>
  <c r="I379" i="1"/>
  <c r="J379" i="1"/>
  <c r="K379" i="1"/>
  <c r="L379" i="1"/>
  <c r="C380" i="1"/>
  <c r="D380" i="1"/>
  <c r="E380" i="1"/>
  <c r="F380" i="1"/>
  <c r="G380" i="1"/>
  <c r="H380" i="1"/>
  <c r="I380" i="1"/>
  <c r="J380" i="1"/>
  <c r="K380" i="1"/>
  <c r="L380" i="1"/>
  <c r="C381" i="1"/>
  <c r="D381" i="1"/>
  <c r="E381" i="1"/>
  <c r="F381" i="1"/>
  <c r="G381" i="1"/>
  <c r="H381" i="1"/>
  <c r="I381" i="1"/>
  <c r="J381" i="1"/>
  <c r="K381" i="1"/>
  <c r="L381" i="1"/>
  <c r="C382" i="1"/>
  <c r="D382" i="1"/>
  <c r="E382" i="1"/>
  <c r="F382" i="1"/>
  <c r="G382" i="1"/>
  <c r="H382" i="1"/>
  <c r="I382" i="1"/>
  <c r="J382" i="1"/>
  <c r="K382" i="1"/>
  <c r="L382" i="1"/>
  <c r="C383" i="1"/>
  <c r="D383" i="1"/>
  <c r="E383" i="1"/>
  <c r="F383" i="1"/>
  <c r="G383" i="1"/>
  <c r="H383" i="1"/>
  <c r="I383" i="1"/>
  <c r="J383" i="1"/>
  <c r="K383" i="1"/>
  <c r="L383" i="1"/>
  <c r="C384" i="1"/>
  <c r="D384" i="1"/>
  <c r="E384" i="1"/>
  <c r="F384" i="1"/>
  <c r="G384" i="1"/>
  <c r="H384" i="1"/>
  <c r="I384" i="1"/>
  <c r="J384" i="1"/>
  <c r="K384" i="1"/>
  <c r="L384" i="1"/>
  <c r="C385" i="1"/>
  <c r="D385" i="1"/>
  <c r="E385" i="1"/>
  <c r="F385" i="1"/>
  <c r="G385" i="1"/>
  <c r="H385" i="1"/>
  <c r="I385" i="1"/>
  <c r="J385" i="1"/>
  <c r="K385" i="1"/>
  <c r="L385" i="1"/>
  <c r="C386" i="1"/>
  <c r="D386" i="1"/>
  <c r="E386" i="1"/>
  <c r="F386" i="1"/>
  <c r="G386" i="1"/>
  <c r="H386" i="1"/>
  <c r="I386" i="1"/>
  <c r="J386" i="1"/>
  <c r="K386" i="1"/>
  <c r="L386" i="1"/>
  <c r="C387" i="1"/>
  <c r="D387" i="1"/>
  <c r="E387" i="1"/>
  <c r="F387" i="1"/>
  <c r="G387" i="1"/>
  <c r="H387" i="1"/>
  <c r="I387" i="1"/>
  <c r="J387" i="1"/>
  <c r="K387" i="1"/>
  <c r="L387" i="1"/>
  <c r="C388" i="1"/>
  <c r="D388" i="1"/>
  <c r="E388" i="1"/>
  <c r="F388" i="1"/>
  <c r="G388" i="1"/>
  <c r="H388" i="1"/>
  <c r="I388" i="1"/>
  <c r="J388" i="1"/>
  <c r="K388" i="1"/>
  <c r="L388" i="1"/>
  <c r="C389" i="1"/>
  <c r="D389" i="1"/>
  <c r="E389" i="1"/>
  <c r="F389" i="1"/>
  <c r="G389" i="1"/>
  <c r="H389" i="1"/>
  <c r="I389" i="1"/>
  <c r="J389" i="1"/>
  <c r="K389" i="1"/>
  <c r="L389" i="1"/>
  <c r="C390" i="1"/>
  <c r="D390" i="1"/>
  <c r="E390" i="1"/>
  <c r="F390" i="1"/>
  <c r="G390" i="1"/>
  <c r="H390" i="1"/>
  <c r="I390" i="1"/>
  <c r="J390" i="1"/>
  <c r="K390" i="1"/>
  <c r="L390" i="1"/>
  <c r="C391" i="1"/>
  <c r="D391" i="1"/>
  <c r="E391" i="1"/>
  <c r="F391" i="1"/>
  <c r="G391" i="1"/>
  <c r="H391" i="1"/>
  <c r="I391" i="1"/>
  <c r="J391" i="1"/>
  <c r="K391" i="1"/>
  <c r="L391" i="1"/>
  <c r="C392" i="1"/>
  <c r="D392" i="1"/>
  <c r="E392" i="1"/>
  <c r="F392" i="1"/>
  <c r="G392" i="1"/>
  <c r="H392" i="1"/>
  <c r="I392" i="1"/>
  <c r="J392" i="1"/>
  <c r="K392" i="1"/>
  <c r="L392" i="1"/>
  <c r="C393" i="1"/>
  <c r="D393" i="1"/>
  <c r="E393" i="1"/>
  <c r="F393" i="1"/>
  <c r="G393" i="1"/>
  <c r="H393" i="1"/>
  <c r="I393" i="1"/>
  <c r="J393" i="1"/>
  <c r="K393" i="1"/>
  <c r="L393" i="1"/>
  <c r="C394" i="1"/>
  <c r="D394" i="1"/>
  <c r="E394" i="1"/>
  <c r="F394" i="1"/>
  <c r="G394" i="1"/>
  <c r="H394" i="1"/>
  <c r="I394" i="1"/>
  <c r="J394" i="1"/>
  <c r="K394" i="1"/>
  <c r="L394" i="1"/>
  <c r="C395" i="1"/>
  <c r="D395" i="1"/>
  <c r="E395" i="1"/>
  <c r="F395" i="1"/>
  <c r="G395" i="1"/>
  <c r="H395" i="1"/>
  <c r="I395" i="1"/>
  <c r="J395" i="1"/>
  <c r="K395" i="1"/>
  <c r="L395" i="1"/>
  <c r="C396" i="1"/>
  <c r="D396" i="1"/>
  <c r="E396" i="1"/>
  <c r="F396" i="1"/>
  <c r="G396" i="1"/>
  <c r="H396" i="1"/>
  <c r="I396" i="1"/>
  <c r="J396" i="1"/>
  <c r="K396" i="1"/>
  <c r="L396" i="1"/>
  <c r="C397" i="1"/>
  <c r="D397" i="1"/>
  <c r="E397" i="1"/>
  <c r="F397" i="1"/>
  <c r="G397" i="1"/>
  <c r="H397" i="1"/>
  <c r="I397" i="1"/>
  <c r="J397" i="1"/>
  <c r="K397" i="1"/>
  <c r="L397" i="1"/>
  <c r="C398" i="1"/>
  <c r="D398" i="1"/>
  <c r="E398" i="1"/>
  <c r="F398" i="1"/>
  <c r="G398" i="1"/>
  <c r="H398" i="1"/>
  <c r="I398" i="1"/>
  <c r="J398" i="1"/>
  <c r="K398" i="1"/>
  <c r="L398" i="1"/>
  <c r="C399" i="1"/>
  <c r="D399" i="1"/>
  <c r="E399" i="1"/>
  <c r="F399" i="1"/>
  <c r="G399" i="1"/>
  <c r="H399" i="1"/>
  <c r="I399" i="1"/>
  <c r="J399" i="1"/>
  <c r="K399" i="1"/>
  <c r="L399" i="1"/>
  <c r="C400" i="1"/>
  <c r="D400" i="1"/>
  <c r="E400" i="1"/>
  <c r="F400" i="1"/>
  <c r="G400" i="1"/>
  <c r="H400" i="1"/>
  <c r="I400" i="1"/>
  <c r="J400" i="1"/>
  <c r="K400" i="1"/>
  <c r="L400" i="1"/>
  <c r="C401" i="1"/>
  <c r="D401" i="1"/>
  <c r="E401" i="1"/>
  <c r="F401" i="1"/>
  <c r="G401" i="1"/>
  <c r="H401" i="1"/>
  <c r="I401" i="1"/>
  <c r="J401" i="1"/>
  <c r="K401" i="1"/>
  <c r="L401" i="1"/>
  <c r="C402" i="1"/>
  <c r="D402" i="1"/>
  <c r="E402" i="1"/>
  <c r="F402" i="1"/>
  <c r="G402" i="1"/>
  <c r="H402" i="1"/>
  <c r="I402" i="1"/>
  <c r="J402" i="1"/>
  <c r="K402" i="1"/>
  <c r="L402" i="1"/>
  <c r="C403" i="1"/>
  <c r="D403" i="1"/>
  <c r="E403" i="1"/>
  <c r="F403" i="1"/>
  <c r="G403" i="1"/>
  <c r="H403" i="1"/>
  <c r="I403" i="1"/>
  <c r="J403" i="1"/>
  <c r="K403" i="1"/>
  <c r="L403" i="1"/>
  <c r="C404" i="1"/>
  <c r="D404" i="1"/>
  <c r="E404" i="1"/>
  <c r="F404" i="1"/>
  <c r="G404" i="1"/>
  <c r="H404" i="1"/>
  <c r="I404" i="1"/>
  <c r="J404" i="1"/>
  <c r="K404" i="1"/>
  <c r="L404" i="1"/>
  <c r="C405" i="1"/>
  <c r="D405" i="1"/>
  <c r="E405" i="1"/>
  <c r="F405" i="1"/>
  <c r="G405" i="1"/>
  <c r="H405" i="1"/>
  <c r="I405" i="1"/>
  <c r="J405" i="1"/>
  <c r="K405" i="1"/>
  <c r="L405" i="1"/>
  <c r="C406" i="1"/>
  <c r="D406" i="1"/>
  <c r="E406" i="1"/>
  <c r="F406" i="1"/>
  <c r="G406" i="1"/>
  <c r="H406" i="1"/>
  <c r="I406" i="1"/>
  <c r="J406" i="1"/>
  <c r="K406" i="1"/>
  <c r="L406" i="1"/>
  <c r="C407" i="1"/>
  <c r="D407" i="1"/>
  <c r="E407" i="1"/>
  <c r="F407" i="1"/>
  <c r="G407" i="1"/>
  <c r="H407" i="1"/>
  <c r="I407" i="1"/>
  <c r="J407" i="1"/>
  <c r="K407" i="1"/>
  <c r="L407" i="1"/>
  <c r="C408" i="1"/>
  <c r="D408" i="1"/>
  <c r="E408" i="1"/>
  <c r="F408" i="1"/>
  <c r="G408" i="1"/>
  <c r="H408" i="1"/>
  <c r="I408" i="1"/>
  <c r="J408" i="1"/>
  <c r="K408" i="1"/>
  <c r="L408" i="1"/>
  <c r="C409" i="1"/>
  <c r="D409" i="1"/>
  <c r="E409" i="1"/>
  <c r="F409" i="1"/>
  <c r="G409" i="1"/>
  <c r="H409" i="1"/>
  <c r="I409" i="1"/>
  <c r="J409" i="1"/>
  <c r="K409" i="1"/>
  <c r="L409" i="1"/>
  <c r="C410" i="1"/>
  <c r="D410" i="1"/>
  <c r="E410" i="1"/>
  <c r="F410" i="1"/>
  <c r="G410" i="1"/>
  <c r="H410" i="1"/>
  <c r="I410" i="1"/>
  <c r="J410" i="1"/>
  <c r="K410" i="1"/>
  <c r="L410" i="1"/>
  <c r="C411" i="1"/>
  <c r="D411" i="1"/>
  <c r="E411" i="1"/>
  <c r="F411" i="1"/>
  <c r="G411" i="1"/>
  <c r="H411" i="1"/>
  <c r="I411" i="1"/>
  <c r="J411" i="1"/>
  <c r="K411" i="1"/>
  <c r="L411" i="1"/>
  <c r="C412" i="1"/>
  <c r="D412" i="1"/>
  <c r="E412" i="1"/>
  <c r="F412" i="1"/>
  <c r="G412" i="1"/>
  <c r="H412" i="1"/>
  <c r="I412" i="1"/>
  <c r="J412" i="1"/>
  <c r="K412" i="1"/>
  <c r="L412" i="1"/>
  <c r="C413" i="1"/>
  <c r="D413" i="1"/>
  <c r="E413" i="1"/>
  <c r="F413" i="1"/>
  <c r="G413" i="1"/>
  <c r="H413" i="1"/>
  <c r="I413" i="1"/>
  <c r="J413" i="1"/>
  <c r="K413" i="1"/>
  <c r="L413" i="1"/>
  <c r="C414" i="1"/>
  <c r="D414" i="1"/>
  <c r="E414" i="1"/>
  <c r="F414" i="1"/>
  <c r="G414" i="1"/>
  <c r="H414" i="1"/>
  <c r="I414" i="1"/>
  <c r="J414" i="1"/>
  <c r="K414" i="1"/>
  <c r="L414" i="1"/>
  <c r="C415" i="1"/>
  <c r="D415" i="1"/>
  <c r="E415" i="1"/>
  <c r="F415" i="1"/>
  <c r="G415" i="1"/>
  <c r="H415" i="1"/>
  <c r="I415" i="1"/>
  <c r="J415" i="1"/>
  <c r="K415" i="1"/>
  <c r="L415" i="1"/>
  <c r="C416" i="1"/>
  <c r="D416" i="1"/>
  <c r="E416" i="1"/>
  <c r="F416" i="1"/>
  <c r="G416" i="1"/>
  <c r="H416" i="1"/>
  <c r="I416" i="1"/>
  <c r="J416" i="1"/>
  <c r="K416" i="1"/>
  <c r="L416" i="1"/>
  <c r="C417" i="1"/>
  <c r="D417" i="1"/>
  <c r="E417" i="1"/>
  <c r="F417" i="1"/>
  <c r="G417" i="1"/>
  <c r="H417" i="1"/>
  <c r="I417" i="1"/>
  <c r="J417" i="1"/>
  <c r="K417" i="1"/>
  <c r="L417" i="1"/>
  <c r="C418" i="1"/>
  <c r="D418" i="1"/>
  <c r="E418" i="1"/>
  <c r="F418" i="1"/>
  <c r="G418" i="1"/>
  <c r="H418" i="1"/>
  <c r="I418" i="1"/>
  <c r="J418" i="1"/>
  <c r="K418" i="1"/>
  <c r="L418" i="1"/>
  <c r="C419" i="1"/>
  <c r="D419" i="1"/>
  <c r="E419" i="1"/>
  <c r="F419" i="1"/>
  <c r="G419" i="1"/>
  <c r="H419" i="1"/>
  <c r="I419" i="1"/>
  <c r="J419" i="1"/>
  <c r="K419" i="1"/>
  <c r="L419" i="1"/>
  <c r="C420" i="1"/>
  <c r="D420" i="1"/>
  <c r="E420" i="1"/>
  <c r="F420" i="1"/>
  <c r="G420" i="1"/>
  <c r="H420" i="1"/>
  <c r="I420" i="1"/>
  <c r="J420" i="1"/>
  <c r="K420" i="1"/>
  <c r="L420" i="1"/>
  <c r="C421" i="1"/>
  <c r="D421" i="1"/>
  <c r="E421" i="1"/>
  <c r="F421" i="1"/>
  <c r="G421" i="1"/>
  <c r="H421" i="1"/>
  <c r="I421" i="1"/>
  <c r="J421" i="1"/>
  <c r="K421" i="1"/>
  <c r="L421" i="1"/>
  <c r="C422" i="1"/>
  <c r="D422" i="1"/>
  <c r="E422" i="1"/>
  <c r="F422" i="1"/>
  <c r="G422" i="1"/>
  <c r="H422" i="1"/>
  <c r="I422" i="1"/>
  <c r="J422" i="1"/>
  <c r="K422" i="1"/>
  <c r="L422" i="1"/>
  <c r="C423" i="1"/>
  <c r="D423" i="1"/>
  <c r="E423" i="1"/>
  <c r="F423" i="1"/>
  <c r="G423" i="1"/>
  <c r="H423" i="1"/>
  <c r="I423" i="1"/>
  <c r="J423" i="1"/>
  <c r="K423" i="1"/>
  <c r="L423" i="1"/>
  <c r="C424" i="1"/>
  <c r="D424" i="1"/>
  <c r="E424" i="1"/>
  <c r="F424" i="1"/>
  <c r="G424" i="1"/>
  <c r="H424" i="1"/>
  <c r="I424" i="1"/>
  <c r="J424" i="1"/>
  <c r="K424" i="1"/>
  <c r="L424" i="1"/>
  <c r="C425" i="1"/>
  <c r="D425" i="1"/>
  <c r="E425" i="1"/>
  <c r="F425" i="1"/>
  <c r="G425" i="1"/>
  <c r="H425" i="1"/>
  <c r="I425" i="1"/>
  <c r="J425" i="1"/>
  <c r="K425" i="1"/>
  <c r="L425" i="1"/>
  <c r="C426" i="1"/>
  <c r="D426" i="1"/>
  <c r="E426" i="1"/>
  <c r="F426" i="1"/>
  <c r="G426" i="1"/>
  <c r="H426" i="1"/>
  <c r="I426" i="1"/>
  <c r="J426" i="1"/>
  <c r="K426" i="1"/>
  <c r="L426" i="1"/>
  <c r="C427" i="1"/>
  <c r="D427" i="1"/>
  <c r="E427" i="1"/>
  <c r="F427" i="1"/>
  <c r="G427" i="1"/>
  <c r="H427" i="1"/>
  <c r="I427" i="1"/>
  <c r="J427" i="1"/>
  <c r="K427" i="1"/>
  <c r="L427" i="1"/>
  <c r="C428" i="1"/>
  <c r="D428" i="1"/>
  <c r="E428" i="1"/>
  <c r="F428" i="1"/>
  <c r="G428" i="1"/>
  <c r="H428" i="1"/>
  <c r="I428" i="1"/>
  <c r="J428" i="1"/>
  <c r="K428" i="1"/>
  <c r="L428" i="1"/>
  <c r="C429" i="1"/>
  <c r="D429" i="1"/>
  <c r="E429" i="1"/>
  <c r="F429" i="1"/>
  <c r="G429" i="1"/>
  <c r="H429" i="1"/>
  <c r="I429" i="1"/>
  <c r="J429" i="1"/>
  <c r="K429" i="1"/>
  <c r="L429" i="1"/>
  <c r="C430" i="1"/>
  <c r="D430" i="1"/>
  <c r="E430" i="1"/>
  <c r="F430" i="1"/>
  <c r="G430" i="1"/>
  <c r="H430" i="1"/>
  <c r="I430" i="1"/>
  <c r="J430" i="1"/>
  <c r="K430" i="1"/>
  <c r="L430" i="1"/>
  <c r="C431" i="1"/>
  <c r="D431" i="1"/>
  <c r="E431" i="1"/>
  <c r="F431" i="1"/>
  <c r="G431" i="1"/>
  <c r="H431" i="1"/>
  <c r="I431" i="1"/>
  <c r="J431" i="1"/>
  <c r="K431" i="1"/>
  <c r="L431" i="1"/>
  <c r="C432" i="1"/>
  <c r="D432" i="1"/>
  <c r="E432" i="1"/>
  <c r="F432" i="1"/>
  <c r="G432" i="1"/>
  <c r="H432" i="1"/>
  <c r="I432" i="1"/>
  <c r="J432" i="1"/>
  <c r="K432" i="1"/>
  <c r="L432" i="1"/>
  <c r="C433" i="1"/>
  <c r="D433" i="1"/>
  <c r="E433" i="1"/>
  <c r="F433" i="1"/>
  <c r="G433" i="1"/>
  <c r="H433" i="1"/>
  <c r="I433" i="1"/>
  <c r="J433" i="1"/>
  <c r="K433" i="1"/>
  <c r="L433" i="1"/>
  <c r="C434" i="1"/>
  <c r="D434" i="1"/>
  <c r="E434" i="1"/>
  <c r="F434" i="1"/>
  <c r="G434" i="1"/>
  <c r="H434" i="1"/>
  <c r="I434" i="1"/>
  <c r="J434" i="1"/>
  <c r="K434" i="1"/>
  <c r="L434" i="1"/>
  <c r="C435" i="1"/>
  <c r="D435" i="1"/>
  <c r="E435" i="1"/>
  <c r="F435" i="1"/>
  <c r="G435" i="1"/>
  <c r="H435" i="1"/>
  <c r="I435" i="1"/>
  <c r="J435" i="1"/>
  <c r="K435" i="1"/>
  <c r="L435" i="1"/>
  <c r="C436" i="1"/>
  <c r="D436" i="1"/>
  <c r="E436" i="1"/>
  <c r="F436" i="1"/>
  <c r="G436" i="1"/>
  <c r="H436" i="1"/>
  <c r="I436" i="1"/>
  <c r="J436" i="1"/>
  <c r="K436" i="1"/>
  <c r="L436" i="1"/>
  <c r="C437" i="1"/>
  <c r="D437" i="1"/>
  <c r="E437" i="1"/>
  <c r="F437" i="1"/>
  <c r="G437" i="1"/>
  <c r="H437" i="1"/>
  <c r="I437" i="1"/>
  <c r="J437" i="1"/>
  <c r="K437" i="1"/>
  <c r="L437" i="1"/>
  <c r="C438" i="1"/>
  <c r="D438" i="1"/>
  <c r="E438" i="1"/>
  <c r="F438" i="1"/>
  <c r="G438" i="1"/>
  <c r="H438" i="1"/>
  <c r="I438" i="1"/>
  <c r="J438" i="1"/>
  <c r="K438" i="1"/>
  <c r="L438" i="1"/>
  <c r="C439" i="1"/>
  <c r="D439" i="1"/>
  <c r="E439" i="1"/>
  <c r="F439" i="1"/>
  <c r="G439" i="1"/>
  <c r="H439" i="1"/>
  <c r="I439" i="1"/>
  <c r="J439" i="1"/>
  <c r="K439" i="1"/>
  <c r="L439" i="1"/>
  <c r="C440" i="1"/>
  <c r="D440" i="1"/>
  <c r="E440" i="1"/>
  <c r="F440" i="1"/>
  <c r="G440" i="1"/>
  <c r="H440" i="1"/>
  <c r="I440" i="1"/>
  <c r="J440" i="1"/>
  <c r="K440" i="1"/>
  <c r="L440" i="1"/>
  <c r="C441" i="1"/>
  <c r="D441" i="1"/>
  <c r="E441" i="1"/>
  <c r="F441" i="1"/>
  <c r="G441" i="1"/>
  <c r="H441" i="1"/>
  <c r="I441" i="1"/>
  <c r="J441" i="1"/>
  <c r="K441" i="1"/>
  <c r="L441" i="1"/>
  <c r="C442" i="1"/>
  <c r="D442" i="1"/>
  <c r="E442" i="1"/>
  <c r="F442" i="1"/>
  <c r="G442" i="1"/>
  <c r="H442" i="1"/>
  <c r="I442" i="1"/>
  <c r="J442" i="1"/>
  <c r="K442" i="1"/>
  <c r="L442" i="1"/>
  <c r="C443" i="1"/>
  <c r="D443" i="1"/>
  <c r="E443" i="1"/>
  <c r="F443" i="1"/>
  <c r="G443" i="1"/>
  <c r="H443" i="1"/>
  <c r="I443" i="1"/>
  <c r="J443" i="1"/>
  <c r="K443" i="1"/>
  <c r="L443" i="1"/>
  <c r="C444" i="1"/>
  <c r="D444" i="1"/>
  <c r="E444" i="1"/>
  <c r="F444" i="1"/>
  <c r="G444" i="1"/>
  <c r="H444" i="1"/>
  <c r="I444" i="1"/>
  <c r="J444" i="1"/>
  <c r="K444" i="1"/>
  <c r="L444" i="1"/>
  <c r="C445" i="1"/>
  <c r="D445" i="1"/>
  <c r="E445" i="1"/>
  <c r="F445" i="1"/>
  <c r="G445" i="1"/>
  <c r="H445" i="1"/>
  <c r="I445" i="1"/>
  <c r="J445" i="1"/>
  <c r="K445" i="1"/>
  <c r="L445" i="1"/>
  <c r="C446" i="1"/>
  <c r="D446" i="1"/>
  <c r="E446" i="1"/>
  <c r="F446" i="1"/>
  <c r="G446" i="1"/>
  <c r="H446" i="1"/>
  <c r="I446" i="1"/>
  <c r="J446" i="1"/>
  <c r="K446" i="1"/>
  <c r="L446" i="1"/>
  <c r="C447" i="1"/>
  <c r="D447" i="1"/>
  <c r="E447" i="1"/>
  <c r="F447" i="1"/>
  <c r="G447" i="1"/>
  <c r="H447" i="1"/>
  <c r="I447" i="1"/>
  <c r="J447" i="1"/>
  <c r="K447" i="1"/>
  <c r="L447" i="1"/>
  <c r="C448" i="1"/>
  <c r="D448" i="1"/>
  <c r="E448" i="1"/>
  <c r="F448" i="1"/>
  <c r="G448" i="1"/>
  <c r="H448" i="1"/>
  <c r="I448" i="1"/>
  <c r="J448" i="1"/>
  <c r="K448" i="1"/>
  <c r="L448" i="1"/>
  <c r="C449" i="1"/>
  <c r="D449" i="1"/>
  <c r="E449" i="1"/>
  <c r="F449" i="1"/>
  <c r="G449" i="1"/>
  <c r="H449" i="1"/>
  <c r="I449" i="1"/>
  <c r="J449" i="1"/>
  <c r="K449" i="1"/>
  <c r="L449" i="1"/>
  <c r="C450" i="1"/>
  <c r="D450" i="1"/>
  <c r="E450" i="1"/>
  <c r="F450" i="1"/>
  <c r="G450" i="1"/>
  <c r="H450" i="1"/>
  <c r="I450" i="1"/>
  <c r="J450" i="1"/>
  <c r="K450" i="1"/>
  <c r="L450" i="1"/>
  <c r="C451" i="1"/>
  <c r="D451" i="1"/>
  <c r="E451" i="1"/>
  <c r="F451" i="1"/>
  <c r="G451" i="1"/>
  <c r="H451" i="1"/>
  <c r="I451" i="1"/>
  <c r="J451" i="1"/>
  <c r="K451" i="1"/>
  <c r="L451" i="1"/>
  <c r="C452" i="1"/>
  <c r="D452" i="1"/>
  <c r="E452" i="1"/>
  <c r="F452" i="1"/>
  <c r="G452" i="1"/>
  <c r="H452" i="1"/>
  <c r="I452" i="1"/>
  <c r="J452" i="1"/>
  <c r="K452" i="1"/>
  <c r="L452" i="1"/>
  <c r="C453" i="1"/>
  <c r="D453" i="1"/>
  <c r="E453" i="1"/>
  <c r="F453" i="1"/>
  <c r="G453" i="1"/>
  <c r="H453" i="1"/>
  <c r="I453" i="1"/>
  <c r="J453" i="1"/>
  <c r="K453" i="1"/>
  <c r="L453" i="1"/>
  <c r="C454" i="1"/>
  <c r="D454" i="1"/>
  <c r="E454" i="1"/>
  <c r="F454" i="1"/>
  <c r="G454" i="1"/>
  <c r="H454" i="1"/>
  <c r="I454" i="1"/>
  <c r="J454" i="1"/>
  <c r="K454" i="1"/>
  <c r="L454" i="1"/>
  <c r="C455" i="1"/>
  <c r="D455" i="1"/>
  <c r="E455" i="1"/>
  <c r="F455" i="1"/>
  <c r="G455" i="1"/>
  <c r="H455" i="1"/>
  <c r="I455" i="1"/>
  <c r="J455" i="1"/>
  <c r="K455" i="1"/>
  <c r="L455" i="1"/>
  <c r="C456" i="1"/>
  <c r="D456" i="1"/>
  <c r="E456" i="1"/>
  <c r="F456" i="1"/>
  <c r="G456" i="1"/>
  <c r="H456" i="1"/>
  <c r="I456" i="1"/>
  <c r="J456" i="1"/>
  <c r="K456" i="1"/>
  <c r="L456" i="1"/>
  <c r="C457" i="1"/>
  <c r="D457" i="1"/>
  <c r="E457" i="1"/>
  <c r="F457" i="1"/>
  <c r="G457" i="1"/>
  <c r="H457" i="1"/>
  <c r="I457" i="1"/>
  <c r="J457" i="1"/>
  <c r="K457" i="1"/>
  <c r="L457" i="1"/>
  <c r="C458" i="1"/>
  <c r="D458" i="1"/>
  <c r="E458" i="1"/>
  <c r="F458" i="1"/>
  <c r="G458" i="1"/>
  <c r="H458" i="1"/>
  <c r="I458" i="1"/>
  <c r="J458" i="1"/>
  <c r="K458" i="1"/>
  <c r="L458" i="1"/>
  <c r="C459" i="1"/>
  <c r="D459" i="1"/>
  <c r="E459" i="1"/>
  <c r="F459" i="1"/>
  <c r="G459" i="1"/>
  <c r="H459" i="1"/>
  <c r="I459" i="1"/>
  <c r="J459" i="1"/>
  <c r="K459" i="1"/>
  <c r="L459" i="1"/>
  <c r="C460" i="1"/>
  <c r="D460" i="1"/>
  <c r="E460" i="1"/>
  <c r="F460" i="1"/>
  <c r="G460" i="1"/>
  <c r="H460" i="1"/>
  <c r="I460" i="1"/>
  <c r="J460" i="1"/>
  <c r="K460" i="1"/>
  <c r="L460" i="1"/>
  <c r="C461" i="1"/>
  <c r="D461" i="1"/>
  <c r="E461" i="1"/>
  <c r="F461" i="1"/>
  <c r="G461" i="1"/>
  <c r="H461" i="1"/>
  <c r="I461" i="1"/>
  <c r="J461" i="1"/>
  <c r="K461" i="1"/>
  <c r="L461" i="1"/>
  <c r="C462" i="1"/>
  <c r="D462" i="1"/>
  <c r="E462" i="1"/>
  <c r="F462" i="1"/>
  <c r="G462" i="1"/>
  <c r="H462" i="1"/>
  <c r="I462" i="1"/>
  <c r="J462" i="1"/>
  <c r="K462" i="1"/>
  <c r="L462" i="1"/>
  <c r="C463" i="1"/>
  <c r="D463" i="1"/>
  <c r="E463" i="1"/>
  <c r="F463" i="1"/>
  <c r="G463" i="1"/>
  <c r="H463" i="1"/>
  <c r="I463" i="1"/>
  <c r="J463" i="1"/>
  <c r="K463" i="1"/>
  <c r="L463" i="1"/>
  <c r="C464" i="1"/>
  <c r="D464" i="1"/>
  <c r="E464" i="1"/>
  <c r="F464" i="1"/>
  <c r="G464" i="1"/>
  <c r="H464" i="1"/>
  <c r="I464" i="1"/>
  <c r="J464" i="1"/>
  <c r="K464" i="1"/>
  <c r="L464" i="1"/>
  <c r="C465" i="1"/>
  <c r="D465" i="1"/>
  <c r="E465" i="1"/>
  <c r="F465" i="1"/>
  <c r="G465" i="1"/>
  <c r="H465" i="1"/>
  <c r="I465" i="1"/>
  <c r="J465" i="1"/>
  <c r="K465" i="1"/>
  <c r="L465" i="1"/>
  <c r="C466" i="1"/>
  <c r="D466" i="1"/>
  <c r="E466" i="1"/>
  <c r="F466" i="1"/>
  <c r="G466" i="1"/>
  <c r="H466" i="1"/>
  <c r="I466" i="1"/>
  <c r="J466" i="1"/>
  <c r="K466" i="1"/>
  <c r="L466" i="1"/>
  <c r="C467" i="1"/>
  <c r="D467" i="1"/>
  <c r="E467" i="1"/>
  <c r="F467" i="1"/>
  <c r="G467" i="1"/>
  <c r="H467" i="1"/>
  <c r="I467" i="1"/>
  <c r="J467" i="1"/>
  <c r="K467" i="1"/>
  <c r="L467" i="1"/>
  <c r="C468" i="1"/>
  <c r="D468" i="1"/>
  <c r="E468" i="1"/>
  <c r="F468" i="1"/>
  <c r="G468" i="1"/>
  <c r="H468" i="1"/>
  <c r="I468" i="1"/>
  <c r="J468" i="1"/>
  <c r="K468" i="1"/>
  <c r="L468" i="1"/>
  <c r="C469" i="1"/>
  <c r="D469" i="1"/>
  <c r="E469" i="1"/>
  <c r="F469" i="1"/>
  <c r="G469" i="1"/>
  <c r="H469" i="1"/>
  <c r="I469" i="1"/>
  <c r="J469" i="1"/>
  <c r="K469" i="1"/>
  <c r="L469" i="1"/>
  <c r="C470" i="1"/>
  <c r="D470" i="1"/>
  <c r="E470" i="1"/>
  <c r="F470" i="1"/>
  <c r="G470" i="1"/>
  <c r="H470" i="1"/>
  <c r="I470" i="1"/>
  <c r="J470" i="1"/>
  <c r="K470" i="1"/>
  <c r="L470" i="1"/>
  <c r="C471" i="1"/>
  <c r="D471" i="1"/>
  <c r="E471" i="1"/>
  <c r="F471" i="1"/>
  <c r="G471" i="1"/>
  <c r="H471" i="1"/>
  <c r="I471" i="1"/>
  <c r="J471" i="1"/>
  <c r="K471" i="1"/>
  <c r="L471" i="1"/>
  <c r="C472" i="1"/>
  <c r="D472" i="1"/>
  <c r="E472" i="1"/>
  <c r="F472" i="1"/>
  <c r="G472" i="1"/>
  <c r="H472" i="1"/>
  <c r="I472" i="1"/>
  <c r="J472" i="1"/>
  <c r="K472" i="1"/>
  <c r="L472" i="1"/>
  <c r="C473" i="1"/>
  <c r="D473" i="1"/>
  <c r="E473" i="1"/>
  <c r="F473" i="1"/>
  <c r="G473" i="1"/>
  <c r="H473" i="1"/>
  <c r="I473" i="1"/>
  <c r="J473" i="1"/>
  <c r="K473" i="1"/>
  <c r="L473" i="1"/>
  <c r="C474" i="1"/>
  <c r="D474" i="1"/>
  <c r="E474" i="1"/>
  <c r="F474" i="1"/>
  <c r="G474" i="1"/>
  <c r="H474" i="1"/>
  <c r="I474" i="1"/>
  <c r="J474" i="1"/>
  <c r="K474" i="1"/>
  <c r="L474" i="1"/>
  <c r="C475" i="1"/>
  <c r="D475" i="1"/>
  <c r="E475" i="1"/>
  <c r="F475" i="1"/>
  <c r="G475" i="1"/>
  <c r="H475" i="1"/>
  <c r="I475" i="1"/>
  <c r="J475" i="1"/>
  <c r="K475" i="1"/>
  <c r="L475" i="1"/>
  <c r="C476" i="1"/>
  <c r="D476" i="1"/>
  <c r="E476" i="1"/>
  <c r="F476" i="1"/>
  <c r="G476" i="1"/>
  <c r="H476" i="1"/>
  <c r="I476" i="1"/>
  <c r="J476" i="1"/>
  <c r="K476" i="1"/>
  <c r="L476" i="1"/>
  <c r="C477" i="1"/>
  <c r="D477" i="1"/>
  <c r="E477" i="1"/>
  <c r="F477" i="1"/>
  <c r="G477" i="1"/>
  <c r="H477" i="1"/>
  <c r="I477" i="1"/>
  <c r="J477" i="1"/>
  <c r="K477" i="1"/>
  <c r="L477" i="1"/>
  <c r="C478" i="1"/>
  <c r="D478" i="1"/>
  <c r="E478" i="1"/>
  <c r="F478" i="1"/>
  <c r="G478" i="1"/>
  <c r="H478" i="1"/>
  <c r="I478" i="1"/>
  <c r="J478" i="1"/>
  <c r="K478" i="1"/>
  <c r="L478" i="1"/>
  <c r="C479" i="1"/>
  <c r="D479" i="1"/>
  <c r="E479" i="1"/>
  <c r="F479" i="1"/>
  <c r="G479" i="1"/>
  <c r="H479" i="1"/>
  <c r="I479" i="1"/>
  <c r="J479" i="1"/>
  <c r="K479" i="1"/>
  <c r="L479" i="1"/>
  <c r="C480" i="1"/>
  <c r="D480" i="1"/>
  <c r="E480" i="1"/>
  <c r="F480" i="1"/>
  <c r="G480" i="1"/>
  <c r="H480" i="1"/>
  <c r="I480" i="1"/>
  <c r="J480" i="1"/>
  <c r="K480" i="1"/>
  <c r="L480" i="1"/>
  <c r="C481" i="1"/>
  <c r="D481" i="1"/>
  <c r="E481" i="1"/>
  <c r="F481" i="1"/>
  <c r="G481" i="1"/>
  <c r="H481" i="1"/>
  <c r="I481" i="1"/>
  <c r="J481" i="1"/>
  <c r="K481" i="1"/>
  <c r="L481" i="1"/>
  <c r="C482" i="1"/>
  <c r="D482" i="1"/>
  <c r="E482" i="1"/>
  <c r="F482" i="1"/>
  <c r="G482" i="1"/>
  <c r="H482" i="1"/>
  <c r="I482" i="1"/>
  <c r="J482" i="1"/>
  <c r="K482" i="1"/>
  <c r="L482" i="1"/>
  <c r="C483" i="1"/>
  <c r="D483" i="1"/>
  <c r="E483" i="1"/>
  <c r="F483" i="1"/>
  <c r="G483" i="1"/>
  <c r="H483" i="1"/>
  <c r="I483" i="1"/>
  <c r="J483" i="1"/>
  <c r="K483" i="1"/>
  <c r="L483" i="1"/>
  <c r="C484" i="1"/>
  <c r="D484" i="1"/>
  <c r="E484" i="1"/>
  <c r="F484" i="1"/>
  <c r="G484" i="1"/>
  <c r="H484" i="1"/>
  <c r="I484" i="1"/>
  <c r="J484" i="1"/>
  <c r="K484" i="1"/>
  <c r="L484" i="1"/>
  <c r="C485" i="1"/>
  <c r="D485" i="1"/>
  <c r="E485" i="1"/>
  <c r="F485" i="1"/>
  <c r="G485" i="1"/>
  <c r="H485" i="1"/>
  <c r="I485" i="1"/>
  <c r="J485" i="1"/>
  <c r="K485" i="1"/>
  <c r="L485" i="1"/>
  <c r="C486" i="1"/>
  <c r="D486" i="1"/>
  <c r="E486" i="1"/>
  <c r="F486" i="1"/>
  <c r="G486" i="1"/>
  <c r="H486" i="1"/>
  <c r="I486" i="1"/>
  <c r="J486" i="1"/>
  <c r="K486" i="1"/>
  <c r="L486" i="1"/>
  <c r="C487" i="1"/>
  <c r="D487" i="1"/>
  <c r="E487" i="1"/>
  <c r="F487" i="1"/>
  <c r="G487" i="1"/>
  <c r="H487" i="1"/>
  <c r="I487" i="1"/>
  <c r="J487" i="1"/>
  <c r="K487" i="1"/>
  <c r="L487" i="1"/>
  <c r="C488" i="1"/>
  <c r="D488" i="1"/>
  <c r="E488" i="1"/>
  <c r="F488" i="1"/>
  <c r="G488" i="1"/>
  <c r="H488" i="1"/>
  <c r="I488" i="1"/>
  <c r="J488" i="1"/>
  <c r="K488" i="1"/>
  <c r="L488" i="1"/>
  <c r="C489" i="1"/>
  <c r="D489" i="1"/>
  <c r="E489" i="1"/>
  <c r="F489" i="1"/>
  <c r="G489" i="1"/>
  <c r="H489" i="1"/>
  <c r="I489" i="1"/>
  <c r="J489" i="1"/>
  <c r="K489" i="1"/>
  <c r="L489" i="1"/>
  <c r="C490" i="1"/>
  <c r="D490" i="1"/>
  <c r="E490" i="1"/>
  <c r="F490" i="1"/>
  <c r="G490" i="1"/>
  <c r="H490" i="1"/>
  <c r="I490" i="1"/>
  <c r="J490" i="1"/>
  <c r="K490" i="1"/>
  <c r="L490" i="1"/>
  <c r="C491" i="1"/>
  <c r="D491" i="1"/>
  <c r="E491" i="1"/>
  <c r="F491" i="1"/>
  <c r="G491" i="1"/>
  <c r="H491" i="1"/>
  <c r="I491" i="1"/>
  <c r="J491" i="1"/>
  <c r="K491" i="1"/>
  <c r="L491" i="1"/>
  <c r="C492" i="1"/>
  <c r="D492" i="1"/>
  <c r="E492" i="1"/>
  <c r="F492" i="1"/>
  <c r="G492" i="1"/>
  <c r="H492" i="1"/>
  <c r="I492" i="1"/>
  <c r="J492" i="1"/>
  <c r="K492" i="1"/>
  <c r="L492" i="1"/>
  <c r="C493" i="1"/>
  <c r="D493" i="1"/>
  <c r="E493" i="1"/>
  <c r="F493" i="1"/>
  <c r="G493" i="1"/>
  <c r="H493" i="1"/>
  <c r="I493" i="1"/>
  <c r="J493" i="1"/>
  <c r="K493" i="1"/>
  <c r="L493" i="1"/>
  <c r="C494" i="1"/>
  <c r="D494" i="1"/>
  <c r="E494" i="1"/>
  <c r="F494" i="1"/>
  <c r="G494" i="1"/>
  <c r="H494" i="1"/>
  <c r="I494" i="1"/>
  <c r="J494" i="1"/>
  <c r="K494" i="1"/>
  <c r="L494" i="1"/>
  <c r="C495" i="1"/>
  <c r="D495" i="1"/>
  <c r="E495" i="1"/>
  <c r="F495" i="1"/>
  <c r="G495" i="1"/>
  <c r="H495" i="1"/>
  <c r="I495" i="1"/>
  <c r="J495" i="1"/>
  <c r="K495" i="1"/>
  <c r="L495" i="1"/>
  <c r="C496" i="1"/>
  <c r="D496" i="1"/>
  <c r="E496" i="1"/>
  <c r="F496" i="1"/>
  <c r="G496" i="1"/>
  <c r="H496" i="1"/>
  <c r="I496" i="1"/>
  <c r="J496" i="1"/>
  <c r="K496" i="1"/>
  <c r="L496" i="1"/>
  <c r="C497" i="1"/>
  <c r="D497" i="1"/>
  <c r="E497" i="1"/>
  <c r="F497" i="1"/>
  <c r="G497" i="1"/>
  <c r="H497" i="1"/>
  <c r="I497" i="1"/>
  <c r="J497" i="1"/>
  <c r="K497" i="1"/>
  <c r="L497" i="1"/>
  <c r="C498" i="1"/>
  <c r="D498" i="1"/>
  <c r="E498" i="1"/>
  <c r="F498" i="1"/>
  <c r="G498" i="1"/>
  <c r="H498" i="1"/>
  <c r="I498" i="1"/>
  <c r="J498" i="1"/>
  <c r="K498" i="1"/>
  <c r="L498" i="1"/>
  <c r="C499" i="1"/>
  <c r="D499" i="1"/>
  <c r="E499" i="1"/>
  <c r="F499" i="1"/>
  <c r="G499" i="1"/>
  <c r="H499" i="1"/>
  <c r="I499" i="1"/>
  <c r="J499" i="1"/>
  <c r="K499" i="1"/>
  <c r="L499" i="1"/>
  <c r="C500" i="1"/>
  <c r="D500" i="1"/>
  <c r="E500" i="1"/>
  <c r="F500" i="1"/>
  <c r="G500" i="1"/>
  <c r="H500" i="1"/>
  <c r="I500" i="1"/>
  <c r="J500" i="1"/>
  <c r="K500" i="1"/>
  <c r="L500" i="1"/>
  <c r="C501" i="1"/>
  <c r="D501" i="1"/>
  <c r="E501" i="1"/>
  <c r="F501" i="1"/>
  <c r="G501" i="1"/>
  <c r="H501" i="1"/>
  <c r="I501" i="1"/>
  <c r="J501" i="1"/>
  <c r="K501" i="1"/>
  <c r="L501" i="1"/>
  <c r="C502" i="1"/>
  <c r="D502" i="1"/>
  <c r="E502" i="1"/>
  <c r="F502" i="1"/>
  <c r="G502" i="1"/>
  <c r="H502" i="1"/>
  <c r="I502" i="1"/>
  <c r="J502" i="1"/>
  <c r="K502" i="1"/>
  <c r="L502" i="1"/>
  <c r="C503" i="1"/>
  <c r="D503" i="1"/>
  <c r="E503" i="1"/>
  <c r="F503" i="1"/>
  <c r="G503" i="1"/>
  <c r="H503" i="1"/>
  <c r="I503" i="1"/>
  <c r="J503" i="1"/>
  <c r="K503" i="1"/>
  <c r="L503" i="1"/>
  <c r="C504" i="1"/>
  <c r="D504" i="1"/>
  <c r="E504" i="1"/>
  <c r="F504" i="1"/>
  <c r="G504" i="1"/>
  <c r="H504" i="1"/>
  <c r="I504" i="1"/>
  <c r="J504" i="1"/>
  <c r="K504" i="1"/>
  <c r="L504" i="1"/>
  <c r="C505" i="1"/>
  <c r="D505" i="1"/>
  <c r="E505" i="1"/>
  <c r="F505" i="1"/>
  <c r="G505" i="1"/>
  <c r="H505" i="1"/>
  <c r="I505" i="1"/>
  <c r="J505" i="1"/>
  <c r="K505" i="1"/>
  <c r="L505" i="1"/>
  <c r="C506" i="1"/>
  <c r="D506" i="1"/>
  <c r="E506" i="1"/>
  <c r="F506" i="1"/>
  <c r="G506" i="1"/>
  <c r="H506" i="1"/>
  <c r="I506" i="1"/>
  <c r="J506" i="1"/>
  <c r="K506" i="1"/>
  <c r="L506" i="1"/>
  <c r="C507" i="1"/>
  <c r="D507" i="1"/>
  <c r="E507" i="1"/>
  <c r="F507" i="1"/>
  <c r="G507" i="1"/>
  <c r="H507" i="1"/>
  <c r="I507" i="1"/>
  <c r="J507" i="1"/>
  <c r="K507" i="1"/>
  <c r="L507" i="1"/>
  <c r="C508" i="1"/>
  <c r="D508" i="1"/>
  <c r="E508" i="1"/>
  <c r="F508" i="1"/>
  <c r="G508" i="1"/>
  <c r="H508" i="1"/>
  <c r="I508" i="1"/>
  <c r="J508" i="1"/>
  <c r="K508" i="1"/>
  <c r="L508" i="1"/>
  <c r="C509" i="1"/>
  <c r="D509" i="1"/>
  <c r="E509" i="1"/>
  <c r="F509" i="1"/>
  <c r="G509" i="1"/>
  <c r="H509" i="1"/>
  <c r="I509" i="1"/>
  <c r="J509" i="1"/>
  <c r="K509" i="1"/>
  <c r="L509" i="1"/>
  <c r="C510" i="1"/>
  <c r="D510" i="1"/>
  <c r="E510" i="1"/>
  <c r="F510" i="1"/>
  <c r="G510" i="1"/>
  <c r="H510" i="1"/>
  <c r="I510" i="1"/>
  <c r="J510" i="1"/>
  <c r="K510" i="1"/>
  <c r="L510" i="1"/>
  <c r="C511" i="1"/>
  <c r="D511" i="1"/>
  <c r="E511" i="1"/>
  <c r="F511" i="1"/>
  <c r="G511" i="1"/>
  <c r="H511" i="1"/>
  <c r="I511" i="1"/>
  <c r="J511" i="1"/>
  <c r="K511" i="1"/>
  <c r="L511" i="1"/>
  <c r="C512" i="1"/>
  <c r="D512" i="1"/>
  <c r="E512" i="1"/>
  <c r="F512" i="1"/>
  <c r="G512" i="1"/>
  <c r="H512" i="1"/>
  <c r="I512" i="1"/>
  <c r="J512" i="1"/>
  <c r="K512" i="1"/>
  <c r="L512" i="1"/>
  <c r="C513" i="1"/>
  <c r="D513" i="1"/>
  <c r="E513" i="1"/>
  <c r="F513" i="1"/>
  <c r="G513" i="1"/>
  <c r="H513" i="1"/>
  <c r="I513" i="1"/>
  <c r="J513" i="1"/>
  <c r="K513" i="1"/>
  <c r="L513" i="1"/>
  <c r="C514" i="1"/>
  <c r="D514" i="1"/>
  <c r="E514" i="1"/>
  <c r="F514" i="1"/>
  <c r="G514" i="1"/>
  <c r="H514" i="1"/>
  <c r="I514" i="1"/>
  <c r="J514" i="1"/>
  <c r="K514" i="1"/>
  <c r="L514" i="1"/>
  <c r="C515" i="1"/>
  <c r="D515" i="1"/>
  <c r="E515" i="1"/>
  <c r="F515" i="1"/>
  <c r="G515" i="1"/>
  <c r="H515" i="1"/>
  <c r="I515" i="1"/>
  <c r="J515" i="1"/>
  <c r="K515" i="1"/>
  <c r="L515" i="1"/>
  <c r="C516" i="1"/>
  <c r="D516" i="1"/>
  <c r="E516" i="1"/>
  <c r="F516" i="1"/>
  <c r="G516" i="1"/>
  <c r="H516" i="1"/>
  <c r="I516" i="1"/>
  <c r="J516" i="1"/>
  <c r="K516" i="1"/>
  <c r="L516" i="1"/>
  <c r="C517" i="1"/>
  <c r="D517" i="1"/>
  <c r="E517" i="1"/>
  <c r="F517" i="1"/>
  <c r="G517" i="1"/>
  <c r="H517" i="1"/>
  <c r="I517" i="1"/>
  <c r="J517" i="1"/>
  <c r="K517" i="1"/>
  <c r="L517" i="1"/>
  <c r="C518" i="1"/>
  <c r="D518" i="1"/>
  <c r="E518" i="1"/>
  <c r="F518" i="1"/>
  <c r="G518" i="1"/>
  <c r="H518" i="1"/>
  <c r="I518" i="1"/>
  <c r="J518" i="1"/>
  <c r="K518" i="1"/>
  <c r="L518" i="1"/>
  <c r="C519" i="1"/>
  <c r="D519" i="1"/>
  <c r="E519" i="1"/>
  <c r="F519" i="1"/>
  <c r="G519" i="1"/>
  <c r="H519" i="1"/>
  <c r="I519" i="1"/>
  <c r="J519" i="1"/>
  <c r="K519" i="1"/>
  <c r="L519" i="1"/>
  <c r="C520" i="1"/>
  <c r="D520" i="1"/>
  <c r="E520" i="1"/>
  <c r="F520" i="1"/>
  <c r="G520" i="1"/>
  <c r="H520" i="1"/>
  <c r="I520" i="1"/>
  <c r="J520" i="1"/>
  <c r="K520" i="1"/>
  <c r="L520" i="1"/>
  <c r="C521" i="1"/>
  <c r="D521" i="1"/>
  <c r="E521" i="1"/>
  <c r="F521" i="1"/>
  <c r="G521" i="1"/>
  <c r="H521" i="1"/>
  <c r="I521" i="1"/>
  <c r="J521" i="1"/>
  <c r="K521" i="1"/>
  <c r="L521" i="1"/>
  <c r="C522" i="1"/>
  <c r="D522" i="1"/>
  <c r="E522" i="1"/>
  <c r="F522" i="1"/>
  <c r="G522" i="1"/>
  <c r="H522" i="1"/>
  <c r="I522" i="1"/>
  <c r="J522" i="1"/>
  <c r="K522" i="1"/>
  <c r="L522" i="1"/>
  <c r="C523" i="1"/>
  <c r="D523" i="1"/>
  <c r="E523" i="1"/>
  <c r="F523" i="1"/>
  <c r="G523" i="1"/>
  <c r="H523" i="1"/>
  <c r="I523" i="1"/>
  <c r="J523" i="1"/>
  <c r="K523" i="1"/>
  <c r="L523" i="1"/>
  <c r="C524" i="1"/>
  <c r="D524" i="1"/>
  <c r="E524" i="1"/>
  <c r="F524" i="1"/>
  <c r="G524" i="1"/>
  <c r="H524" i="1"/>
  <c r="I524" i="1"/>
  <c r="J524" i="1"/>
  <c r="K524" i="1"/>
  <c r="L524" i="1"/>
  <c r="C525" i="1"/>
  <c r="D525" i="1"/>
  <c r="E525" i="1"/>
  <c r="F525" i="1"/>
  <c r="G525" i="1"/>
  <c r="H525" i="1"/>
  <c r="I525" i="1"/>
  <c r="J525" i="1"/>
  <c r="K525" i="1"/>
  <c r="L525" i="1"/>
  <c r="C526" i="1"/>
  <c r="D526" i="1"/>
  <c r="E526" i="1"/>
  <c r="F526" i="1"/>
  <c r="G526" i="1"/>
  <c r="H526" i="1"/>
  <c r="I526" i="1"/>
  <c r="J526" i="1"/>
  <c r="K526" i="1"/>
  <c r="L526" i="1"/>
  <c r="C527" i="1"/>
  <c r="D527" i="1"/>
  <c r="E527" i="1"/>
  <c r="F527" i="1"/>
  <c r="G527" i="1"/>
  <c r="H527" i="1"/>
  <c r="I527" i="1"/>
  <c r="J527" i="1"/>
  <c r="K527" i="1"/>
  <c r="L527" i="1"/>
  <c r="C528" i="1"/>
  <c r="D528" i="1"/>
  <c r="E528" i="1"/>
  <c r="F528" i="1"/>
  <c r="G528" i="1"/>
  <c r="H528" i="1"/>
  <c r="I528" i="1"/>
  <c r="J528" i="1"/>
  <c r="K528" i="1"/>
  <c r="L528" i="1"/>
  <c r="C529" i="1"/>
  <c r="D529" i="1"/>
  <c r="E529" i="1"/>
  <c r="F529" i="1"/>
  <c r="G529" i="1"/>
  <c r="H529" i="1"/>
  <c r="I529" i="1"/>
  <c r="J529" i="1"/>
  <c r="K529" i="1"/>
  <c r="L529" i="1"/>
  <c r="C530" i="1"/>
  <c r="D530" i="1"/>
  <c r="E530" i="1"/>
  <c r="F530" i="1"/>
  <c r="G530" i="1"/>
  <c r="H530" i="1"/>
  <c r="I530" i="1"/>
  <c r="J530" i="1"/>
  <c r="K530" i="1"/>
  <c r="L530" i="1"/>
  <c r="C531" i="1"/>
  <c r="D531" i="1"/>
  <c r="E531" i="1"/>
  <c r="F531" i="1"/>
  <c r="G531" i="1"/>
  <c r="H531" i="1"/>
  <c r="I531" i="1"/>
  <c r="J531" i="1"/>
  <c r="K531" i="1"/>
  <c r="L531" i="1"/>
  <c r="C532" i="1"/>
  <c r="D532" i="1"/>
  <c r="E532" i="1"/>
  <c r="F532" i="1"/>
  <c r="G532" i="1"/>
  <c r="H532" i="1"/>
  <c r="I532" i="1"/>
  <c r="J532" i="1"/>
  <c r="K532" i="1"/>
  <c r="L532" i="1"/>
  <c r="C533" i="1"/>
  <c r="D533" i="1"/>
  <c r="E533" i="1"/>
  <c r="F533" i="1"/>
  <c r="G533" i="1"/>
  <c r="H533" i="1"/>
  <c r="I533" i="1"/>
  <c r="J533" i="1"/>
  <c r="K533" i="1"/>
  <c r="L533" i="1"/>
  <c r="C534" i="1"/>
  <c r="D534" i="1"/>
  <c r="E534" i="1"/>
  <c r="F534" i="1"/>
  <c r="G534" i="1"/>
  <c r="H534" i="1"/>
  <c r="I534" i="1"/>
  <c r="J534" i="1"/>
  <c r="K534" i="1"/>
  <c r="L534" i="1"/>
  <c r="C535" i="1"/>
  <c r="D535" i="1"/>
  <c r="E535" i="1"/>
  <c r="F535" i="1"/>
  <c r="G535" i="1"/>
  <c r="H535" i="1"/>
  <c r="I535" i="1"/>
  <c r="J535" i="1"/>
  <c r="K535" i="1"/>
  <c r="L535" i="1"/>
  <c r="C536" i="1"/>
  <c r="D536" i="1"/>
  <c r="E536" i="1"/>
  <c r="F536" i="1"/>
  <c r="G536" i="1"/>
  <c r="H536" i="1"/>
  <c r="I536" i="1"/>
  <c r="J536" i="1"/>
  <c r="K536" i="1"/>
  <c r="L536" i="1"/>
  <c r="C537" i="1"/>
  <c r="D537" i="1"/>
  <c r="E537" i="1"/>
  <c r="F537" i="1"/>
  <c r="G537" i="1"/>
  <c r="H537" i="1"/>
  <c r="I537" i="1"/>
  <c r="J537" i="1"/>
  <c r="K537" i="1"/>
  <c r="L537" i="1"/>
  <c r="C538" i="1"/>
  <c r="D538" i="1"/>
  <c r="E538" i="1"/>
  <c r="F538" i="1"/>
  <c r="G538" i="1"/>
  <c r="H538" i="1"/>
  <c r="I538" i="1"/>
  <c r="J538" i="1"/>
  <c r="K538" i="1"/>
  <c r="L538" i="1"/>
  <c r="C539" i="1"/>
  <c r="D539" i="1"/>
  <c r="E539" i="1"/>
  <c r="F539" i="1"/>
  <c r="G539" i="1"/>
  <c r="H539" i="1"/>
  <c r="I539" i="1"/>
  <c r="J539" i="1"/>
  <c r="K539" i="1"/>
  <c r="L539" i="1"/>
  <c r="C540" i="1"/>
  <c r="D540" i="1"/>
  <c r="E540" i="1"/>
  <c r="F540" i="1"/>
  <c r="G540" i="1"/>
  <c r="H540" i="1"/>
  <c r="I540" i="1"/>
  <c r="J540" i="1"/>
  <c r="K540" i="1"/>
  <c r="L540" i="1"/>
  <c r="D281" i="1"/>
  <c r="E281" i="1"/>
  <c r="F281" i="1"/>
  <c r="G281" i="1"/>
  <c r="H281" i="1"/>
  <c r="I281" i="1"/>
  <c r="J281" i="1"/>
  <c r="K281" i="1"/>
  <c r="L281" i="1"/>
  <c r="C281" i="1"/>
  <c r="K549" i="1" l="1"/>
  <c r="J549" i="1"/>
  <c r="G549" i="1"/>
  <c r="H549" i="1"/>
  <c r="E549" i="1"/>
  <c r="F549" i="1"/>
  <c r="D549" i="1"/>
  <c r="I549" i="1"/>
  <c r="L549" i="1"/>
  <c r="I547" i="1"/>
  <c r="G546" i="1"/>
  <c r="E547" i="1"/>
  <c r="D547" i="1"/>
  <c r="F546" i="1"/>
  <c r="J547" i="1"/>
  <c r="L547" i="1"/>
  <c r="K547" i="1"/>
  <c r="H547" i="1"/>
  <c r="J546" i="1"/>
  <c r="I546" i="1"/>
  <c r="H546" i="1"/>
  <c r="G547" i="1"/>
  <c r="F547" i="1"/>
  <c r="E546" i="1"/>
  <c r="D16" i="2"/>
  <c r="F15" i="2"/>
  <c r="E15" i="2"/>
  <c r="D546" i="1"/>
  <c r="L546" i="1"/>
  <c r="K546" i="1"/>
  <c r="D17" i="2" l="1"/>
  <c r="F16" i="2"/>
  <c r="E16" i="2"/>
  <c r="D18" i="2" l="1"/>
  <c r="E17" i="2"/>
  <c r="F17" i="2"/>
  <c r="D19" i="2" l="1"/>
  <c r="E18" i="2"/>
  <c r="F18" i="2"/>
  <c r="D20" i="2" l="1"/>
  <c r="E19" i="2"/>
  <c r="F19" i="2"/>
  <c r="D21" i="2" l="1"/>
  <c r="E20" i="2"/>
  <c r="F20" i="2"/>
  <c r="D22" i="2" l="1"/>
  <c r="E21" i="2"/>
  <c r="F21" i="2"/>
  <c r="D23" i="2" l="1"/>
  <c r="E22" i="2"/>
  <c r="F22" i="2"/>
  <c r="D24" i="2" l="1"/>
  <c r="E23" i="2"/>
  <c r="F23" i="2"/>
  <c r="D25" i="2" l="1"/>
  <c r="F24" i="2"/>
  <c r="E24" i="2"/>
  <c r="D26" i="2" l="1"/>
  <c r="F25" i="2"/>
  <c r="E25" i="2"/>
  <c r="D27" i="2" l="1"/>
  <c r="F26" i="2"/>
  <c r="E26" i="2"/>
  <c r="F27" i="2" l="1"/>
  <c r="E27" i="2"/>
  <c r="D28" i="2" l="1"/>
  <c r="E28" i="2" l="1"/>
  <c r="F28" i="2"/>
  <c r="C2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<sst xmlns="http://schemas.openxmlformats.org/spreadsheetml/2006/main" count="113" uniqueCount="64">
  <si>
    <t>(14-Mar-2021 to 08-Mar-2026)</t>
  </si>
  <si>
    <t>Date</t>
  </si>
  <si>
    <t>Nifty 50</t>
  </si>
  <si>
    <t>Nifty IT</t>
  </si>
  <si>
    <t>TCS</t>
  </si>
  <si>
    <t>Infosys</t>
  </si>
  <si>
    <t>HCL Technologies</t>
  </si>
  <si>
    <t>Wipro</t>
  </si>
  <si>
    <t>Tech Mahindra</t>
  </si>
  <si>
    <t>LTIMindtree</t>
  </si>
  <si>
    <t>Persistent Systems</t>
  </si>
  <si>
    <t>Oracle Fin.Serv.</t>
  </si>
  <si>
    <t>Mphasis</t>
  </si>
  <si>
    <t>Coforge</t>
  </si>
  <si>
    <t>IT - Software | Sector Comps -  Relative Value Analysis</t>
  </si>
  <si>
    <t>(Figures in Rs. Cr., except price per share, shares outstanding, and other ratios)</t>
  </si>
  <si>
    <t>2. Returns of stocks, for 5 year period</t>
  </si>
  <si>
    <r>
      <t xml:space="preserve">1. Historical Price of Stocks, for 5 year period </t>
    </r>
    <r>
      <rPr>
        <b/>
        <i/>
        <sz val="10"/>
        <color theme="1"/>
        <rFont val="Aptos"/>
        <family val="2"/>
      </rPr>
      <t>(investing.com)</t>
    </r>
  </si>
  <si>
    <t>3. Calculation of Average &amp; Variance of each stock</t>
  </si>
  <si>
    <t>Average</t>
  </si>
  <si>
    <t>Variance</t>
  </si>
  <si>
    <t>INFY</t>
  </si>
  <si>
    <t>HCLTECH</t>
  </si>
  <si>
    <t>WIPRO</t>
  </si>
  <si>
    <t>TECHM</t>
  </si>
  <si>
    <t>LTM</t>
  </si>
  <si>
    <t>PERSISTENT</t>
  </si>
  <si>
    <t>OFSLL</t>
  </si>
  <si>
    <t>MPHASIS</t>
  </si>
  <si>
    <t>COFORGE</t>
  </si>
  <si>
    <t>4. Covariance Matrix</t>
  </si>
  <si>
    <t>5. Optimisation of Stocks</t>
  </si>
  <si>
    <t xml:space="preserve"> </t>
  </si>
  <si>
    <t>E(R)</t>
  </si>
  <si>
    <t>Security</t>
  </si>
  <si>
    <t>Two-Security Efficient Frontier Model</t>
  </si>
  <si>
    <t>Volatility</t>
  </si>
  <si>
    <t>Expected Return</t>
  </si>
  <si>
    <t>Covariance</t>
  </si>
  <si>
    <t>Gold</t>
  </si>
  <si>
    <t>GOLD</t>
  </si>
  <si>
    <t>Annual Volatility</t>
  </si>
  <si>
    <t>Daily Volatility</t>
  </si>
  <si>
    <t>Average Returns</t>
  </si>
  <si>
    <t>Portfolio</t>
  </si>
  <si>
    <t>Weight Nifty 50</t>
  </si>
  <si>
    <t>Return</t>
  </si>
  <si>
    <t>Sharpe Ratio</t>
  </si>
  <si>
    <t>Volatility Formula in portfolio</t>
  </si>
  <si>
    <t>Optimal Comb</t>
  </si>
  <si>
    <t>Optimal Combination</t>
  </si>
  <si>
    <t>X</t>
  </si>
  <si>
    <t>Y</t>
  </si>
  <si>
    <t>Expected return</t>
  </si>
  <si>
    <t>CAGR</t>
  </si>
  <si>
    <t>Total Years</t>
  </si>
  <si>
    <t>Stocks</t>
  </si>
  <si>
    <t>Weight</t>
  </si>
  <si>
    <t xml:space="preserve">Maximum </t>
  </si>
  <si>
    <t>Minimum</t>
  </si>
  <si>
    <t xml:space="preserve">Portfolio </t>
  </si>
  <si>
    <t>Portfolio std dev</t>
  </si>
  <si>
    <r>
      <t>Volatility (</t>
    </r>
    <r>
      <rPr>
        <b/>
        <sz val="9.35"/>
        <color theme="1"/>
        <rFont val="Calibri"/>
        <family val="2"/>
      </rPr>
      <t>σ)</t>
    </r>
  </si>
  <si>
    <t>Volatility (σ)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</si>
</sst>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%"/>
    <numFmt numFmtId="166" formatCode="0.000%"/>
    <numFmt numFmtId="167" formatCode="0.00000"/>
  </numFmts>
  <fonts count="13" x14ac:knownFonts="1">
    <font>
      <sz val="11"/>
      <color theme="1"/>
      <name val="Calibri"/>
      <family val="2"/>
    </font>
    <font>
      <b/>
      <sz val="10"/>
      <color theme="1"/>
      <name val="Aptos"/>
      <family val="2"/>
    </font>
    <font>
      <b/>
      <i/>
      <sz val="10"/>
      <color theme="1"/>
      <name val="Aptos"/>
      <family val="2"/>
    </font>
    <font>
      <sz val="10"/>
      <color theme="1"/>
      <name val="Aptos"/>
      <family val="2"/>
    </font>
    <font>
      <i/>
      <sz val="10"/>
      <color theme="1"/>
      <name val="Aptos"/>
      <family val="2"/>
    </font>
    <font>
      <b/>
      <sz val="10"/>
      <color theme="0"/>
      <name val="Aptos"/>
      <family val="2"/>
    </font>
    <font>
      <sz val="10"/>
      <color theme="0"/>
      <name val="Aptos"/>
      <family val="2"/>
    </font>
    <font>
      <i/>
      <sz val="10"/>
      <color theme="0"/>
      <name val="Aptos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9.35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144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5" fontId="3" fillId="0" borderId="7" xfId="0" applyNumberFormat="1" applyFont="1" applyBorder="1"/>
    <xf numFmtId="4" fontId="3" fillId="0" borderId="0" xfId="0" applyNumberFormat="1" applyFont="1" applyAlignment="1">
      <alignment horizontal="right"/>
    </xf>
    <xf numFmtId="4" fontId="3" fillId="0" borderId="8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15" fontId="3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9" fillId="0" borderId="0" xfId="0" applyFont="1"/>
    <xf numFmtId="10" fontId="0" fillId="0" borderId="0" xfId="1" applyNumberFormat="1" applyFont="1"/>
    <xf numFmtId="0" fontId="0" fillId="0" borderId="8" xfId="0" applyBorder="1"/>
    <xf numFmtId="10" fontId="0" fillId="0" borderId="0" xfId="1" applyNumberFormat="1" applyFont="1" applyBorder="1"/>
    <xf numFmtId="10" fontId="0" fillId="0" borderId="8" xfId="1" applyNumberFormat="1" applyFont="1" applyBorder="1"/>
    <xf numFmtId="10" fontId="0" fillId="0" borderId="5" xfId="1" applyNumberFormat="1" applyFont="1" applyBorder="1"/>
    <xf numFmtId="10" fontId="0" fillId="0" borderId="6" xfId="1" applyNumberFormat="1" applyFont="1" applyBorder="1"/>
    <xf numFmtId="10" fontId="0" fillId="0" borderId="0" xfId="0" applyNumberFormat="1"/>
    <xf numFmtId="0" fontId="10" fillId="4" borderId="10" xfId="0" applyFont="1" applyFill="1" applyBorder="1" applyAlignment="1">
      <alignment horizontal="center"/>
    </xf>
    <xf numFmtId="164" fontId="0" fillId="0" borderId="0" xfId="0" applyNumberFormat="1"/>
    <xf numFmtId="164" fontId="0" fillId="0" borderId="9" xfId="0" applyNumberFormat="1" applyBorder="1"/>
    <xf numFmtId="0" fontId="9" fillId="2" borderId="0" xfId="0" applyFont="1" applyFill="1"/>
    <xf numFmtId="0" fontId="9" fillId="2" borderId="9" xfId="0" applyFont="1" applyFill="1" applyBorder="1"/>
    <xf numFmtId="0" fontId="9" fillId="2" borderId="10" xfId="0" applyFont="1" applyFill="1" applyBorder="1" applyAlignment="1">
      <alignment horizontal="center"/>
    </xf>
    <xf numFmtId="9" fontId="0" fillId="0" borderId="0" xfId="1" applyFont="1"/>
    <xf numFmtId="2" fontId="0" fillId="0" borderId="0" xfId="0" applyNumberFormat="1"/>
    <xf numFmtId="9" fontId="0" fillId="0" borderId="0" xfId="0" applyNumberFormat="1"/>
    <xf numFmtId="2" fontId="0" fillId="0" borderId="0" xfId="1" applyNumberFormat="1" applyFont="1"/>
    <xf numFmtId="14" fontId="0" fillId="0" borderId="0" xfId="0" applyNumberFormat="1"/>
    <xf numFmtId="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7" fontId="0" fillId="0" borderId="0" xfId="1" applyNumberFormat="1" applyFont="1"/>
    <xf numFmtId="0" fontId="11" fillId="0" borderId="0" xfId="0" applyFont="1" applyAlignment="1">
      <alignment horizontal="center"/>
    </xf>
    <xf numFmtId="166" fontId="0" fillId="0" borderId="0" xfId="0" applyNumberFormat="1"/>
    <xf numFmtId="2" fontId="9" fillId="0" borderId="0" xfId="1" applyNumberFormat="1" applyFont="1"/>
    <xf numFmtId="165" fontId="9" fillId="0" borderId="0" xfId="0" applyNumberFormat="1" applyFont="1"/>
    <xf numFmtId="10" fontId="9" fillId="0" borderId="0" xfId="1" applyNumberFormat="1" applyFont="1"/>
    <xf numFmtId="166" fontId="9" fillId="0" borderId="0" xfId="0" applyNumberFormat="1" applyFont="1"/>
    <xf numFmtId="15" fontId="3" fillId="0" borderId="0" xfId="0" applyNumberFormat="1" applyFont="1"/>
    <xf numFmtId="15" fontId="1" fillId="0" borderId="0" xfId="0" applyNumberFormat="1" applyFont="1"/>
    <xf numFmtId="10" fontId="8" fillId="0" borderId="0" xfId="1" applyNumberFormat="1" applyFont="1" applyAlignment="1"/>
    <xf numFmtId="165" fontId="0" fillId="0" borderId="0" xfId="1" applyNumberFormat="1" applyFont="1" applyAlignment="1"/>
    <xf numFmtId="10" fontId="0" fillId="0" borderId="0" xfId="1" applyNumberFormat="1" applyFont="1" applyAlignment="1"/>
    <xf numFmtId="2" fontId="9" fillId="0" borderId="0" xfId="0" applyNumberFormat="1" applyFont="1"/>
    <xf numFmtId="9" fontId="9" fillId="2" borderId="0" xfId="1" applyFont="1" applyFill="1"/>
    <xf numFmtId="10" fontId="9" fillId="2" borderId="0" xfId="0" applyNumberFormat="1" applyFont="1" applyFill="1"/>
    <xf numFmtId="165" fontId="9" fillId="2" borderId="0" xfId="1" applyNumberFormat="1" applyFont="1" applyFill="1"/>
    <xf numFmtId="0" fontId="0" fillId="2" borderId="0" xfId="0" applyFill="1"/>
    <xf numFmtId="2" fontId="1" fillId="0" borderId="0" xfId="0" applyNumberFormat="1" applyFont="1" applyAlignment="1">
      <alignment horizontal="right"/>
    </xf>
    <xf numFmtId="165" fontId="1" fillId="0" borderId="0" xfId="1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Efficient Frontier</a:t>
            </a:r>
            <a:r>
              <a:rPr lang="en-IN" baseline="0"/>
              <a:t> &amp; Capital Allocation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Efficient_frontier!$F$10</c:f>
              <c:strCache>
                <c:ptCount val="1"/>
                <c:pt idx="0">
                  <c:v>Return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Efficient_frontier!$E$11:$E$27</c:f>
              <c:numCache>
                <c:formatCode>0.00%</c:formatCode>
                <c:ptCount val="17"/>
                <c:pt idx="0">
                  <c:v>0.37339165878727071</c:v>
                </c:pt>
                <c:pt idx="1">
                  <c:v>0.34431844007242268</c:v>
                </c:pt>
                <c:pt idx="2">
                  <c:v>0.31555285781042924</c:v>
                </c:pt>
                <c:pt idx="3">
                  <c:v>0.28718736836284581</c:v>
                </c:pt>
                <c:pt idx="4">
                  <c:v>0.25935327952129361</c:v>
                </c:pt>
                <c:pt idx="5">
                  <c:v>0.23224173446249732</c:v>
                </c:pt>
                <c:pt idx="6">
                  <c:v>0.20613802034140477</c:v>
                </c:pt>
                <c:pt idx="7">
                  <c:v>0.18147755842203522</c:v>
                </c:pt>
                <c:pt idx="8">
                  <c:v>0.15893358854502238</c:v>
                </c:pt>
                <c:pt idx="9">
                  <c:v>0.13953575707036248</c:v>
                </c:pt>
                <c:pt idx="10">
                  <c:v>0.12476029020095061</c:v>
                </c:pt>
                <c:pt idx="11">
                  <c:v>0.11638124031508298</c:v>
                </c:pt>
                <c:pt idx="12">
                  <c:v>0.11579558178080131</c:v>
                </c:pt>
                <c:pt idx="13">
                  <c:v>0.12311458483484751</c:v>
                </c:pt>
                <c:pt idx="14">
                  <c:v>0.13707788229537601</c:v>
                </c:pt>
                <c:pt idx="15">
                  <c:v>0.15591039479950825</c:v>
                </c:pt>
                <c:pt idx="16">
                  <c:v>0.17807390930430425</c:v>
                </c:pt>
              </c:numCache>
            </c:numRef>
          </c:xVal>
          <c:yVal>
            <c:numRef>
              <c:f>Efficient_frontier!$F$11:$F$27</c:f>
              <c:numCache>
                <c:formatCode>0.000%</c:formatCode>
                <c:ptCount val="17"/>
                <c:pt idx="0">
                  <c:v>0.14550000000000002</c:v>
                </c:pt>
                <c:pt idx="1">
                  <c:v>0.14200000000000002</c:v>
                </c:pt>
                <c:pt idx="2">
                  <c:v>0.13850000000000001</c:v>
                </c:pt>
                <c:pt idx="3">
                  <c:v>0.13500000000000001</c:v>
                </c:pt>
                <c:pt idx="4">
                  <c:v>0.13150000000000001</c:v>
                </c:pt>
                <c:pt idx="5">
                  <c:v>0.128</c:v>
                </c:pt>
                <c:pt idx="6">
                  <c:v>0.1245</c:v>
                </c:pt>
                <c:pt idx="7">
                  <c:v>0.12100000000000001</c:v>
                </c:pt>
                <c:pt idx="8">
                  <c:v>0.11750000000000001</c:v>
                </c:pt>
                <c:pt idx="9">
                  <c:v>0.114</c:v>
                </c:pt>
                <c:pt idx="10">
                  <c:v>0.1105</c:v>
                </c:pt>
                <c:pt idx="11">
                  <c:v>0.10700000000000001</c:v>
                </c:pt>
                <c:pt idx="12">
                  <c:v>0.10350000000000001</c:v>
                </c:pt>
                <c:pt idx="13">
                  <c:v>0.1</c:v>
                </c:pt>
                <c:pt idx="14">
                  <c:v>9.6500000000000002E-2</c:v>
                </c:pt>
                <c:pt idx="15">
                  <c:v>9.2999999999999999E-2</c:v>
                </c:pt>
                <c:pt idx="16">
                  <c:v>8.9499999999999996E-2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87-46CE-92A2-DDCC181663BD}"/>
            </c:ext>
          </c:extLst>
        </c:ser>
        <c:ser>
          <c:idx val="1"/>
          <c:order val="1"/>
          <c:tx>
            <c:strRef>
              <c:f>Efficient_frontier!$H$34:$H$35</c:f>
              <c:strCache>
                <c:ptCount val="2"/>
                <c:pt idx="0">
                  <c:v>0</c:v>
                </c:pt>
                <c:pt idx="1">
                  <c:v>11.64%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Efficient_frontier!$H$34:$H$35</c:f>
              <c:numCache>
                <c:formatCode>0.00%</c:formatCode>
                <c:ptCount val="2"/>
                <c:pt idx="0" formatCode="General">
                  <c:v>0</c:v>
                </c:pt>
                <c:pt idx="1">
                  <c:v>0.1164</c:v>
                </c:pt>
              </c:numCache>
            </c:numRef>
          </c:xVal>
          <c:yVal>
            <c:numRef>
              <c:f>Efficient_frontier!$I$34:$I$35</c:f>
              <c:numCache>
                <c:formatCode>0.00%</c:formatCode>
                <c:ptCount val="2"/>
                <c:pt idx="0" formatCode="General">
                  <c:v>0</c:v>
                </c:pt>
                <c:pt idx="1">
                  <c:v>0.107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787-46CE-92A2-DDCC18166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114240"/>
        <c:axId val="561117600"/>
      </c:scatterChart>
      <c:valAx>
        <c:axId val="56111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17600"/>
        <c:crosses val="autoZero"/>
        <c:crossBetween val="midCat"/>
      </c:valAx>
      <c:valAx>
        <c:axId val="56111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1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7</xdr:row>
      <xdr:rowOff>167640</xdr:rowOff>
    </xdr:from>
    <xdr:to>
      <xdr:col>13</xdr:col>
      <xdr:colOff>60960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4998D7-9DF1-D9D1-ED38-5092DA0F7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D189-6465-4255-A81D-D12A9206B532}">
  <dimension ref="B2:N592"/>
  <sheetViews>
    <sheetView topLeftCell="A559" zoomScale="85" zoomScaleNormal="85" workbookViewId="0">
      <selection activeCell="C555" sqref="C555"/>
    </sheetView>
  </sheetViews>
  <sheetFormatPr defaultRowHeight="14.4" outlineLevelRow="1" x14ac:dyDescent="0.3"/>
  <cols>
    <col min="1" max="1" width="2.88671875" customWidth="1"/>
    <col min="2" max="2" width="18.33203125" customWidth="1"/>
    <col min="3" max="14" width="13.21875" customWidth="1"/>
    <col min="15" max="19" width="11.88671875" customWidth="1"/>
  </cols>
  <sheetData>
    <row r="2" spans="2:14" x14ac:dyDescent="0.3">
      <c r="B2" s="12" t="s">
        <v>14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x14ac:dyDescent="0.3">
      <c r="B3" s="14" t="s">
        <v>15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x14ac:dyDescent="0.3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2:14" s="2" customFormat="1" ht="13.8" x14ac:dyDescent="0.3"/>
    <row r="6" spans="2:14" x14ac:dyDescent="0.3">
      <c r="B6" s="1" t="s">
        <v>17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x14ac:dyDescent="0.3">
      <c r="B7" s="3" t="s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2:14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 x14ac:dyDescent="0.3">
      <c r="B9" s="61" t="s">
        <v>1</v>
      </c>
      <c r="C9" s="57" t="s">
        <v>2</v>
      </c>
      <c r="D9" s="57" t="s">
        <v>3</v>
      </c>
      <c r="E9" s="57" t="s">
        <v>4</v>
      </c>
      <c r="F9" s="57" t="s">
        <v>5</v>
      </c>
      <c r="G9" s="57" t="s">
        <v>6</v>
      </c>
      <c r="H9" s="57" t="s">
        <v>7</v>
      </c>
      <c r="I9" s="57" t="s">
        <v>8</v>
      </c>
      <c r="J9" s="57" t="s">
        <v>9</v>
      </c>
      <c r="K9" s="57" t="s">
        <v>10</v>
      </c>
      <c r="L9" s="57" t="s">
        <v>11</v>
      </c>
      <c r="M9" s="57" t="s">
        <v>12</v>
      </c>
      <c r="N9" s="59" t="s">
        <v>13</v>
      </c>
    </row>
    <row r="10" spans="2:14" x14ac:dyDescent="0.3">
      <c r="B10" s="62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60"/>
    </row>
    <row r="11" spans="2:14" x14ac:dyDescent="0.3">
      <c r="B11" s="4">
        <v>46089</v>
      </c>
      <c r="C11" s="5">
        <v>23866.85</v>
      </c>
      <c r="D11" s="5">
        <v>29651.7</v>
      </c>
      <c r="E11" s="5">
        <v>2461</v>
      </c>
      <c r="F11" s="5">
        <v>1275.8</v>
      </c>
      <c r="G11" s="5">
        <v>1350.6</v>
      </c>
      <c r="H11" s="5">
        <v>201.8</v>
      </c>
      <c r="I11" s="5">
        <v>1334.2</v>
      </c>
      <c r="J11" s="5">
        <v>4274</v>
      </c>
      <c r="K11" s="5">
        <v>4747.8999999999996</v>
      </c>
      <c r="L11" s="5">
        <v>6770.5</v>
      </c>
      <c r="M11" s="5">
        <v>2178</v>
      </c>
      <c r="N11" s="6">
        <v>1111</v>
      </c>
    </row>
    <row r="12" spans="2:14" x14ac:dyDescent="0.3">
      <c r="B12" s="4">
        <v>46082</v>
      </c>
      <c r="C12" s="5">
        <v>24450.45</v>
      </c>
      <c r="D12" s="5">
        <v>30138.400000000001</v>
      </c>
      <c r="E12" s="5">
        <v>2557.6</v>
      </c>
      <c r="F12" s="5">
        <v>1308.4000000000001</v>
      </c>
      <c r="G12" s="5">
        <v>1356.7</v>
      </c>
      <c r="H12" s="5">
        <v>195.4</v>
      </c>
      <c r="I12" s="5">
        <v>1331.7</v>
      </c>
      <c r="J12" s="5">
        <v>4292</v>
      </c>
      <c r="K12" s="5">
        <v>4777.5</v>
      </c>
      <c r="L12" s="5">
        <v>6718</v>
      </c>
      <c r="M12" s="5">
        <v>2214.8000000000002</v>
      </c>
      <c r="N12" s="6">
        <v>1162.9000000000001</v>
      </c>
    </row>
    <row r="13" spans="2:14" hidden="1" outlineLevel="1" x14ac:dyDescent="0.3">
      <c r="B13" s="4">
        <v>46075</v>
      </c>
      <c r="C13" s="5">
        <v>25178.65</v>
      </c>
      <c r="D13" s="5">
        <v>30603.85</v>
      </c>
      <c r="E13" s="5">
        <v>2637.4</v>
      </c>
      <c r="F13" s="5">
        <v>1300.0999999999999</v>
      </c>
      <c r="G13" s="5">
        <v>1389.1</v>
      </c>
      <c r="H13" s="5">
        <v>200.96</v>
      </c>
      <c r="I13" s="5">
        <v>1357.8</v>
      </c>
      <c r="J13" s="5">
        <v>4462</v>
      </c>
      <c r="K13" s="5">
        <v>4733</v>
      </c>
      <c r="L13" s="5">
        <v>6932</v>
      </c>
      <c r="M13" s="5">
        <v>2296.5</v>
      </c>
      <c r="N13" s="6">
        <v>1185.8</v>
      </c>
    </row>
    <row r="14" spans="2:14" hidden="1" outlineLevel="1" x14ac:dyDescent="0.3">
      <c r="B14" s="4">
        <v>46068</v>
      </c>
      <c r="C14" s="5">
        <v>25571.25</v>
      </c>
      <c r="D14" s="5">
        <v>32004.05</v>
      </c>
      <c r="E14" s="5">
        <v>2686.2</v>
      </c>
      <c r="F14" s="5">
        <v>1353.2</v>
      </c>
      <c r="G14" s="5">
        <v>1436.5</v>
      </c>
      <c r="H14" s="5">
        <v>209.86</v>
      </c>
      <c r="I14" s="5">
        <v>1456.9</v>
      </c>
      <c r="J14" s="5">
        <v>4889.5</v>
      </c>
      <c r="K14" s="5">
        <v>5092</v>
      </c>
      <c r="L14" s="5">
        <v>6642.5</v>
      </c>
      <c r="M14" s="5">
        <v>2373.8000000000002</v>
      </c>
      <c r="N14" s="6">
        <v>1340.6</v>
      </c>
    </row>
    <row r="15" spans="2:14" hidden="1" outlineLevel="1" x14ac:dyDescent="0.3">
      <c r="B15" s="4">
        <v>46061</v>
      </c>
      <c r="C15" s="7">
        <v>25471.1</v>
      </c>
      <c r="D15" s="7">
        <v>32681.5</v>
      </c>
      <c r="E15" s="7">
        <v>2692.2</v>
      </c>
      <c r="F15" s="7">
        <v>1369.1</v>
      </c>
      <c r="G15" s="7">
        <v>1455.2</v>
      </c>
      <c r="H15" s="7">
        <v>214.09</v>
      </c>
      <c r="I15" s="7">
        <v>1534.4</v>
      </c>
      <c r="J15" s="7">
        <v>5115.5</v>
      </c>
      <c r="K15" s="7">
        <v>5479</v>
      </c>
      <c r="L15" s="7">
        <v>6639</v>
      </c>
      <c r="M15" s="7">
        <v>2458.4</v>
      </c>
      <c r="N15" s="8">
        <v>1361.8</v>
      </c>
    </row>
    <row r="16" spans="2:14" hidden="1" outlineLevel="1" x14ac:dyDescent="0.3">
      <c r="B16" s="4">
        <v>46054</v>
      </c>
      <c r="C16" s="7">
        <v>25693.7</v>
      </c>
      <c r="D16" s="7">
        <v>35611.050000000003</v>
      </c>
      <c r="E16" s="7">
        <v>2941.6</v>
      </c>
      <c r="F16" s="7">
        <v>1507.1</v>
      </c>
      <c r="G16" s="7">
        <v>1593.7</v>
      </c>
      <c r="H16" s="7">
        <v>230.72</v>
      </c>
      <c r="I16" s="7">
        <v>1619.9</v>
      </c>
      <c r="J16" s="7">
        <v>5561.5</v>
      </c>
      <c r="K16" s="7">
        <v>5852</v>
      </c>
      <c r="L16" s="7">
        <v>7264</v>
      </c>
      <c r="M16" s="7">
        <v>2610.5</v>
      </c>
      <c r="N16" s="8">
        <v>1546</v>
      </c>
    </row>
    <row r="17" spans="2:14" hidden="1" outlineLevel="1" x14ac:dyDescent="0.3">
      <c r="B17" s="4">
        <v>46047</v>
      </c>
      <c r="C17" s="7">
        <v>25320.65</v>
      </c>
      <c r="D17" s="7">
        <v>38036.15</v>
      </c>
      <c r="E17" s="7">
        <v>3123.9</v>
      </c>
      <c r="F17" s="7">
        <v>1641</v>
      </c>
      <c r="G17" s="7">
        <v>1695.6</v>
      </c>
      <c r="H17" s="7">
        <v>236.9</v>
      </c>
      <c r="I17" s="7">
        <v>1743.1</v>
      </c>
      <c r="J17" s="7">
        <v>5974.5</v>
      </c>
      <c r="K17" s="7">
        <v>6035</v>
      </c>
      <c r="L17" s="7">
        <v>7760</v>
      </c>
      <c r="M17" s="7">
        <v>2759</v>
      </c>
      <c r="N17" s="8">
        <v>1653.8</v>
      </c>
    </row>
    <row r="18" spans="2:14" hidden="1" outlineLevel="1" x14ac:dyDescent="0.3">
      <c r="B18" s="4">
        <v>46040</v>
      </c>
      <c r="C18" s="7">
        <v>25048.65</v>
      </c>
      <c r="D18" s="7">
        <v>38238.5</v>
      </c>
      <c r="E18" s="7">
        <v>3162.5</v>
      </c>
      <c r="F18" s="7">
        <v>1670.8</v>
      </c>
      <c r="G18" s="7">
        <v>1707</v>
      </c>
      <c r="H18" s="7">
        <v>238.4</v>
      </c>
      <c r="I18" s="7">
        <v>1701.1</v>
      </c>
      <c r="J18" s="7">
        <v>5893.5</v>
      </c>
      <c r="K18" s="7">
        <v>6155</v>
      </c>
      <c r="L18" s="7">
        <v>7956</v>
      </c>
      <c r="M18" s="7">
        <v>2752.8</v>
      </c>
      <c r="N18" s="8">
        <v>1636.4</v>
      </c>
    </row>
    <row r="19" spans="2:14" hidden="1" outlineLevel="1" x14ac:dyDescent="0.3">
      <c r="B19" s="4">
        <v>46033</v>
      </c>
      <c r="C19" s="7">
        <v>25694.35</v>
      </c>
      <c r="D19" s="7">
        <v>39086.65</v>
      </c>
      <c r="E19" s="7">
        <v>3206.7</v>
      </c>
      <c r="F19" s="7">
        <v>1689.8</v>
      </c>
      <c r="G19" s="7">
        <v>1698</v>
      </c>
      <c r="H19" s="7">
        <v>267.45</v>
      </c>
      <c r="I19" s="7">
        <v>1670.5</v>
      </c>
      <c r="J19" s="7">
        <v>6308</v>
      </c>
      <c r="K19" s="7">
        <v>6403</v>
      </c>
      <c r="L19" s="7">
        <v>7959.5</v>
      </c>
      <c r="M19" s="7">
        <v>2886.5</v>
      </c>
      <c r="N19" s="8">
        <v>1732.3</v>
      </c>
    </row>
    <row r="20" spans="2:14" hidden="1" outlineLevel="1" x14ac:dyDescent="0.3">
      <c r="B20" s="4">
        <v>46026</v>
      </c>
      <c r="C20" s="7">
        <v>25683.3</v>
      </c>
      <c r="D20" s="7">
        <v>38027.199999999997</v>
      </c>
      <c r="E20" s="7">
        <v>3161.58</v>
      </c>
      <c r="F20" s="7">
        <v>1614.1</v>
      </c>
      <c r="G20" s="7">
        <v>1661.4</v>
      </c>
      <c r="H20" s="7">
        <v>261.95</v>
      </c>
      <c r="I20" s="7">
        <v>1582.2</v>
      </c>
      <c r="J20" s="7">
        <v>6037</v>
      </c>
      <c r="K20" s="7">
        <v>6417</v>
      </c>
      <c r="L20" s="7">
        <v>7597.5</v>
      </c>
      <c r="M20" s="7">
        <v>2838.2</v>
      </c>
      <c r="N20" s="8">
        <v>1681.6</v>
      </c>
    </row>
    <row r="21" spans="2:14" hidden="1" outlineLevel="1" x14ac:dyDescent="0.3">
      <c r="B21" s="4">
        <v>46019</v>
      </c>
      <c r="C21" s="7">
        <v>26328.55</v>
      </c>
      <c r="D21" s="7">
        <v>38320.300000000003</v>
      </c>
      <c r="E21" s="7">
        <v>3203.86</v>
      </c>
      <c r="F21" s="7">
        <v>1640.4</v>
      </c>
      <c r="G21" s="7">
        <v>1640.2</v>
      </c>
      <c r="H21" s="7">
        <v>269</v>
      </c>
      <c r="I21" s="7">
        <v>1612</v>
      </c>
      <c r="J21" s="7">
        <v>6067</v>
      </c>
      <c r="K21" s="7">
        <v>6289.5</v>
      </c>
      <c r="L21" s="7">
        <v>7731.5</v>
      </c>
      <c r="M21" s="7">
        <v>2807.2</v>
      </c>
      <c r="N21" s="8">
        <v>1650.3</v>
      </c>
    </row>
    <row r="22" spans="2:14" hidden="1" outlineLevel="1" x14ac:dyDescent="0.3">
      <c r="B22" s="4">
        <v>46012</v>
      </c>
      <c r="C22" s="7">
        <v>26042.3</v>
      </c>
      <c r="D22" s="7">
        <v>38572.300000000003</v>
      </c>
      <c r="E22" s="7">
        <v>3232.74</v>
      </c>
      <c r="F22" s="7">
        <v>1656.1</v>
      </c>
      <c r="G22" s="7">
        <v>1660.9</v>
      </c>
      <c r="H22" s="7">
        <v>266.3</v>
      </c>
      <c r="I22" s="7">
        <v>1612.3</v>
      </c>
      <c r="J22" s="7">
        <v>6035.5</v>
      </c>
      <c r="K22" s="7">
        <v>6300.5</v>
      </c>
      <c r="L22" s="7">
        <v>7777</v>
      </c>
      <c r="M22" s="7">
        <v>2850.6</v>
      </c>
      <c r="N22" s="8">
        <v>1673.3</v>
      </c>
    </row>
    <row r="23" spans="2:14" hidden="1" outlineLevel="1" x14ac:dyDescent="0.3">
      <c r="B23" s="4">
        <v>46005</v>
      </c>
      <c r="C23" s="7">
        <v>25966.400000000001</v>
      </c>
      <c r="D23" s="7">
        <v>38691.599999999999</v>
      </c>
      <c r="E23" s="7">
        <v>3282</v>
      </c>
      <c r="F23" s="7">
        <v>1638.7</v>
      </c>
      <c r="G23" s="7">
        <v>1642.4</v>
      </c>
      <c r="H23" s="7">
        <v>264.45</v>
      </c>
      <c r="I23" s="7">
        <v>1612.5</v>
      </c>
      <c r="J23" s="7">
        <v>6197.5</v>
      </c>
      <c r="K23" s="7">
        <v>6358</v>
      </c>
      <c r="L23" s="7">
        <v>7823.5</v>
      </c>
      <c r="M23" s="7">
        <v>2890.2</v>
      </c>
      <c r="N23" s="8">
        <v>1845.4</v>
      </c>
    </row>
    <row r="24" spans="2:14" hidden="1" outlineLevel="1" x14ac:dyDescent="0.3">
      <c r="B24" s="4">
        <v>45998</v>
      </c>
      <c r="C24" s="7">
        <v>26046.95</v>
      </c>
      <c r="D24" s="7">
        <v>38274.75</v>
      </c>
      <c r="E24" s="7">
        <v>3220.5</v>
      </c>
      <c r="F24" s="7">
        <v>1598.2</v>
      </c>
      <c r="G24" s="7">
        <v>1673.2</v>
      </c>
      <c r="H24" s="7">
        <v>260.60000000000002</v>
      </c>
      <c r="I24" s="7">
        <v>1578.4</v>
      </c>
      <c r="J24" s="7">
        <v>6284.5</v>
      </c>
      <c r="K24" s="7">
        <v>6336.5</v>
      </c>
      <c r="L24" s="7">
        <v>7990</v>
      </c>
      <c r="M24" s="7">
        <v>2912.7</v>
      </c>
      <c r="N24" s="8">
        <v>1851</v>
      </c>
    </row>
    <row r="25" spans="2:14" hidden="1" outlineLevel="1" x14ac:dyDescent="0.3">
      <c r="B25" s="4">
        <v>45991</v>
      </c>
      <c r="C25" s="7">
        <v>26186.45</v>
      </c>
      <c r="D25" s="7">
        <v>38703.65</v>
      </c>
      <c r="E25" s="7">
        <v>3238.2</v>
      </c>
      <c r="F25" s="7">
        <v>1616.2</v>
      </c>
      <c r="G25" s="7">
        <v>1683</v>
      </c>
      <c r="H25" s="7">
        <v>259.91000000000003</v>
      </c>
      <c r="I25" s="7">
        <v>1570.8</v>
      </c>
      <c r="J25" s="7">
        <v>6292</v>
      </c>
      <c r="K25" s="7">
        <v>6520.5</v>
      </c>
      <c r="L25" s="7">
        <v>8219</v>
      </c>
      <c r="M25" s="7">
        <v>2953.6</v>
      </c>
      <c r="N25" s="8">
        <v>1977.9</v>
      </c>
    </row>
    <row r="26" spans="2:14" hidden="1" outlineLevel="1" x14ac:dyDescent="0.3">
      <c r="B26" s="4">
        <v>45984</v>
      </c>
      <c r="C26" s="7">
        <v>26202.95</v>
      </c>
      <c r="D26" s="7">
        <v>37405.5</v>
      </c>
      <c r="E26" s="7">
        <v>3137.5</v>
      </c>
      <c r="F26" s="7">
        <v>1560.1</v>
      </c>
      <c r="G26" s="7">
        <v>1624.2</v>
      </c>
      <c r="H26" s="7">
        <v>249.53</v>
      </c>
      <c r="I26" s="7">
        <v>1517.3</v>
      </c>
      <c r="J26" s="7">
        <v>6096.5</v>
      </c>
      <c r="K26" s="7">
        <v>6353</v>
      </c>
      <c r="L26" s="7">
        <v>8107</v>
      </c>
      <c r="M26" s="7">
        <v>2811.4</v>
      </c>
      <c r="N26" s="8">
        <v>1908.7</v>
      </c>
    </row>
    <row r="27" spans="2:14" hidden="1" outlineLevel="1" x14ac:dyDescent="0.3">
      <c r="B27" s="4">
        <v>45977</v>
      </c>
      <c r="C27" s="7">
        <v>26068.15</v>
      </c>
      <c r="D27" s="7">
        <v>36885.35</v>
      </c>
      <c r="E27" s="7">
        <v>3150.6</v>
      </c>
      <c r="F27" s="7">
        <v>1545</v>
      </c>
      <c r="G27" s="7">
        <v>1608</v>
      </c>
      <c r="H27" s="7">
        <v>244.49</v>
      </c>
      <c r="I27" s="7">
        <v>1461.5</v>
      </c>
      <c r="J27" s="7">
        <v>5926</v>
      </c>
      <c r="K27" s="7">
        <v>6296.5</v>
      </c>
      <c r="L27" s="7">
        <v>8169.5</v>
      </c>
      <c r="M27" s="7">
        <v>2747.1</v>
      </c>
      <c r="N27" s="8">
        <v>1797.5</v>
      </c>
    </row>
    <row r="28" spans="2:14" hidden="1" outlineLevel="1" x14ac:dyDescent="0.3">
      <c r="B28" s="4">
        <v>45970</v>
      </c>
      <c r="C28" s="7">
        <v>25910.05</v>
      </c>
      <c r="D28" s="7">
        <v>36301.25</v>
      </c>
      <c r="E28" s="7">
        <v>3106</v>
      </c>
      <c r="F28" s="7">
        <v>1502.8</v>
      </c>
      <c r="G28" s="7">
        <v>1594.6</v>
      </c>
      <c r="H28" s="7">
        <v>244.37</v>
      </c>
      <c r="I28" s="7">
        <v>1439.2</v>
      </c>
      <c r="J28" s="7">
        <v>5809</v>
      </c>
      <c r="K28" s="7">
        <v>6101</v>
      </c>
      <c r="L28" s="7">
        <v>8223.5</v>
      </c>
      <c r="M28" s="7">
        <v>2772.1</v>
      </c>
      <c r="N28" s="8">
        <v>1799.6</v>
      </c>
    </row>
    <row r="29" spans="2:14" hidden="1" outlineLevel="1" x14ac:dyDescent="0.3">
      <c r="B29" s="4">
        <v>45963</v>
      </c>
      <c r="C29" s="7">
        <v>25492.3</v>
      </c>
      <c r="D29" s="7">
        <v>35117.65</v>
      </c>
      <c r="E29" s="7">
        <v>2991.8</v>
      </c>
      <c r="F29" s="7">
        <v>1476.8</v>
      </c>
      <c r="G29" s="7">
        <v>1512.4</v>
      </c>
      <c r="H29" s="7">
        <v>236.49</v>
      </c>
      <c r="I29" s="7">
        <v>1386.7</v>
      </c>
      <c r="J29" s="7">
        <v>5567.5</v>
      </c>
      <c r="K29" s="7">
        <v>5781</v>
      </c>
      <c r="L29" s="7">
        <v>8076.5</v>
      </c>
      <c r="M29" s="7">
        <v>2736</v>
      </c>
      <c r="N29" s="8">
        <v>1740.2</v>
      </c>
    </row>
    <row r="30" spans="2:14" hidden="1" outlineLevel="1" x14ac:dyDescent="0.3">
      <c r="B30" s="4">
        <v>45956</v>
      </c>
      <c r="C30" s="7">
        <v>25722.1</v>
      </c>
      <c r="D30" s="7">
        <v>35712.35</v>
      </c>
      <c r="E30" s="7">
        <v>3058</v>
      </c>
      <c r="F30" s="7">
        <v>1482.3</v>
      </c>
      <c r="G30" s="7">
        <v>1541.5</v>
      </c>
      <c r="H30" s="7">
        <v>240.67</v>
      </c>
      <c r="I30" s="7">
        <v>1424.4</v>
      </c>
      <c r="J30" s="7">
        <v>5684.5</v>
      </c>
      <c r="K30" s="7">
        <v>5916.6</v>
      </c>
      <c r="L30" s="7">
        <v>8515</v>
      </c>
      <c r="M30" s="7">
        <v>2764.4</v>
      </c>
      <c r="N30" s="8">
        <v>1778.1</v>
      </c>
    </row>
    <row r="31" spans="2:14" hidden="1" outlineLevel="1" x14ac:dyDescent="0.3">
      <c r="B31" s="4">
        <v>45949</v>
      </c>
      <c r="C31" s="7">
        <v>25795.15</v>
      </c>
      <c r="D31" s="7">
        <v>35986.35</v>
      </c>
      <c r="E31" s="7">
        <v>3063.2</v>
      </c>
      <c r="F31" s="7">
        <v>1525.4</v>
      </c>
      <c r="G31" s="7">
        <v>1523.8</v>
      </c>
      <c r="H31" s="7">
        <v>242.98</v>
      </c>
      <c r="I31" s="7">
        <v>1453.7</v>
      </c>
      <c r="J31" s="7">
        <v>5546</v>
      </c>
      <c r="K31" s="7">
        <v>5826</v>
      </c>
      <c r="L31" s="7">
        <v>8565</v>
      </c>
      <c r="M31" s="7">
        <v>2818.9</v>
      </c>
      <c r="N31" s="8">
        <v>1760</v>
      </c>
    </row>
    <row r="32" spans="2:14" hidden="1" outlineLevel="1" x14ac:dyDescent="0.3">
      <c r="B32" s="4">
        <v>45942</v>
      </c>
      <c r="C32" s="7">
        <v>25709.85</v>
      </c>
      <c r="D32" s="7">
        <v>34950.699999999997</v>
      </c>
      <c r="E32" s="7">
        <v>2962.2</v>
      </c>
      <c r="F32" s="7">
        <v>1441.1</v>
      </c>
      <c r="G32" s="7">
        <v>1486.2</v>
      </c>
      <c r="H32" s="7">
        <v>240.9</v>
      </c>
      <c r="I32" s="7">
        <v>1447.6</v>
      </c>
      <c r="J32" s="7">
        <v>5605</v>
      </c>
      <c r="K32" s="7">
        <v>5755.7</v>
      </c>
      <c r="L32" s="7">
        <v>8780.5</v>
      </c>
      <c r="M32" s="7">
        <v>2693.7</v>
      </c>
      <c r="N32" s="8">
        <v>1734.9</v>
      </c>
    </row>
    <row r="33" spans="2:14" hidden="1" outlineLevel="1" x14ac:dyDescent="0.3">
      <c r="B33" s="4">
        <v>45935</v>
      </c>
      <c r="C33" s="7">
        <v>25285.35</v>
      </c>
      <c r="D33" s="7">
        <v>35609.050000000003</v>
      </c>
      <c r="E33" s="7">
        <v>3028.3</v>
      </c>
      <c r="F33" s="7">
        <v>1514.9</v>
      </c>
      <c r="G33" s="7">
        <v>1495.5</v>
      </c>
      <c r="H33" s="7">
        <v>248.7</v>
      </c>
      <c r="I33" s="7">
        <v>1457.2</v>
      </c>
      <c r="J33" s="7">
        <v>5471.5</v>
      </c>
      <c r="K33" s="7">
        <v>5357.7</v>
      </c>
      <c r="L33" s="7">
        <v>9213</v>
      </c>
      <c r="M33" s="7">
        <v>2783.2</v>
      </c>
      <c r="N33" s="8">
        <v>1722.3</v>
      </c>
    </row>
    <row r="34" spans="2:14" hidden="1" outlineLevel="1" x14ac:dyDescent="0.3">
      <c r="B34" s="4">
        <v>45928</v>
      </c>
      <c r="C34" s="7">
        <v>24894.25</v>
      </c>
      <c r="D34" s="7">
        <v>33949.75</v>
      </c>
      <c r="E34" s="7">
        <v>2901.9</v>
      </c>
      <c r="F34" s="7">
        <v>1446.6</v>
      </c>
      <c r="G34" s="7">
        <v>1393.5</v>
      </c>
      <c r="H34" s="7">
        <v>240.98</v>
      </c>
      <c r="I34" s="7">
        <v>1400.6</v>
      </c>
      <c r="J34" s="7">
        <v>5120</v>
      </c>
      <c r="K34" s="7">
        <v>5068.8</v>
      </c>
      <c r="L34" s="7">
        <v>8962</v>
      </c>
      <c r="M34" s="7">
        <v>2736.9</v>
      </c>
      <c r="N34" s="8">
        <v>1613.1</v>
      </c>
    </row>
    <row r="35" spans="2:14" hidden="1" outlineLevel="1" x14ac:dyDescent="0.3">
      <c r="B35" s="4">
        <v>45921</v>
      </c>
      <c r="C35" s="7">
        <v>24654.7</v>
      </c>
      <c r="D35" s="7">
        <v>33702</v>
      </c>
      <c r="E35" s="7">
        <v>2899.1</v>
      </c>
      <c r="F35" s="7">
        <v>1448.9</v>
      </c>
      <c r="G35" s="7">
        <v>1395.3</v>
      </c>
      <c r="H35" s="7">
        <v>235.75</v>
      </c>
      <c r="I35" s="7">
        <v>1407.7</v>
      </c>
      <c r="J35" s="7">
        <v>5075</v>
      </c>
      <c r="K35" s="7">
        <v>4951</v>
      </c>
      <c r="L35" s="7">
        <v>8515</v>
      </c>
      <c r="M35" s="7">
        <v>2642.4</v>
      </c>
      <c r="N35" s="8">
        <v>1538.5</v>
      </c>
    </row>
    <row r="36" spans="2:14" hidden="1" outlineLevel="1" x14ac:dyDescent="0.3">
      <c r="B36" s="4">
        <v>45914</v>
      </c>
      <c r="C36" s="7">
        <v>25327.05</v>
      </c>
      <c r="D36" s="7">
        <v>36578.25</v>
      </c>
      <c r="E36" s="7">
        <v>3169.2</v>
      </c>
      <c r="F36" s="7">
        <v>1540.2</v>
      </c>
      <c r="G36" s="7">
        <v>1467.4</v>
      </c>
      <c r="H36" s="7">
        <v>255.88</v>
      </c>
      <c r="I36" s="7">
        <v>1553.8</v>
      </c>
      <c r="J36" s="7">
        <v>5509.5</v>
      </c>
      <c r="K36" s="7">
        <v>5506</v>
      </c>
      <c r="L36" s="7">
        <v>9018</v>
      </c>
      <c r="M36" s="7">
        <v>2993.8</v>
      </c>
      <c r="N36" s="8">
        <v>1795.3</v>
      </c>
    </row>
    <row r="37" spans="2:14" hidden="1" outlineLevel="1" x14ac:dyDescent="0.3">
      <c r="B37" s="4">
        <v>45907</v>
      </c>
      <c r="C37" s="7">
        <v>25114</v>
      </c>
      <c r="D37" s="7">
        <v>36110.75</v>
      </c>
      <c r="E37" s="7">
        <v>3133.4</v>
      </c>
      <c r="F37" s="7">
        <v>1525.6</v>
      </c>
      <c r="G37" s="7">
        <v>1467.2</v>
      </c>
      <c r="H37" s="7">
        <v>251.94</v>
      </c>
      <c r="I37" s="7">
        <v>1525.5</v>
      </c>
      <c r="J37" s="7">
        <v>5332.5</v>
      </c>
      <c r="K37" s="7">
        <v>5411</v>
      </c>
      <c r="L37" s="7">
        <v>8979</v>
      </c>
      <c r="M37" s="7">
        <v>2904.2</v>
      </c>
      <c r="N37" s="8">
        <v>1764</v>
      </c>
    </row>
    <row r="38" spans="2:14" hidden="1" outlineLevel="1" x14ac:dyDescent="0.3">
      <c r="B38" s="4">
        <v>45900</v>
      </c>
      <c r="C38" s="7">
        <v>24741</v>
      </c>
      <c r="D38" s="7">
        <v>34635.85</v>
      </c>
      <c r="E38" s="7">
        <v>3048.3</v>
      </c>
      <c r="F38" s="7">
        <v>1444.6</v>
      </c>
      <c r="G38" s="7">
        <v>1419</v>
      </c>
      <c r="H38" s="7">
        <v>243.67</v>
      </c>
      <c r="I38" s="7">
        <v>1477.9</v>
      </c>
      <c r="J38" s="7">
        <v>5195.5</v>
      </c>
      <c r="K38" s="7">
        <v>5132</v>
      </c>
      <c r="L38" s="7">
        <v>8280</v>
      </c>
      <c r="M38" s="7">
        <v>2797.4</v>
      </c>
      <c r="N38" s="8">
        <v>1658.3</v>
      </c>
    </row>
    <row r="39" spans="2:14" hidden="1" outlineLevel="1" x14ac:dyDescent="0.3">
      <c r="B39" s="4">
        <v>45893</v>
      </c>
      <c r="C39" s="7">
        <v>24426.85</v>
      </c>
      <c r="D39" s="7">
        <v>35181.25</v>
      </c>
      <c r="E39" s="7">
        <v>3084.7</v>
      </c>
      <c r="F39" s="7">
        <v>1469.6</v>
      </c>
      <c r="G39" s="7">
        <v>1454.8</v>
      </c>
      <c r="H39" s="7">
        <v>249.41</v>
      </c>
      <c r="I39" s="7">
        <v>1481.4</v>
      </c>
      <c r="J39" s="7">
        <v>5133.5</v>
      </c>
      <c r="K39" s="7">
        <v>5305.5</v>
      </c>
      <c r="L39" s="7">
        <v>8293.5</v>
      </c>
      <c r="M39" s="7">
        <v>2788</v>
      </c>
      <c r="N39" s="8">
        <v>1724.3</v>
      </c>
    </row>
    <row r="40" spans="2:14" hidden="1" outlineLevel="1" x14ac:dyDescent="0.3">
      <c r="B40" s="4">
        <v>45886</v>
      </c>
      <c r="C40" s="7">
        <v>24870.1</v>
      </c>
      <c r="D40" s="7">
        <v>35440.85</v>
      </c>
      <c r="E40" s="7">
        <v>3054</v>
      </c>
      <c r="F40" s="7">
        <v>1487.5</v>
      </c>
      <c r="G40" s="7">
        <v>1466.3</v>
      </c>
      <c r="H40" s="7">
        <v>248.64</v>
      </c>
      <c r="I40" s="7">
        <v>1505</v>
      </c>
      <c r="J40" s="7">
        <v>5224.5</v>
      </c>
      <c r="K40" s="7">
        <v>5369</v>
      </c>
      <c r="L40" s="7">
        <v>8624</v>
      </c>
      <c r="M40" s="7">
        <v>2848.6</v>
      </c>
      <c r="N40" s="8">
        <v>1747.7</v>
      </c>
    </row>
    <row r="41" spans="2:14" hidden="1" outlineLevel="1" x14ac:dyDescent="0.3">
      <c r="B41" s="4">
        <v>45879</v>
      </c>
      <c r="C41" s="7">
        <v>24631.3</v>
      </c>
      <c r="D41" s="7">
        <v>34833.199999999997</v>
      </c>
      <c r="E41" s="7">
        <v>3022.3</v>
      </c>
      <c r="F41" s="7">
        <v>1447.7</v>
      </c>
      <c r="G41" s="7">
        <v>1489.8</v>
      </c>
      <c r="H41" s="7">
        <v>246.81</v>
      </c>
      <c r="I41" s="7">
        <v>1486.7</v>
      </c>
      <c r="J41" s="7">
        <v>5108</v>
      </c>
      <c r="K41" s="7">
        <v>5289</v>
      </c>
      <c r="L41" s="7">
        <v>8586.5</v>
      </c>
      <c r="M41" s="7">
        <v>2720.2</v>
      </c>
      <c r="N41" s="8">
        <v>1642</v>
      </c>
    </row>
    <row r="42" spans="2:14" hidden="1" outlineLevel="1" x14ac:dyDescent="0.3">
      <c r="B42" s="4">
        <v>45872</v>
      </c>
      <c r="C42" s="7">
        <v>24363.3</v>
      </c>
      <c r="D42" s="7">
        <v>34398.5</v>
      </c>
      <c r="E42" s="7">
        <v>3036.4</v>
      </c>
      <c r="F42" s="7">
        <v>1423.1</v>
      </c>
      <c r="G42" s="7">
        <v>1475.7</v>
      </c>
      <c r="H42" s="7">
        <v>239.05</v>
      </c>
      <c r="I42" s="7">
        <v>1480.4</v>
      </c>
      <c r="J42" s="7">
        <v>5012</v>
      </c>
      <c r="K42" s="7">
        <v>5105.5</v>
      </c>
      <c r="L42" s="7">
        <v>8424</v>
      </c>
      <c r="M42" s="7">
        <v>2695.9</v>
      </c>
      <c r="N42" s="8">
        <v>1606.8</v>
      </c>
    </row>
    <row r="43" spans="2:14" hidden="1" outlineLevel="1" x14ac:dyDescent="0.3">
      <c r="B43" s="4">
        <v>45865</v>
      </c>
      <c r="C43" s="7">
        <v>24565.35</v>
      </c>
      <c r="D43" s="7">
        <v>34649.599999999999</v>
      </c>
      <c r="E43" s="7">
        <v>3003</v>
      </c>
      <c r="F43" s="7">
        <v>1469.6</v>
      </c>
      <c r="G43" s="7">
        <v>1452.1</v>
      </c>
      <c r="H43" s="7">
        <v>242.75</v>
      </c>
      <c r="I43" s="7">
        <v>1438.8</v>
      </c>
      <c r="J43" s="7">
        <v>5017.5</v>
      </c>
      <c r="K43" s="7">
        <v>5061.5</v>
      </c>
      <c r="L43" s="7">
        <v>8378.5</v>
      </c>
      <c r="M43" s="7">
        <v>2757.4</v>
      </c>
      <c r="N43" s="8">
        <v>1706.3</v>
      </c>
    </row>
    <row r="44" spans="2:14" hidden="1" outlineLevel="1" x14ac:dyDescent="0.3">
      <c r="B44" s="4">
        <v>45858</v>
      </c>
      <c r="C44" s="7">
        <v>24837</v>
      </c>
      <c r="D44" s="7">
        <v>35623.75</v>
      </c>
      <c r="E44" s="7">
        <v>3135.8</v>
      </c>
      <c r="F44" s="7">
        <v>1515.7</v>
      </c>
      <c r="G44" s="7">
        <v>1490.1</v>
      </c>
      <c r="H44" s="7">
        <v>259.2</v>
      </c>
      <c r="I44" s="7">
        <v>1461.9</v>
      </c>
      <c r="J44" s="7">
        <v>5096</v>
      </c>
      <c r="K44" s="7">
        <v>5150.5</v>
      </c>
      <c r="L44" s="7">
        <v>8609</v>
      </c>
      <c r="M44" s="7">
        <v>2625</v>
      </c>
      <c r="N44" s="8">
        <v>1688.8</v>
      </c>
    </row>
    <row r="45" spans="2:14" hidden="1" outlineLevel="1" x14ac:dyDescent="0.3">
      <c r="B45" s="4">
        <v>45851</v>
      </c>
      <c r="C45" s="7">
        <v>24968.400000000001</v>
      </c>
      <c r="D45" s="7">
        <v>37141.9</v>
      </c>
      <c r="E45" s="7">
        <v>3189.9</v>
      </c>
      <c r="F45" s="7">
        <v>1586.1</v>
      </c>
      <c r="G45" s="7">
        <v>1548.8</v>
      </c>
      <c r="H45" s="7">
        <v>266.95</v>
      </c>
      <c r="I45" s="7">
        <v>1548.9</v>
      </c>
      <c r="J45" s="7">
        <v>5124</v>
      </c>
      <c r="K45" s="7">
        <v>5547.5</v>
      </c>
      <c r="L45" s="7">
        <v>8790.5</v>
      </c>
      <c r="M45" s="7">
        <v>2832.7</v>
      </c>
      <c r="N45" s="8">
        <v>1859.3</v>
      </c>
    </row>
    <row r="46" spans="2:14" hidden="1" outlineLevel="1" x14ac:dyDescent="0.3">
      <c r="B46" s="4">
        <v>45844</v>
      </c>
      <c r="C46" s="7">
        <v>25149.85</v>
      </c>
      <c r="D46" s="7">
        <v>37693.25</v>
      </c>
      <c r="E46" s="7">
        <v>3266</v>
      </c>
      <c r="F46" s="7">
        <v>1594.9</v>
      </c>
      <c r="G46" s="7">
        <v>1638.3</v>
      </c>
      <c r="H46" s="7">
        <v>258.3</v>
      </c>
      <c r="I46" s="7">
        <v>1602.5</v>
      </c>
      <c r="J46" s="7">
        <v>5206</v>
      </c>
      <c r="K46" s="7">
        <v>5578.5</v>
      </c>
      <c r="L46" s="7">
        <v>8636</v>
      </c>
      <c r="M46" s="7">
        <v>2838.8</v>
      </c>
      <c r="N46" s="8">
        <v>1867.8</v>
      </c>
    </row>
    <row r="47" spans="2:14" hidden="1" outlineLevel="1" x14ac:dyDescent="0.3">
      <c r="B47" s="4">
        <v>45837</v>
      </c>
      <c r="C47" s="7">
        <v>25461</v>
      </c>
      <c r="D47" s="7">
        <v>39166.550000000003</v>
      </c>
      <c r="E47" s="7">
        <v>3419.8</v>
      </c>
      <c r="F47" s="7">
        <v>1640.7</v>
      </c>
      <c r="G47" s="7">
        <v>1725.9</v>
      </c>
      <c r="H47" s="7">
        <v>270.05</v>
      </c>
      <c r="I47" s="7">
        <v>1655.2</v>
      </c>
      <c r="J47" s="7">
        <v>5316</v>
      </c>
      <c r="K47" s="7">
        <v>5896</v>
      </c>
      <c r="L47" s="7">
        <v>9109</v>
      </c>
      <c r="M47" s="7">
        <v>2924.2</v>
      </c>
      <c r="N47" s="8">
        <v>1950.6</v>
      </c>
    </row>
    <row r="48" spans="2:14" hidden="1" outlineLevel="1" x14ac:dyDescent="0.3">
      <c r="B48" s="4">
        <v>45830</v>
      </c>
      <c r="C48" s="7">
        <v>25637.8</v>
      </c>
      <c r="D48" s="7">
        <v>38822.949999999997</v>
      </c>
      <c r="E48" s="7">
        <v>3441.1</v>
      </c>
      <c r="F48" s="7">
        <v>1608</v>
      </c>
      <c r="G48" s="7">
        <v>1723.3</v>
      </c>
      <c r="H48" s="7">
        <v>265.05</v>
      </c>
      <c r="I48" s="7">
        <v>1674.4</v>
      </c>
      <c r="J48" s="7">
        <v>5293</v>
      </c>
      <c r="K48" s="7">
        <v>6010.5</v>
      </c>
      <c r="L48" s="7">
        <v>8991</v>
      </c>
      <c r="M48" s="7">
        <v>2800</v>
      </c>
      <c r="N48" s="8">
        <v>1899.5</v>
      </c>
    </row>
    <row r="49" spans="2:14" hidden="1" outlineLevel="1" x14ac:dyDescent="0.3">
      <c r="B49" s="4">
        <v>45823</v>
      </c>
      <c r="C49" s="7">
        <v>25112.400000000001</v>
      </c>
      <c r="D49" s="7">
        <v>38991.449999999997</v>
      </c>
      <c r="E49" s="7">
        <v>3435.7</v>
      </c>
      <c r="F49" s="7">
        <v>1622.9</v>
      </c>
      <c r="G49" s="7">
        <v>1739.9</v>
      </c>
      <c r="H49" s="7">
        <v>266.54000000000002</v>
      </c>
      <c r="I49" s="7">
        <v>1696.1</v>
      </c>
      <c r="J49" s="7">
        <v>5376.5</v>
      </c>
      <c r="K49" s="7">
        <v>6106.5</v>
      </c>
      <c r="L49" s="7">
        <v>9395.5</v>
      </c>
      <c r="M49" s="7">
        <v>2696.1</v>
      </c>
      <c r="N49" s="8">
        <v>1832</v>
      </c>
    </row>
    <row r="50" spans="2:14" hidden="1" outlineLevel="1" x14ac:dyDescent="0.3">
      <c r="B50" s="4">
        <v>45816</v>
      </c>
      <c r="C50" s="7">
        <v>24718.6</v>
      </c>
      <c r="D50" s="7">
        <v>38469.25</v>
      </c>
      <c r="E50" s="7">
        <v>3445.7</v>
      </c>
      <c r="F50" s="7">
        <v>1602</v>
      </c>
      <c r="G50" s="7">
        <v>1695.3</v>
      </c>
      <c r="H50" s="7">
        <v>260.20999999999998</v>
      </c>
      <c r="I50" s="7">
        <v>1659</v>
      </c>
      <c r="J50" s="7">
        <v>5429</v>
      </c>
      <c r="K50" s="7">
        <v>5882.5</v>
      </c>
      <c r="L50" s="7">
        <v>9478.5</v>
      </c>
      <c r="M50" s="7">
        <v>2644.2</v>
      </c>
      <c r="N50" s="8">
        <v>1792.5</v>
      </c>
    </row>
    <row r="51" spans="2:14" hidden="1" outlineLevel="1" x14ac:dyDescent="0.3">
      <c r="B51" s="4">
        <v>45809</v>
      </c>
      <c r="C51" s="7">
        <v>25003.05</v>
      </c>
      <c r="D51" s="7">
        <v>37294.85</v>
      </c>
      <c r="E51" s="7">
        <v>3384.2</v>
      </c>
      <c r="F51" s="7">
        <v>1563.8</v>
      </c>
      <c r="G51" s="7">
        <v>1637.7</v>
      </c>
      <c r="H51" s="7">
        <v>248.59</v>
      </c>
      <c r="I51" s="7">
        <v>1571.1</v>
      </c>
      <c r="J51" s="7">
        <v>5204</v>
      </c>
      <c r="K51" s="7">
        <v>5676.5</v>
      </c>
      <c r="L51" s="7">
        <v>8786</v>
      </c>
      <c r="M51" s="7">
        <v>2545.1999999999998</v>
      </c>
      <c r="N51" s="8">
        <v>1775.5</v>
      </c>
    </row>
    <row r="52" spans="2:14" hidden="1" outlineLevel="1" x14ac:dyDescent="0.3">
      <c r="B52" s="4">
        <v>45802</v>
      </c>
      <c r="C52" s="7">
        <v>24750.7</v>
      </c>
      <c r="D52" s="7">
        <v>37321.75</v>
      </c>
      <c r="E52" s="7">
        <v>3463.4</v>
      </c>
      <c r="F52" s="7">
        <v>1562.7</v>
      </c>
      <c r="G52" s="7">
        <v>1636.6</v>
      </c>
      <c r="H52" s="7">
        <v>249.67</v>
      </c>
      <c r="I52" s="7">
        <v>1573.9</v>
      </c>
      <c r="J52" s="7">
        <v>5068.8999999999996</v>
      </c>
      <c r="K52" s="7">
        <v>5638</v>
      </c>
      <c r="L52" s="7">
        <v>8462.5</v>
      </c>
      <c r="M52" s="7">
        <v>2558.8000000000002</v>
      </c>
      <c r="N52" s="8">
        <v>1710.1</v>
      </c>
    </row>
    <row r="53" spans="2:14" hidden="1" outlineLevel="1" x14ac:dyDescent="0.3">
      <c r="B53" s="4">
        <v>45795</v>
      </c>
      <c r="C53" s="7">
        <v>24853.15</v>
      </c>
      <c r="D53" s="7">
        <v>37403.550000000003</v>
      </c>
      <c r="E53" s="7">
        <v>3514.6</v>
      </c>
      <c r="F53" s="7">
        <v>1564.8</v>
      </c>
      <c r="G53" s="7">
        <v>1648.2</v>
      </c>
      <c r="H53" s="7">
        <v>247.36</v>
      </c>
      <c r="I53" s="7">
        <v>1580.3</v>
      </c>
      <c r="J53" s="7">
        <v>5045.8</v>
      </c>
      <c r="K53" s="7">
        <v>5662</v>
      </c>
      <c r="L53" s="7">
        <v>8366.5</v>
      </c>
      <c r="M53" s="7">
        <v>2541.4</v>
      </c>
      <c r="N53" s="8">
        <v>1664.3</v>
      </c>
    </row>
    <row r="54" spans="2:14" hidden="1" outlineLevel="1" x14ac:dyDescent="0.3">
      <c r="B54" s="4">
        <v>45788</v>
      </c>
      <c r="C54" s="7">
        <v>25019.8</v>
      </c>
      <c r="D54" s="7">
        <v>37972.35</v>
      </c>
      <c r="E54" s="7">
        <v>3561.3</v>
      </c>
      <c r="F54" s="7">
        <v>1589.9</v>
      </c>
      <c r="G54" s="7">
        <v>1659.9</v>
      </c>
      <c r="H54" s="7">
        <v>254.31</v>
      </c>
      <c r="I54" s="7">
        <v>1617</v>
      </c>
      <c r="J54" s="7">
        <v>5047.8</v>
      </c>
      <c r="K54" s="7">
        <v>5699</v>
      </c>
      <c r="L54" s="7">
        <v>8696.5</v>
      </c>
      <c r="M54" s="7">
        <v>2600.4</v>
      </c>
      <c r="N54" s="8">
        <v>1685.2</v>
      </c>
    </row>
    <row r="55" spans="2:14" hidden="1" outlineLevel="1" x14ac:dyDescent="0.3">
      <c r="B55" s="4">
        <v>45781</v>
      </c>
      <c r="C55" s="7">
        <v>24008</v>
      </c>
      <c r="D55" s="7">
        <v>35880.1</v>
      </c>
      <c r="E55" s="7">
        <v>3440.3</v>
      </c>
      <c r="F55" s="7">
        <v>1507.6</v>
      </c>
      <c r="G55" s="7">
        <v>1569.4</v>
      </c>
      <c r="H55" s="7">
        <v>242.01</v>
      </c>
      <c r="I55" s="7">
        <v>1493.7</v>
      </c>
      <c r="J55" s="7">
        <v>4621.6000000000004</v>
      </c>
      <c r="K55" s="7">
        <v>5443</v>
      </c>
      <c r="L55" s="7">
        <v>7993.5</v>
      </c>
      <c r="M55" s="7">
        <v>2387.3000000000002</v>
      </c>
      <c r="N55" s="8">
        <v>1536.2</v>
      </c>
    </row>
    <row r="56" spans="2:14" hidden="1" outlineLevel="1" x14ac:dyDescent="0.3">
      <c r="B56" s="4">
        <v>45774</v>
      </c>
      <c r="C56" s="7">
        <v>24346.7</v>
      </c>
      <c r="D56" s="7">
        <v>35891.85</v>
      </c>
      <c r="E56" s="7">
        <v>3444.7</v>
      </c>
      <c r="F56" s="7">
        <v>1506.8</v>
      </c>
      <c r="G56" s="7">
        <v>1576.5</v>
      </c>
      <c r="H56" s="7">
        <v>242.87</v>
      </c>
      <c r="I56" s="7">
        <v>1496.3</v>
      </c>
      <c r="J56" s="7">
        <v>4579.8999999999996</v>
      </c>
      <c r="K56" s="7">
        <v>5425.5</v>
      </c>
      <c r="L56" s="7">
        <v>8693.5</v>
      </c>
      <c r="M56" s="7">
        <v>2460.6999999999998</v>
      </c>
      <c r="N56" s="8">
        <v>1476.4</v>
      </c>
    </row>
    <row r="57" spans="2:14" hidden="1" outlineLevel="1" x14ac:dyDescent="0.3">
      <c r="B57" s="4">
        <v>45767</v>
      </c>
      <c r="C57" s="7">
        <v>24039.35</v>
      </c>
      <c r="D57" s="7">
        <v>35562.25</v>
      </c>
      <c r="E57" s="7">
        <v>3448</v>
      </c>
      <c r="F57" s="7">
        <v>1480.2</v>
      </c>
      <c r="G57" s="7">
        <v>1578.2</v>
      </c>
      <c r="H57" s="7">
        <v>240.9</v>
      </c>
      <c r="I57" s="7">
        <v>1462</v>
      </c>
      <c r="J57" s="7">
        <v>4498.3</v>
      </c>
      <c r="K57" s="7">
        <v>5273.5</v>
      </c>
      <c r="L57" s="7">
        <v>8604</v>
      </c>
      <c r="M57" s="7">
        <v>2538.6</v>
      </c>
      <c r="N57" s="8">
        <v>1478</v>
      </c>
    </row>
    <row r="58" spans="2:14" hidden="1" outlineLevel="1" x14ac:dyDescent="0.3">
      <c r="B58" s="4">
        <v>45760</v>
      </c>
      <c r="C58" s="7">
        <v>23851.65</v>
      </c>
      <c r="D58" s="7">
        <v>33372.35</v>
      </c>
      <c r="E58" s="7">
        <v>3298.9</v>
      </c>
      <c r="F58" s="7">
        <v>1419.5</v>
      </c>
      <c r="G58" s="7">
        <v>1438</v>
      </c>
      <c r="H58" s="7">
        <v>236.9</v>
      </c>
      <c r="I58" s="7">
        <v>1306.8</v>
      </c>
      <c r="J58" s="7">
        <v>4191.8999999999996</v>
      </c>
      <c r="K58" s="7">
        <v>4836</v>
      </c>
      <c r="L58" s="7">
        <v>7950</v>
      </c>
      <c r="M58" s="7">
        <v>2273.6999999999998</v>
      </c>
      <c r="N58" s="8">
        <v>1320</v>
      </c>
    </row>
    <row r="59" spans="2:14" hidden="1" outlineLevel="1" x14ac:dyDescent="0.3">
      <c r="B59" s="4">
        <v>45753</v>
      </c>
      <c r="C59" s="7">
        <v>22828.55</v>
      </c>
      <c r="D59" s="7">
        <v>32740.85</v>
      </c>
      <c r="E59" s="7">
        <v>3231.5</v>
      </c>
      <c r="F59" s="7">
        <v>1409.45</v>
      </c>
      <c r="G59" s="7">
        <v>1390.55</v>
      </c>
      <c r="H59" s="7">
        <v>239.75</v>
      </c>
      <c r="I59" s="7">
        <v>1282.25</v>
      </c>
      <c r="J59" s="7">
        <v>4240.8</v>
      </c>
      <c r="K59" s="7">
        <v>4544.6000000000004</v>
      </c>
      <c r="L59" s="7">
        <v>7579.85</v>
      </c>
      <c r="M59" s="7">
        <v>2160.5500000000002</v>
      </c>
      <c r="N59" s="8">
        <v>1263.33</v>
      </c>
    </row>
    <row r="60" spans="2:14" hidden="1" outlineLevel="1" x14ac:dyDescent="0.3">
      <c r="B60" s="4">
        <v>45746</v>
      </c>
      <c r="C60" s="7">
        <v>22904.45</v>
      </c>
      <c r="D60" s="7">
        <v>33511.449999999997</v>
      </c>
      <c r="E60" s="7">
        <v>3299.4</v>
      </c>
      <c r="F60" s="7">
        <v>1451.65</v>
      </c>
      <c r="G60" s="7">
        <v>1422.1</v>
      </c>
      <c r="H60" s="7">
        <v>246.3</v>
      </c>
      <c r="I60" s="7">
        <v>1320.95</v>
      </c>
      <c r="J60" s="7">
        <v>4136.25</v>
      </c>
      <c r="K60" s="7">
        <v>4609.95</v>
      </c>
      <c r="L60" s="7">
        <v>7521.55</v>
      </c>
      <c r="M60" s="7">
        <v>2229.1999999999998</v>
      </c>
      <c r="N60" s="8">
        <v>1321.58</v>
      </c>
    </row>
    <row r="61" spans="2:14" hidden="1" outlineLevel="1" x14ac:dyDescent="0.3">
      <c r="B61" s="4">
        <v>45739</v>
      </c>
      <c r="C61" s="7">
        <v>23519.35</v>
      </c>
      <c r="D61" s="7">
        <v>36886.15</v>
      </c>
      <c r="E61" s="7">
        <v>3606.15</v>
      </c>
      <c r="F61" s="7">
        <v>1570.65</v>
      </c>
      <c r="G61" s="7">
        <v>1592.5</v>
      </c>
      <c r="H61" s="7">
        <v>262.25</v>
      </c>
      <c r="I61" s="7">
        <v>1418.25</v>
      </c>
      <c r="J61" s="7">
        <v>4491.3500000000004</v>
      </c>
      <c r="K61" s="7">
        <v>5513.75</v>
      </c>
      <c r="L61" s="7">
        <v>7850.9</v>
      </c>
      <c r="M61" s="7">
        <v>2500.1999999999998</v>
      </c>
      <c r="N61" s="8">
        <v>1621.84</v>
      </c>
    </row>
    <row r="62" spans="2:14" hidden="1" outlineLevel="1" x14ac:dyDescent="0.3">
      <c r="B62" s="4">
        <v>45732</v>
      </c>
      <c r="C62" s="7">
        <v>23350.400000000001</v>
      </c>
      <c r="D62" s="7">
        <v>36702.800000000003</v>
      </c>
      <c r="E62" s="7">
        <v>3578.1</v>
      </c>
      <c r="F62" s="7">
        <v>1592.55</v>
      </c>
      <c r="G62" s="7">
        <v>1566.7</v>
      </c>
      <c r="H62" s="7">
        <v>264.3</v>
      </c>
      <c r="I62" s="7">
        <v>1409.25</v>
      </c>
      <c r="J62" s="7">
        <v>4520.25</v>
      </c>
      <c r="K62" s="7">
        <v>5275.55</v>
      </c>
      <c r="L62" s="7">
        <v>7644.4</v>
      </c>
      <c r="M62" s="7">
        <v>2429.9499999999998</v>
      </c>
      <c r="N62" s="8">
        <v>1549.36</v>
      </c>
    </row>
    <row r="63" spans="2:14" hidden="1" outlineLevel="1" x14ac:dyDescent="0.3">
      <c r="B63" s="4">
        <v>45725</v>
      </c>
      <c r="C63" s="7">
        <v>22397.200000000001</v>
      </c>
      <c r="D63" s="7">
        <v>36122.5</v>
      </c>
      <c r="E63" s="7">
        <v>3511.05</v>
      </c>
      <c r="F63" s="7">
        <v>1579.85</v>
      </c>
      <c r="G63" s="7">
        <v>1534.75</v>
      </c>
      <c r="H63" s="7">
        <v>264</v>
      </c>
      <c r="I63" s="7">
        <v>1440.65</v>
      </c>
      <c r="J63" s="7">
        <v>4467.05</v>
      </c>
      <c r="K63" s="7">
        <v>5125.75</v>
      </c>
      <c r="L63" s="7">
        <v>7328</v>
      </c>
      <c r="M63" s="7">
        <v>2205.15</v>
      </c>
      <c r="N63" s="8">
        <v>1458.45</v>
      </c>
    </row>
    <row r="64" spans="2:14" hidden="1" outlineLevel="1" x14ac:dyDescent="0.3">
      <c r="B64" s="4">
        <v>45718</v>
      </c>
      <c r="C64" s="7">
        <v>22552.5</v>
      </c>
      <c r="D64" s="7">
        <v>37820.449999999997</v>
      </c>
      <c r="E64" s="7">
        <v>3611.2</v>
      </c>
      <c r="F64" s="7">
        <v>1686</v>
      </c>
      <c r="G64" s="7">
        <v>1557.95</v>
      </c>
      <c r="H64" s="7">
        <v>284.8</v>
      </c>
      <c r="I64" s="7">
        <v>1492.35</v>
      </c>
      <c r="J64" s="7">
        <v>4721.95</v>
      </c>
      <c r="K64" s="7">
        <v>5278.8</v>
      </c>
      <c r="L64" s="7">
        <v>7569.1</v>
      </c>
      <c r="M64" s="7">
        <v>2302.25</v>
      </c>
      <c r="N64" s="8">
        <v>1541.45</v>
      </c>
    </row>
    <row r="65" spans="2:14" hidden="1" outlineLevel="1" x14ac:dyDescent="0.3">
      <c r="B65" s="4">
        <v>45711</v>
      </c>
      <c r="C65" s="7">
        <v>22124.7</v>
      </c>
      <c r="D65" s="7">
        <v>37318.300000000003</v>
      </c>
      <c r="E65" s="7">
        <v>3483.25</v>
      </c>
      <c r="F65" s="7">
        <v>1687.7</v>
      </c>
      <c r="G65" s="7">
        <v>1575.05</v>
      </c>
      <c r="H65" s="7">
        <v>277.64999999999998</v>
      </c>
      <c r="I65" s="7">
        <v>1487.85</v>
      </c>
      <c r="J65" s="7">
        <v>4665.95</v>
      </c>
      <c r="K65" s="7">
        <v>5303.9</v>
      </c>
      <c r="L65" s="7">
        <v>7763.9</v>
      </c>
      <c r="M65" s="7">
        <v>2247.25</v>
      </c>
      <c r="N65" s="8">
        <v>1472.43</v>
      </c>
    </row>
    <row r="66" spans="2:14" hidden="1" outlineLevel="1" x14ac:dyDescent="0.3">
      <c r="B66" s="4">
        <v>45704</v>
      </c>
      <c r="C66" s="7">
        <v>22795.9</v>
      </c>
      <c r="D66" s="7">
        <v>40544.550000000003</v>
      </c>
      <c r="E66" s="7">
        <v>3786</v>
      </c>
      <c r="F66" s="7">
        <v>1815</v>
      </c>
      <c r="G66" s="7">
        <v>1700.7</v>
      </c>
      <c r="H66" s="7">
        <v>306.35000000000002</v>
      </c>
      <c r="I66" s="7">
        <v>1649.5</v>
      </c>
      <c r="J66" s="7">
        <v>5298.5</v>
      </c>
      <c r="K66" s="7">
        <v>5710.3</v>
      </c>
      <c r="L66" s="7">
        <v>8405</v>
      </c>
      <c r="M66" s="7">
        <v>2567.5500000000002</v>
      </c>
      <c r="N66" s="8">
        <v>1499.24</v>
      </c>
    </row>
    <row r="67" spans="2:14" hidden="1" outlineLevel="1" x14ac:dyDescent="0.3">
      <c r="B67" s="4">
        <v>45697</v>
      </c>
      <c r="C67" s="7">
        <v>22929.25</v>
      </c>
      <c r="D67" s="7">
        <v>41311.15</v>
      </c>
      <c r="E67" s="7">
        <v>3934.85</v>
      </c>
      <c r="F67" s="7">
        <v>1856.4</v>
      </c>
      <c r="G67" s="7">
        <v>1711.25</v>
      </c>
      <c r="H67" s="7">
        <v>308.10000000000002</v>
      </c>
      <c r="I67" s="7">
        <v>1659.1</v>
      </c>
      <c r="J67" s="7">
        <v>5511.6</v>
      </c>
      <c r="K67" s="7">
        <v>5562.7</v>
      </c>
      <c r="L67" s="7">
        <v>8962.9500000000007</v>
      </c>
      <c r="M67" s="7">
        <v>2554.25</v>
      </c>
      <c r="N67" s="8">
        <v>1558.67</v>
      </c>
    </row>
    <row r="68" spans="2:14" hidden="1" outlineLevel="1" x14ac:dyDescent="0.3">
      <c r="B68" s="4">
        <v>45690</v>
      </c>
      <c r="C68" s="7">
        <v>23559.95</v>
      </c>
      <c r="D68" s="7">
        <v>42921.65</v>
      </c>
      <c r="E68" s="7">
        <v>4029.4</v>
      </c>
      <c r="F68" s="7">
        <v>1903.65</v>
      </c>
      <c r="G68" s="7">
        <v>1725.65</v>
      </c>
      <c r="H68" s="7">
        <v>318</v>
      </c>
      <c r="I68" s="7">
        <v>1692.1</v>
      </c>
      <c r="J68" s="7">
        <v>5956.6</v>
      </c>
      <c r="K68" s="7">
        <v>6254.1</v>
      </c>
      <c r="L68" s="7">
        <v>9452.7000000000007</v>
      </c>
      <c r="M68" s="7">
        <v>2868.5</v>
      </c>
      <c r="N68" s="8">
        <v>1707.17</v>
      </c>
    </row>
    <row r="69" spans="2:14" hidden="1" outlineLevel="1" x14ac:dyDescent="0.3">
      <c r="B69" s="4">
        <v>45683</v>
      </c>
      <c r="C69" s="7">
        <v>23508.400000000001</v>
      </c>
      <c r="D69" s="7">
        <v>42662.75</v>
      </c>
      <c r="E69" s="7">
        <v>4112.3999999999996</v>
      </c>
      <c r="F69" s="7">
        <v>1879.8</v>
      </c>
      <c r="G69" s="7">
        <v>1725.45</v>
      </c>
      <c r="H69" s="7">
        <v>311.89999999999998</v>
      </c>
      <c r="I69" s="7">
        <v>1674.45</v>
      </c>
      <c r="J69" s="7">
        <v>5914.15</v>
      </c>
      <c r="K69" s="7">
        <v>6032.6</v>
      </c>
      <c r="L69" s="7">
        <v>9122.0499999999993</v>
      </c>
      <c r="M69" s="7">
        <v>2867.95</v>
      </c>
      <c r="N69" s="8">
        <v>1652.77</v>
      </c>
    </row>
    <row r="70" spans="2:14" hidden="1" outlineLevel="1" x14ac:dyDescent="0.3">
      <c r="B70" s="4">
        <v>45676</v>
      </c>
      <c r="C70" s="7">
        <v>23092.2</v>
      </c>
      <c r="D70" s="7">
        <v>43524.1</v>
      </c>
      <c r="E70" s="7">
        <v>4152.3500000000004</v>
      </c>
      <c r="F70" s="7">
        <v>1875.45</v>
      </c>
      <c r="G70" s="7">
        <v>1792.85</v>
      </c>
      <c r="H70" s="7">
        <v>320.10000000000002</v>
      </c>
      <c r="I70" s="7">
        <v>1723.05</v>
      </c>
      <c r="J70" s="7">
        <v>5998.15</v>
      </c>
      <c r="K70" s="7">
        <v>6360.65</v>
      </c>
      <c r="L70" s="7">
        <v>9805.65</v>
      </c>
      <c r="M70" s="7">
        <v>3009.3</v>
      </c>
      <c r="N70" s="8">
        <v>1846.92</v>
      </c>
    </row>
    <row r="71" spans="2:14" hidden="1" outlineLevel="1" x14ac:dyDescent="0.3">
      <c r="B71" s="4">
        <v>45669</v>
      </c>
      <c r="C71" s="7">
        <v>23203.200000000001</v>
      </c>
      <c r="D71" s="7">
        <v>42032.2</v>
      </c>
      <c r="E71" s="7">
        <v>4124.3</v>
      </c>
      <c r="F71" s="7">
        <v>1815.45</v>
      </c>
      <c r="G71" s="7">
        <v>1788.9</v>
      </c>
      <c r="H71" s="7">
        <v>281.95</v>
      </c>
      <c r="I71" s="7">
        <v>1660.3</v>
      </c>
      <c r="J71" s="7">
        <v>5890.3</v>
      </c>
      <c r="K71" s="7">
        <v>5961.2</v>
      </c>
      <c r="L71" s="7">
        <v>10027.15</v>
      </c>
      <c r="M71" s="7">
        <v>2817.2</v>
      </c>
      <c r="N71" s="8">
        <v>1728.31</v>
      </c>
    </row>
    <row r="72" spans="2:14" hidden="1" outlineLevel="1" x14ac:dyDescent="0.3">
      <c r="B72" s="4">
        <v>45662</v>
      </c>
      <c r="C72" s="7">
        <v>23431.5</v>
      </c>
      <c r="D72" s="7">
        <v>44609.5</v>
      </c>
      <c r="E72" s="7">
        <v>4198.72</v>
      </c>
      <c r="F72" s="7">
        <v>1966.95</v>
      </c>
      <c r="G72" s="7">
        <v>1988.42</v>
      </c>
      <c r="H72" s="7">
        <v>300.55</v>
      </c>
      <c r="I72" s="7">
        <v>1705.6</v>
      </c>
      <c r="J72" s="7">
        <v>6124.4</v>
      </c>
      <c r="K72" s="7">
        <v>6319.65</v>
      </c>
      <c r="L72" s="7">
        <v>11451.35</v>
      </c>
      <c r="M72" s="7">
        <v>2915</v>
      </c>
      <c r="N72" s="8">
        <v>1880.83</v>
      </c>
    </row>
    <row r="73" spans="2:14" hidden="1" outlineLevel="1" x14ac:dyDescent="0.3">
      <c r="B73" s="4">
        <v>45655</v>
      </c>
      <c r="C73" s="7">
        <v>24004.75</v>
      </c>
      <c r="D73" s="7">
        <v>43726.55</v>
      </c>
      <c r="E73" s="7">
        <v>4035.57</v>
      </c>
      <c r="F73" s="7">
        <v>1938.75</v>
      </c>
      <c r="G73" s="7">
        <v>1940.13</v>
      </c>
      <c r="H73" s="7">
        <v>294.45</v>
      </c>
      <c r="I73" s="7">
        <v>1689.45</v>
      </c>
      <c r="J73" s="7">
        <v>5733.4</v>
      </c>
      <c r="K73" s="7">
        <v>6405.95</v>
      </c>
      <c r="L73" s="7">
        <v>12518.05</v>
      </c>
      <c r="M73" s="7">
        <v>2869.25</v>
      </c>
      <c r="N73" s="8">
        <v>1933.93</v>
      </c>
    </row>
    <row r="74" spans="2:14" hidden="1" outlineLevel="1" x14ac:dyDescent="0.3">
      <c r="B74" s="4">
        <v>45648</v>
      </c>
      <c r="C74" s="7">
        <v>23813.4</v>
      </c>
      <c r="D74" s="7">
        <v>43721.4</v>
      </c>
      <c r="E74" s="7">
        <v>4099.5</v>
      </c>
      <c r="F74" s="7">
        <v>1916.75</v>
      </c>
      <c r="G74" s="7">
        <v>1885.67</v>
      </c>
      <c r="H74" s="7">
        <v>309.10000000000002</v>
      </c>
      <c r="I74" s="7">
        <v>1711.65</v>
      </c>
      <c r="J74" s="7">
        <v>5678</v>
      </c>
      <c r="K74" s="7">
        <v>6393.6</v>
      </c>
      <c r="L74" s="7">
        <v>12646.6</v>
      </c>
      <c r="M74" s="7">
        <v>2883.95</v>
      </c>
      <c r="N74" s="8">
        <v>1890.22</v>
      </c>
    </row>
    <row r="75" spans="2:14" hidden="1" outlineLevel="1" x14ac:dyDescent="0.3">
      <c r="B75" s="4">
        <v>45641</v>
      </c>
      <c r="C75" s="7">
        <v>23587.5</v>
      </c>
      <c r="D75" s="7">
        <v>43771.05</v>
      </c>
      <c r="E75" s="7">
        <v>4104.8599999999997</v>
      </c>
      <c r="F75" s="7">
        <v>1922.15</v>
      </c>
      <c r="G75" s="7">
        <v>1904.95</v>
      </c>
      <c r="H75" s="7">
        <v>305.2</v>
      </c>
      <c r="I75" s="7">
        <v>1686.05</v>
      </c>
      <c r="J75" s="7">
        <v>5824.3</v>
      </c>
      <c r="K75" s="7">
        <v>6368.7</v>
      </c>
      <c r="L75" s="7">
        <v>12247.55</v>
      </c>
      <c r="M75" s="7">
        <v>2950.6</v>
      </c>
      <c r="N75" s="8">
        <v>1874.09</v>
      </c>
    </row>
    <row r="76" spans="2:14" hidden="1" outlineLevel="1" x14ac:dyDescent="0.3">
      <c r="B76" s="4">
        <v>45634</v>
      </c>
      <c r="C76" s="7">
        <v>24768.3</v>
      </c>
      <c r="D76" s="7">
        <v>45995.8</v>
      </c>
      <c r="E76" s="7">
        <v>4403.7</v>
      </c>
      <c r="F76" s="7">
        <v>1999.7</v>
      </c>
      <c r="G76" s="7">
        <v>1962.21</v>
      </c>
      <c r="H76" s="7">
        <v>309.95</v>
      </c>
      <c r="I76" s="7">
        <v>1796.4</v>
      </c>
      <c r="J76" s="7">
        <v>6714.45</v>
      </c>
      <c r="K76" s="7">
        <v>6477.65</v>
      </c>
      <c r="L76" s="7">
        <v>12283.8</v>
      </c>
      <c r="M76" s="7">
        <v>3195.4</v>
      </c>
      <c r="N76" s="8">
        <v>1860.15</v>
      </c>
    </row>
    <row r="77" spans="2:14" hidden="1" outlineLevel="1" x14ac:dyDescent="0.3">
      <c r="B77" s="4">
        <v>45627</v>
      </c>
      <c r="C77" s="7">
        <v>24677.8</v>
      </c>
      <c r="D77" s="7">
        <v>44716.05</v>
      </c>
      <c r="E77" s="7">
        <v>4375.75</v>
      </c>
      <c r="F77" s="7">
        <v>1922.4</v>
      </c>
      <c r="G77" s="7">
        <v>1916.26</v>
      </c>
      <c r="H77" s="7">
        <v>297.35000000000002</v>
      </c>
      <c r="I77" s="7">
        <v>1782.8</v>
      </c>
      <c r="J77" s="7">
        <v>6378.9</v>
      </c>
      <c r="K77" s="7">
        <v>6174.25</v>
      </c>
      <c r="L77" s="7">
        <v>12579.5</v>
      </c>
      <c r="M77" s="7">
        <v>3053.95</v>
      </c>
      <c r="N77" s="8">
        <v>1780.29</v>
      </c>
    </row>
    <row r="78" spans="2:14" hidden="1" outlineLevel="1" x14ac:dyDescent="0.3">
      <c r="B78" s="4">
        <v>45620</v>
      </c>
      <c r="C78" s="7">
        <v>24131.1</v>
      </c>
      <c r="D78" s="7">
        <v>43146.25</v>
      </c>
      <c r="E78" s="7">
        <v>4203.84</v>
      </c>
      <c r="F78" s="7">
        <v>1857.85</v>
      </c>
      <c r="G78" s="7">
        <v>1841.86</v>
      </c>
      <c r="H78" s="7">
        <v>288.92</v>
      </c>
      <c r="I78" s="7">
        <v>1712.3</v>
      </c>
      <c r="J78" s="7">
        <v>6172.4</v>
      </c>
      <c r="K78" s="7">
        <v>5905.65</v>
      </c>
      <c r="L78" s="7">
        <v>11696.45</v>
      </c>
      <c r="M78" s="7">
        <v>2974.55</v>
      </c>
      <c r="N78" s="8">
        <v>1737.17</v>
      </c>
    </row>
    <row r="79" spans="2:14" hidden="1" outlineLevel="1" x14ac:dyDescent="0.3">
      <c r="B79" s="4">
        <v>45613</v>
      </c>
      <c r="C79" s="7">
        <v>23907.25</v>
      </c>
      <c r="D79" s="7">
        <v>43332.1</v>
      </c>
      <c r="E79" s="7">
        <v>4178</v>
      </c>
      <c r="F79" s="7">
        <v>1902.25</v>
      </c>
      <c r="G79" s="7">
        <v>1892.04</v>
      </c>
      <c r="H79" s="7">
        <v>285.83</v>
      </c>
      <c r="I79" s="7">
        <v>1747.45</v>
      </c>
      <c r="J79" s="7">
        <v>6133.7</v>
      </c>
      <c r="K79" s="7">
        <v>5796.25</v>
      </c>
      <c r="L79" s="7">
        <v>11516.4</v>
      </c>
      <c r="M79" s="7">
        <v>2883.55</v>
      </c>
      <c r="N79" s="8">
        <v>1665.5</v>
      </c>
    </row>
    <row r="80" spans="2:14" hidden="1" outlineLevel="1" x14ac:dyDescent="0.3">
      <c r="B80" s="4">
        <v>45606</v>
      </c>
      <c r="C80" s="7">
        <v>23532.7</v>
      </c>
      <c r="D80" s="7">
        <v>42390.85</v>
      </c>
      <c r="E80" s="7">
        <v>4080.85</v>
      </c>
      <c r="F80" s="7">
        <v>1864.55</v>
      </c>
      <c r="G80" s="7">
        <v>1852.73</v>
      </c>
      <c r="H80" s="7">
        <v>283.35000000000002</v>
      </c>
      <c r="I80" s="7">
        <v>1687.5</v>
      </c>
      <c r="J80" s="7">
        <v>5994.65</v>
      </c>
      <c r="K80" s="7">
        <v>5713.8</v>
      </c>
      <c r="L80" s="7">
        <v>11768.55</v>
      </c>
      <c r="M80" s="7">
        <v>2839.3</v>
      </c>
      <c r="N80" s="8">
        <v>1614.8</v>
      </c>
    </row>
    <row r="81" spans="2:14" hidden="1" outlineLevel="1" x14ac:dyDescent="0.3">
      <c r="B81" s="4">
        <v>45599</v>
      </c>
      <c r="C81" s="7">
        <v>24148.2</v>
      </c>
      <c r="D81" s="7">
        <v>42050.15</v>
      </c>
      <c r="E81" s="7">
        <v>4081.93</v>
      </c>
      <c r="F81" s="7">
        <v>1829.95</v>
      </c>
      <c r="G81" s="7">
        <v>1831.35</v>
      </c>
      <c r="H81" s="7">
        <v>284.5</v>
      </c>
      <c r="I81" s="7">
        <v>1681.35</v>
      </c>
      <c r="J81" s="7">
        <v>5926.95</v>
      </c>
      <c r="K81" s="7">
        <v>5668.7</v>
      </c>
      <c r="L81" s="7">
        <v>11518.15</v>
      </c>
      <c r="M81" s="7">
        <v>2858.35</v>
      </c>
      <c r="N81" s="8">
        <v>1590.76</v>
      </c>
    </row>
    <row r="82" spans="2:14" hidden="1" outlineLevel="1" x14ac:dyDescent="0.3">
      <c r="B82" s="4">
        <v>45592</v>
      </c>
      <c r="C82" s="7">
        <v>24304.35</v>
      </c>
      <c r="D82" s="7">
        <v>40433.65</v>
      </c>
      <c r="E82" s="7">
        <v>3921.68</v>
      </c>
      <c r="F82" s="7">
        <v>1760.85</v>
      </c>
      <c r="G82" s="7">
        <v>1751.52</v>
      </c>
      <c r="H82" s="7">
        <v>275.67</v>
      </c>
      <c r="I82" s="7">
        <v>1603.65</v>
      </c>
      <c r="J82" s="7">
        <v>5731.6</v>
      </c>
      <c r="K82" s="7">
        <v>5389</v>
      </c>
      <c r="L82" s="7">
        <v>10822.35</v>
      </c>
      <c r="M82" s="7">
        <v>2894.15</v>
      </c>
      <c r="N82" s="8">
        <v>1510.54</v>
      </c>
    </row>
    <row r="83" spans="2:14" hidden="1" outlineLevel="1" x14ac:dyDescent="0.3">
      <c r="B83" s="4">
        <v>45585</v>
      </c>
      <c r="C83" s="7">
        <v>24180.799999999999</v>
      </c>
      <c r="D83" s="7">
        <v>42038.85</v>
      </c>
      <c r="E83" s="7">
        <v>3993.88</v>
      </c>
      <c r="F83" s="7">
        <v>1862.05</v>
      </c>
      <c r="G83" s="7">
        <v>1846.15</v>
      </c>
      <c r="H83" s="7">
        <v>271.73</v>
      </c>
      <c r="I83" s="7">
        <v>1716.45</v>
      </c>
      <c r="J83" s="7">
        <v>5903.2</v>
      </c>
      <c r="K83" s="7">
        <v>5670.9</v>
      </c>
      <c r="L83" s="7">
        <v>10888.05</v>
      </c>
      <c r="M83" s="7">
        <v>3041.05</v>
      </c>
      <c r="N83" s="8">
        <v>1547.97</v>
      </c>
    </row>
    <row r="84" spans="2:14" hidden="1" outlineLevel="1" x14ac:dyDescent="0.3">
      <c r="B84" s="4">
        <v>45578</v>
      </c>
      <c r="C84" s="7">
        <v>24854.05</v>
      </c>
      <c r="D84" s="7">
        <v>42106.5</v>
      </c>
      <c r="E84" s="7">
        <v>4058.35</v>
      </c>
      <c r="F84" s="7">
        <v>1879.6</v>
      </c>
      <c r="G84" s="7">
        <v>1851.48</v>
      </c>
      <c r="H84" s="7">
        <v>274.33</v>
      </c>
      <c r="I84" s="7">
        <v>1687.9</v>
      </c>
      <c r="J84" s="7">
        <v>5991.7</v>
      </c>
      <c r="K84" s="7">
        <v>5506.15</v>
      </c>
      <c r="L84" s="7">
        <v>11583.6</v>
      </c>
      <c r="M84" s="7">
        <v>3095.75</v>
      </c>
      <c r="N84" s="8">
        <v>1442.08</v>
      </c>
    </row>
    <row r="85" spans="2:14" hidden="1" outlineLevel="1" x14ac:dyDescent="0.3">
      <c r="B85" s="4">
        <v>45571</v>
      </c>
      <c r="C85" s="7">
        <v>24964.25</v>
      </c>
      <c r="D85" s="7">
        <v>42335.7</v>
      </c>
      <c r="E85" s="7">
        <v>4084.09</v>
      </c>
      <c r="F85" s="7">
        <v>1935.1</v>
      </c>
      <c r="G85" s="7">
        <v>1833.49</v>
      </c>
      <c r="H85" s="7">
        <v>264.14999999999998</v>
      </c>
      <c r="I85" s="7">
        <v>1647.05</v>
      </c>
      <c r="J85" s="7">
        <v>6410.95</v>
      </c>
      <c r="K85" s="7">
        <v>5469.55</v>
      </c>
      <c r="L85" s="7">
        <v>11556.4</v>
      </c>
      <c r="M85" s="7">
        <v>2876.35</v>
      </c>
      <c r="N85" s="8">
        <v>1476.12</v>
      </c>
    </row>
    <row r="86" spans="2:14" hidden="1" outlineLevel="1" x14ac:dyDescent="0.3">
      <c r="B86" s="4">
        <v>45564</v>
      </c>
      <c r="C86" s="7">
        <v>25014.6</v>
      </c>
      <c r="D86" s="7">
        <v>41912.5</v>
      </c>
      <c r="E86" s="7">
        <v>4185.53</v>
      </c>
      <c r="F86" s="7">
        <v>1918.15</v>
      </c>
      <c r="G86" s="7">
        <v>1770.65</v>
      </c>
      <c r="H86" s="7">
        <v>266.77</v>
      </c>
      <c r="I86" s="7">
        <v>1616.45</v>
      </c>
      <c r="J86" s="7">
        <v>6114.1</v>
      </c>
      <c r="K86" s="7">
        <v>5141.3</v>
      </c>
      <c r="L86" s="7">
        <v>10951.2</v>
      </c>
      <c r="M86" s="7">
        <v>2846.6</v>
      </c>
      <c r="N86" s="8">
        <v>1425.11</v>
      </c>
    </row>
    <row r="87" spans="2:14" hidden="1" outlineLevel="1" x14ac:dyDescent="0.3">
      <c r="B87" s="4">
        <v>45557</v>
      </c>
      <c r="C87" s="7">
        <v>26178.95</v>
      </c>
      <c r="D87" s="7">
        <v>42312.6</v>
      </c>
      <c r="E87" s="7">
        <v>4241.09</v>
      </c>
      <c r="F87" s="7">
        <v>1906.75</v>
      </c>
      <c r="G87" s="7">
        <v>1802.34</v>
      </c>
      <c r="H87" s="7">
        <v>270.89999999999998</v>
      </c>
      <c r="I87" s="7">
        <v>1609.25</v>
      </c>
      <c r="J87" s="7">
        <v>6136.1</v>
      </c>
      <c r="K87" s="7">
        <v>5437</v>
      </c>
      <c r="L87" s="7">
        <v>11392.8</v>
      </c>
      <c r="M87" s="7">
        <v>3082.6</v>
      </c>
      <c r="N87" s="8">
        <v>1387.07</v>
      </c>
    </row>
    <row r="88" spans="2:14" hidden="1" outlineLevel="1" x14ac:dyDescent="0.3">
      <c r="B88" s="4">
        <v>45550</v>
      </c>
      <c r="C88" s="7">
        <v>25790.95</v>
      </c>
      <c r="D88" s="7">
        <v>42204.4</v>
      </c>
      <c r="E88" s="7">
        <v>4217.67</v>
      </c>
      <c r="F88" s="7">
        <v>1905.75</v>
      </c>
      <c r="G88" s="7">
        <v>1754.16</v>
      </c>
      <c r="H88" s="7">
        <v>269.55</v>
      </c>
      <c r="I88" s="7">
        <v>1622.05</v>
      </c>
      <c r="J88" s="7">
        <v>6373.1</v>
      </c>
      <c r="K88" s="7">
        <v>5355.05</v>
      </c>
      <c r="L88" s="7">
        <v>11371.6</v>
      </c>
      <c r="M88" s="7">
        <v>3028.35</v>
      </c>
      <c r="N88" s="8">
        <v>1389.07</v>
      </c>
    </row>
    <row r="89" spans="2:14" hidden="1" outlineLevel="1" x14ac:dyDescent="0.3">
      <c r="B89" s="4">
        <v>45543</v>
      </c>
      <c r="C89" s="7">
        <v>25356.5</v>
      </c>
      <c r="D89" s="7">
        <v>43394.35</v>
      </c>
      <c r="E89" s="7">
        <v>4451.6400000000003</v>
      </c>
      <c r="F89" s="7">
        <v>1944.1</v>
      </c>
      <c r="G89" s="7">
        <v>1806.73</v>
      </c>
      <c r="H89" s="7">
        <v>275.3</v>
      </c>
      <c r="I89" s="7">
        <v>1656.05</v>
      </c>
      <c r="J89" s="7">
        <v>6416.2</v>
      </c>
      <c r="K89" s="7">
        <v>5359.9</v>
      </c>
      <c r="L89" s="7">
        <v>12261.9</v>
      </c>
      <c r="M89" s="7">
        <v>3146.15</v>
      </c>
      <c r="N89" s="8">
        <v>1402.75</v>
      </c>
    </row>
    <row r="90" spans="2:14" hidden="1" outlineLevel="1" x14ac:dyDescent="0.3">
      <c r="B90" s="4">
        <v>45536</v>
      </c>
      <c r="C90" s="7">
        <v>24852.15</v>
      </c>
      <c r="D90" s="7">
        <v>42228.9</v>
      </c>
      <c r="E90" s="7">
        <v>4386.82</v>
      </c>
      <c r="F90" s="7">
        <v>1901.85</v>
      </c>
      <c r="G90" s="7">
        <v>1750.22</v>
      </c>
      <c r="H90" s="7">
        <v>260.3</v>
      </c>
      <c r="I90" s="7">
        <v>1623.25</v>
      </c>
      <c r="J90" s="7">
        <v>6165.4</v>
      </c>
      <c r="K90" s="7">
        <v>5189.95</v>
      </c>
      <c r="L90" s="7">
        <v>10847.8</v>
      </c>
      <c r="M90" s="7">
        <v>3051.5</v>
      </c>
      <c r="N90" s="8">
        <v>1324.93</v>
      </c>
    </row>
    <row r="91" spans="2:14" hidden="1" outlineLevel="1" x14ac:dyDescent="0.3">
      <c r="B91" s="4">
        <v>45529</v>
      </c>
      <c r="C91" s="7">
        <v>25235.9</v>
      </c>
      <c r="D91" s="7">
        <v>42787.8</v>
      </c>
      <c r="E91" s="7">
        <v>4482.3</v>
      </c>
      <c r="F91" s="7">
        <v>1943.7</v>
      </c>
      <c r="G91" s="7">
        <v>1747.38</v>
      </c>
      <c r="H91" s="7">
        <v>269.2</v>
      </c>
      <c r="I91" s="7">
        <v>1636.5</v>
      </c>
      <c r="J91" s="7">
        <v>6156.05</v>
      </c>
      <c r="K91" s="7">
        <v>5170.8500000000004</v>
      </c>
      <c r="L91" s="7">
        <v>10988.7</v>
      </c>
      <c r="M91" s="7">
        <v>3104.95</v>
      </c>
      <c r="N91" s="8">
        <v>1268.81</v>
      </c>
    </row>
    <row r="92" spans="2:14" hidden="1" outlineLevel="1" x14ac:dyDescent="0.3">
      <c r="B92" s="4">
        <v>45522</v>
      </c>
      <c r="C92" s="7">
        <v>24823.15</v>
      </c>
      <c r="D92" s="7">
        <v>41089.85</v>
      </c>
      <c r="E92" s="7">
        <v>4393.8599999999997</v>
      </c>
      <c r="F92" s="7">
        <v>1862.1</v>
      </c>
      <c r="G92" s="7">
        <v>1655.89</v>
      </c>
      <c r="H92" s="7">
        <v>256.2</v>
      </c>
      <c r="I92" s="7">
        <v>1598.4</v>
      </c>
      <c r="J92" s="7">
        <v>5641.6</v>
      </c>
      <c r="K92" s="7">
        <v>4882.5</v>
      </c>
      <c r="L92" s="7">
        <v>10931.5</v>
      </c>
      <c r="M92" s="7">
        <v>2997.65</v>
      </c>
      <c r="N92" s="8">
        <v>1204.45</v>
      </c>
    </row>
    <row r="93" spans="2:14" hidden="1" outlineLevel="1" x14ac:dyDescent="0.3">
      <c r="B93" s="4">
        <v>45515</v>
      </c>
      <c r="C93" s="7">
        <v>24541.15</v>
      </c>
      <c r="D93" s="7">
        <v>40878.25</v>
      </c>
      <c r="E93" s="7">
        <v>4346.76</v>
      </c>
      <c r="F93" s="7">
        <v>1858.95</v>
      </c>
      <c r="G93" s="7">
        <v>1662.67</v>
      </c>
      <c r="H93" s="7">
        <v>258.13</v>
      </c>
      <c r="I93" s="7">
        <v>1585.3</v>
      </c>
      <c r="J93" s="7">
        <v>5563.75</v>
      </c>
      <c r="K93" s="7">
        <v>4857.1499999999996</v>
      </c>
      <c r="L93" s="7">
        <v>10898.45</v>
      </c>
      <c r="M93" s="7">
        <v>2910.95</v>
      </c>
      <c r="N93" s="8">
        <v>1215.4000000000001</v>
      </c>
    </row>
    <row r="94" spans="2:14" hidden="1" outlineLevel="1" x14ac:dyDescent="0.3">
      <c r="B94" s="4">
        <v>45508</v>
      </c>
      <c r="C94" s="7">
        <v>24367.5</v>
      </c>
      <c r="D94" s="7">
        <v>39043.300000000003</v>
      </c>
      <c r="E94" s="7">
        <v>4162.3999999999996</v>
      </c>
      <c r="F94" s="7">
        <v>1770.75</v>
      </c>
      <c r="G94" s="7">
        <v>1584.63</v>
      </c>
      <c r="H94" s="7">
        <v>245.65</v>
      </c>
      <c r="I94" s="7">
        <v>1506.7</v>
      </c>
      <c r="J94" s="7">
        <v>5373.55</v>
      </c>
      <c r="K94" s="7">
        <v>4699.05</v>
      </c>
      <c r="L94" s="7">
        <v>10564.1</v>
      </c>
      <c r="M94" s="7">
        <v>2720.5</v>
      </c>
      <c r="N94" s="8">
        <v>1175.68</v>
      </c>
    </row>
    <row r="95" spans="2:14" hidden="1" outlineLevel="1" x14ac:dyDescent="0.3">
      <c r="B95" s="4">
        <v>45501</v>
      </c>
      <c r="C95" s="7">
        <v>24717.7</v>
      </c>
      <c r="D95" s="7">
        <v>39730.300000000003</v>
      </c>
      <c r="E95" s="7">
        <v>4215.8500000000004</v>
      </c>
      <c r="F95" s="7">
        <v>1821.2</v>
      </c>
      <c r="G95" s="7">
        <v>1603.91</v>
      </c>
      <c r="H95" s="7">
        <v>251.07</v>
      </c>
      <c r="I95" s="7">
        <v>1507.7</v>
      </c>
      <c r="J95" s="7">
        <v>5509.9</v>
      </c>
      <c r="K95" s="7">
        <v>4636.3500000000004</v>
      </c>
      <c r="L95" s="7">
        <v>10389.6</v>
      </c>
      <c r="M95" s="7">
        <v>2775.3</v>
      </c>
      <c r="N95" s="8">
        <v>1216</v>
      </c>
    </row>
    <row r="96" spans="2:14" hidden="1" outlineLevel="1" x14ac:dyDescent="0.3">
      <c r="B96" s="4">
        <v>45494</v>
      </c>
      <c r="C96" s="7">
        <v>24834.85</v>
      </c>
      <c r="D96" s="7">
        <v>40977.35</v>
      </c>
      <c r="E96" s="7">
        <v>4319</v>
      </c>
      <c r="F96" s="7">
        <v>1878.9</v>
      </c>
      <c r="G96" s="7">
        <v>1629.88</v>
      </c>
      <c r="H96" s="7">
        <v>262.39999999999998</v>
      </c>
      <c r="I96" s="7">
        <v>1541.15</v>
      </c>
      <c r="J96" s="7">
        <v>5788.45</v>
      </c>
      <c r="K96" s="7">
        <v>4772.95</v>
      </c>
      <c r="L96" s="7">
        <v>11093.65</v>
      </c>
      <c r="M96" s="7">
        <v>3029.8</v>
      </c>
      <c r="N96" s="8">
        <v>1268.74</v>
      </c>
    </row>
    <row r="97" spans="2:14" hidden="1" outlineLevel="1" x14ac:dyDescent="0.3">
      <c r="B97" s="4">
        <v>45487</v>
      </c>
      <c r="C97" s="7">
        <v>24530.9</v>
      </c>
      <c r="D97" s="7">
        <v>39923.300000000003</v>
      </c>
      <c r="E97" s="7">
        <v>4234.8900000000003</v>
      </c>
      <c r="F97" s="7">
        <v>1792.95</v>
      </c>
      <c r="G97" s="7">
        <v>1589.21</v>
      </c>
      <c r="H97" s="7">
        <v>278.60000000000002</v>
      </c>
      <c r="I97" s="7">
        <v>1491.4</v>
      </c>
      <c r="J97" s="7">
        <v>5762.75</v>
      </c>
      <c r="K97" s="7">
        <v>4583.45</v>
      </c>
      <c r="L97" s="7">
        <v>10822.3</v>
      </c>
      <c r="M97" s="7">
        <v>2873.55</v>
      </c>
      <c r="N97" s="8">
        <v>1196.75</v>
      </c>
    </row>
    <row r="98" spans="2:14" hidden="1" outlineLevel="1" x14ac:dyDescent="0.3">
      <c r="B98" s="4">
        <v>45480</v>
      </c>
      <c r="C98" s="7">
        <v>24502.15</v>
      </c>
      <c r="D98" s="7">
        <v>39023</v>
      </c>
      <c r="E98" s="7">
        <v>4118.3</v>
      </c>
      <c r="F98" s="7">
        <v>1711.75</v>
      </c>
      <c r="G98" s="7">
        <v>1554.98</v>
      </c>
      <c r="H98" s="7">
        <v>280.08</v>
      </c>
      <c r="I98" s="7">
        <v>1505.05</v>
      </c>
      <c r="J98" s="7">
        <v>5572.65</v>
      </c>
      <c r="K98" s="7">
        <v>4808.5</v>
      </c>
      <c r="L98" s="7">
        <v>10556.85</v>
      </c>
      <c r="M98" s="7">
        <v>2690.7</v>
      </c>
      <c r="N98" s="8">
        <v>1195.53</v>
      </c>
    </row>
    <row r="99" spans="2:14" hidden="1" outlineLevel="1" x14ac:dyDescent="0.3">
      <c r="B99" s="4">
        <v>45473</v>
      </c>
      <c r="C99" s="7">
        <v>24323.85</v>
      </c>
      <c r="D99" s="7">
        <v>37720.75</v>
      </c>
      <c r="E99" s="7">
        <v>3948.85</v>
      </c>
      <c r="F99" s="7">
        <v>1647.45</v>
      </c>
      <c r="G99" s="7">
        <v>1514.31</v>
      </c>
      <c r="H99" s="7">
        <v>267.55</v>
      </c>
      <c r="I99" s="7">
        <v>1461.35</v>
      </c>
      <c r="J99" s="7">
        <v>5421.7</v>
      </c>
      <c r="K99" s="7">
        <v>4771.25</v>
      </c>
      <c r="L99" s="7">
        <v>10425.450000000001</v>
      </c>
      <c r="M99" s="7">
        <v>2628.9</v>
      </c>
      <c r="N99" s="8">
        <v>1174.03</v>
      </c>
    </row>
    <row r="100" spans="2:14" hidden="1" outlineLevel="1" x14ac:dyDescent="0.3">
      <c r="B100" s="4">
        <v>45466</v>
      </c>
      <c r="C100" s="7">
        <v>24010.6</v>
      </c>
      <c r="D100" s="7">
        <v>36157.5</v>
      </c>
      <c r="E100" s="7">
        <v>3842.89</v>
      </c>
      <c r="F100" s="7">
        <v>1566.75</v>
      </c>
      <c r="G100" s="7">
        <v>1454.71</v>
      </c>
      <c r="H100" s="7">
        <v>257.42</v>
      </c>
      <c r="I100" s="7">
        <v>1430.35</v>
      </c>
      <c r="J100" s="7">
        <v>5385.05</v>
      </c>
      <c r="K100" s="7">
        <v>4241.45</v>
      </c>
      <c r="L100" s="7">
        <v>9882.25</v>
      </c>
      <c r="M100" s="7">
        <v>2456.5500000000002</v>
      </c>
      <c r="N100" s="8">
        <v>1091.76</v>
      </c>
    </row>
    <row r="101" spans="2:14" hidden="1" outlineLevel="1" x14ac:dyDescent="0.3">
      <c r="B101" s="4">
        <v>45459</v>
      </c>
      <c r="C101" s="7">
        <v>23501.1</v>
      </c>
      <c r="D101" s="7">
        <v>35200.300000000003</v>
      </c>
      <c r="E101" s="7">
        <v>3750.96</v>
      </c>
      <c r="F101" s="7">
        <v>1532.7</v>
      </c>
      <c r="G101" s="7">
        <v>1443</v>
      </c>
      <c r="H101" s="7">
        <v>245.27</v>
      </c>
      <c r="I101" s="7">
        <v>1399.8</v>
      </c>
      <c r="J101" s="7">
        <v>5125.45</v>
      </c>
      <c r="K101" s="7">
        <v>3944.45</v>
      </c>
      <c r="L101" s="7">
        <v>9738.9</v>
      </c>
      <c r="M101" s="7">
        <v>2429.75</v>
      </c>
      <c r="N101" s="8">
        <v>1076.68</v>
      </c>
    </row>
    <row r="102" spans="2:14" hidden="1" outlineLevel="1" x14ac:dyDescent="0.3">
      <c r="B102" s="4">
        <v>45452</v>
      </c>
      <c r="C102" s="7">
        <v>23465.599999999999</v>
      </c>
      <c r="D102" s="7">
        <v>34598.550000000003</v>
      </c>
      <c r="E102" s="7">
        <v>3771.92</v>
      </c>
      <c r="F102" s="7">
        <v>1488.9</v>
      </c>
      <c r="G102" s="7">
        <v>1426.26</v>
      </c>
      <c r="H102" s="7">
        <v>238.75</v>
      </c>
      <c r="I102" s="7">
        <v>1371.45</v>
      </c>
      <c r="J102" s="7">
        <v>5032.55</v>
      </c>
      <c r="K102" s="7">
        <v>3772.8</v>
      </c>
      <c r="L102" s="7">
        <v>9510.7000000000007</v>
      </c>
      <c r="M102" s="7">
        <v>2408.85</v>
      </c>
      <c r="N102" s="8">
        <v>1040.3499999999999</v>
      </c>
    </row>
    <row r="103" spans="2:14" hidden="1" outlineLevel="1" x14ac:dyDescent="0.3">
      <c r="B103" s="4">
        <v>45445</v>
      </c>
      <c r="C103" s="7">
        <v>23290.15</v>
      </c>
      <c r="D103" s="7">
        <v>35169.9</v>
      </c>
      <c r="E103" s="7">
        <v>3832.85</v>
      </c>
      <c r="F103" s="7">
        <v>1533.6</v>
      </c>
      <c r="G103" s="7">
        <v>1426.71</v>
      </c>
      <c r="H103" s="7">
        <v>242.27</v>
      </c>
      <c r="I103" s="7">
        <v>1377.6</v>
      </c>
      <c r="J103" s="7">
        <v>4977.2</v>
      </c>
      <c r="K103" s="7">
        <v>3850.25</v>
      </c>
      <c r="L103" s="7">
        <v>8406.2999999999993</v>
      </c>
      <c r="M103" s="7">
        <v>2471.9499999999998</v>
      </c>
      <c r="N103" s="8">
        <v>1086.22</v>
      </c>
    </row>
    <row r="104" spans="2:14" hidden="1" outlineLevel="1" x14ac:dyDescent="0.3">
      <c r="B104" s="4">
        <v>45438</v>
      </c>
      <c r="C104" s="7">
        <v>22530.7</v>
      </c>
      <c r="D104" s="7">
        <v>32386.1</v>
      </c>
      <c r="E104" s="7">
        <v>3613.35</v>
      </c>
      <c r="F104" s="7">
        <v>1406.9</v>
      </c>
      <c r="G104" s="7">
        <v>1319.67</v>
      </c>
      <c r="H104" s="7">
        <v>219.1</v>
      </c>
      <c r="I104" s="7">
        <v>1228.45</v>
      </c>
      <c r="J104" s="7">
        <v>4701.8999999999996</v>
      </c>
      <c r="K104" s="7">
        <v>3410.5</v>
      </c>
      <c r="L104" s="7">
        <v>7454.95</v>
      </c>
      <c r="M104" s="7">
        <v>2284.1</v>
      </c>
      <c r="N104" s="8">
        <v>994.2</v>
      </c>
    </row>
    <row r="105" spans="2:14" hidden="1" outlineLevel="1" x14ac:dyDescent="0.3">
      <c r="B105" s="4">
        <v>45431</v>
      </c>
      <c r="C105" s="7">
        <v>22957.1</v>
      </c>
      <c r="D105" s="7">
        <v>33824.300000000003</v>
      </c>
      <c r="E105" s="7">
        <v>3789.1</v>
      </c>
      <c r="F105" s="7">
        <v>1456.89</v>
      </c>
      <c r="G105" s="7">
        <v>1340.7</v>
      </c>
      <c r="H105" s="7">
        <v>231.82</v>
      </c>
      <c r="I105" s="7">
        <v>1321.75</v>
      </c>
      <c r="J105" s="7">
        <v>4839.75</v>
      </c>
      <c r="K105" s="7">
        <v>3555.2</v>
      </c>
      <c r="L105" s="7">
        <v>7542.4</v>
      </c>
      <c r="M105" s="7">
        <v>2390.9499999999998</v>
      </c>
      <c r="N105" s="8">
        <v>1021.09</v>
      </c>
    </row>
    <row r="106" spans="2:14" hidden="1" outlineLevel="1" x14ac:dyDescent="0.3">
      <c r="B106" s="4">
        <v>45424</v>
      </c>
      <c r="C106" s="7">
        <v>22466.1</v>
      </c>
      <c r="D106" s="7">
        <v>33381.85</v>
      </c>
      <c r="E106" s="7">
        <v>3773.94</v>
      </c>
      <c r="F106" s="7">
        <v>1436.21</v>
      </c>
      <c r="G106" s="7">
        <v>1328.74</v>
      </c>
      <c r="H106" s="7">
        <v>230.5</v>
      </c>
      <c r="I106" s="7">
        <v>1305.4000000000001</v>
      </c>
      <c r="J106" s="7">
        <v>4764.3</v>
      </c>
      <c r="K106" s="7">
        <v>3540.15</v>
      </c>
      <c r="L106" s="7">
        <v>7786</v>
      </c>
      <c r="M106" s="7">
        <v>2311.6</v>
      </c>
      <c r="N106" s="8">
        <v>942.52</v>
      </c>
    </row>
    <row r="107" spans="2:14" hidden="1" outlineLevel="1" x14ac:dyDescent="0.3">
      <c r="B107" s="4">
        <v>45417</v>
      </c>
      <c r="C107" s="7">
        <v>22055.200000000001</v>
      </c>
      <c r="D107" s="7">
        <v>32935.15</v>
      </c>
      <c r="E107" s="7">
        <v>3832.8</v>
      </c>
      <c r="F107" s="7">
        <v>1416.92</v>
      </c>
      <c r="G107" s="7">
        <v>1311.79</v>
      </c>
      <c r="H107" s="7">
        <v>225.93</v>
      </c>
      <c r="I107" s="7">
        <v>1264.4000000000001</v>
      </c>
      <c r="J107" s="7">
        <v>4607.6499999999996</v>
      </c>
      <c r="K107" s="7">
        <v>3367.5</v>
      </c>
      <c r="L107" s="7">
        <v>7580.75</v>
      </c>
      <c r="M107" s="7">
        <v>2231.1999999999998</v>
      </c>
      <c r="N107" s="8">
        <v>893.06</v>
      </c>
    </row>
    <row r="108" spans="2:14" hidden="1" outlineLevel="1" x14ac:dyDescent="0.3">
      <c r="B108" s="4">
        <v>45410</v>
      </c>
      <c r="C108" s="7">
        <v>22475.85</v>
      </c>
      <c r="D108" s="7">
        <v>32908.400000000001</v>
      </c>
      <c r="E108" s="7">
        <v>3783.09</v>
      </c>
      <c r="F108" s="7">
        <v>1408.36</v>
      </c>
      <c r="G108" s="7">
        <v>1343.54</v>
      </c>
      <c r="H108" s="7">
        <v>228.68</v>
      </c>
      <c r="I108" s="7">
        <v>1250.45</v>
      </c>
      <c r="J108" s="7">
        <v>4651.95</v>
      </c>
      <c r="K108" s="7">
        <v>3366.85</v>
      </c>
      <c r="L108" s="7">
        <v>7780.7</v>
      </c>
      <c r="M108" s="7">
        <v>2291.9</v>
      </c>
      <c r="N108" s="8">
        <v>896.51</v>
      </c>
    </row>
    <row r="109" spans="2:14" hidden="1" outlineLevel="1" x14ac:dyDescent="0.3">
      <c r="B109" s="4">
        <v>45403</v>
      </c>
      <c r="C109" s="7">
        <v>22419.95</v>
      </c>
      <c r="D109" s="7">
        <v>33666.25</v>
      </c>
      <c r="E109" s="7">
        <v>3761.39</v>
      </c>
      <c r="F109" s="7">
        <v>1422.23</v>
      </c>
      <c r="G109" s="7">
        <v>1468.92</v>
      </c>
      <c r="H109" s="7">
        <v>232.3</v>
      </c>
      <c r="I109" s="7">
        <v>1278.75</v>
      </c>
      <c r="J109" s="7">
        <v>4788.05</v>
      </c>
      <c r="K109" s="7">
        <v>3397.45</v>
      </c>
      <c r="L109" s="7">
        <v>7490.6</v>
      </c>
      <c r="M109" s="7">
        <v>2298.1</v>
      </c>
      <c r="N109" s="8">
        <v>1050.2</v>
      </c>
    </row>
    <row r="110" spans="2:14" hidden="1" outlineLevel="1" x14ac:dyDescent="0.3">
      <c r="B110" s="4">
        <v>45396</v>
      </c>
      <c r="C110" s="7">
        <v>22147</v>
      </c>
      <c r="D110" s="7">
        <v>33368.300000000003</v>
      </c>
      <c r="E110" s="7">
        <v>3766.16</v>
      </c>
      <c r="F110" s="7">
        <v>1403.34</v>
      </c>
      <c r="G110" s="7">
        <v>1442.65</v>
      </c>
      <c r="H110" s="7">
        <v>226.38</v>
      </c>
      <c r="I110" s="7">
        <v>1193.6500000000001</v>
      </c>
      <c r="J110" s="7">
        <v>4660.55</v>
      </c>
      <c r="K110" s="7">
        <v>3884.7</v>
      </c>
      <c r="L110" s="7">
        <v>7602.75</v>
      </c>
      <c r="M110" s="7">
        <v>2280.3000000000002</v>
      </c>
      <c r="N110" s="8">
        <v>1023.63</v>
      </c>
    </row>
    <row r="111" spans="2:14" hidden="1" outlineLevel="1" x14ac:dyDescent="0.3">
      <c r="B111" s="4">
        <v>45389</v>
      </c>
      <c r="C111" s="7">
        <v>22519.4</v>
      </c>
      <c r="D111" s="7">
        <v>35018.1</v>
      </c>
      <c r="E111" s="7">
        <v>3938.61</v>
      </c>
      <c r="F111" s="7">
        <v>1476.43</v>
      </c>
      <c r="G111" s="7">
        <v>1516.41</v>
      </c>
      <c r="H111" s="7">
        <v>235.38</v>
      </c>
      <c r="I111" s="7">
        <v>1242.0999999999999</v>
      </c>
      <c r="J111" s="7">
        <v>4888.8999999999996</v>
      </c>
      <c r="K111" s="7">
        <v>3977.95</v>
      </c>
      <c r="L111" s="7">
        <v>8204.2000000000007</v>
      </c>
      <c r="M111" s="7">
        <v>2446.15</v>
      </c>
      <c r="N111" s="8">
        <v>1123.25</v>
      </c>
    </row>
    <row r="112" spans="2:14" hidden="1" outlineLevel="1" x14ac:dyDescent="0.3">
      <c r="B112" s="4">
        <v>45382</v>
      </c>
      <c r="C112" s="7">
        <v>22513.7</v>
      </c>
      <c r="D112" s="7">
        <v>35247.9</v>
      </c>
      <c r="E112" s="7">
        <v>3916.81</v>
      </c>
      <c r="F112" s="7">
        <v>1470.81</v>
      </c>
      <c r="G112" s="7">
        <v>1540.08</v>
      </c>
      <c r="H112" s="7">
        <v>242.52</v>
      </c>
      <c r="I112" s="7">
        <v>1263.4000000000001</v>
      </c>
      <c r="J112" s="7">
        <v>4927.5</v>
      </c>
      <c r="K112" s="7">
        <v>3996.75</v>
      </c>
      <c r="L112" s="7">
        <v>8775.4500000000007</v>
      </c>
      <c r="M112" s="7">
        <v>2510.6</v>
      </c>
      <c r="N112" s="8">
        <v>1156.58</v>
      </c>
    </row>
    <row r="113" spans="2:14" hidden="1" outlineLevel="1" x14ac:dyDescent="0.3">
      <c r="B113" s="4">
        <v>45375</v>
      </c>
      <c r="C113" s="7">
        <v>22326.9</v>
      </c>
      <c r="D113" s="7">
        <v>34898.15</v>
      </c>
      <c r="E113" s="7">
        <v>3815.48</v>
      </c>
      <c r="F113" s="7">
        <v>1489.66</v>
      </c>
      <c r="G113" s="7">
        <v>1538.38</v>
      </c>
      <c r="H113" s="7">
        <v>240.05</v>
      </c>
      <c r="I113" s="7">
        <v>1248.0999999999999</v>
      </c>
      <c r="J113" s="7">
        <v>4938.3999999999996</v>
      </c>
      <c r="K113" s="7">
        <v>3984.55</v>
      </c>
      <c r="L113" s="7">
        <v>8774.1</v>
      </c>
      <c r="M113" s="7">
        <v>2388.0500000000002</v>
      </c>
      <c r="N113" s="8">
        <v>1100.49</v>
      </c>
    </row>
    <row r="114" spans="2:14" hidden="1" outlineLevel="1" x14ac:dyDescent="0.3">
      <c r="B114" s="4">
        <v>45368</v>
      </c>
      <c r="C114" s="7">
        <v>22096.75</v>
      </c>
      <c r="D114" s="7">
        <v>35188.400000000001</v>
      </c>
      <c r="E114" s="7">
        <v>3849.53</v>
      </c>
      <c r="F114" s="7">
        <v>1500.39</v>
      </c>
      <c r="G114" s="7">
        <v>1552.63</v>
      </c>
      <c r="H114" s="7">
        <v>243.55</v>
      </c>
      <c r="I114" s="7">
        <v>1262.6500000000001</v>
      </c>
      <c r="J114" s="7">
        <v>5005</v>
      </c>
      <c r="K114" s="7">
        <v>3985.7</v>
      </c>
      <c r="L114" s="7">
        <v>8378.9500000000007</v>
      </c>
      <c r="M114" s="7">
        <v>2389.4</v>
      </c>
      <c r="N114" s="8">
        <v>1108.02</v>
      </c>
    </row>
    <row r="115" spans="2:14" hidden="1" outlineLevel="1" x14ac:dyDescent="0.3">
      <c r="B115" s="4">
        <v>45361</v>
      </c>
      <c r="C115" s="7">
        <v>22023.35</v>
      </c>
      <c r="D115" s="7">
        <v>37500.699999999997</v>
      </c>
      <c r="E115" s="7">
        <v>4153.05</v>
      </c>
      <c r="F115" s="7">
        <v>1624.84</v>
      </c>
      <c r="G115" s="7">
        <v>1641.79</v>
      </c>
      <c r="H115" s="7">
        <v>258.5</v>
      </c>
      <c r="I115" s="7">
        <v>1282.2</v>
      </c>
      <c r="J115" s="7">
        <v>5194.3500000000004</v>
      </c>
      <c r="K115" s="7">
        <v>4216.2299999999996</v>
      </c>
      <c r="L115" s="7">
        <v>8453.2999999999993</v>
      </c>
      <c r="M115" s="7">
        <v>2487.85</v>
      </c>
      <c r="N115" s="8">
        <v>1223.28</v>
      </c>
    </row>
    <row r="116" spans="2:14" hidden="1" outlineLevel="1" x14ac:dyDescent="0.3">
      <c r="B116" s="4">
        <v>45354</v>
      </c>
      <c r="C116" s="7">
        <v>22493.55</v>
      </c>
      <c r="D116" s="7">
        <v>37099.9</v>
      </c>
      <c r="E116" s="7">
        <v>4044.13</v>
      </c>
      <c r="F116" s="7">
        <v>1607.39</v>
      </c>
      <c r="G116" s="7">
        <v>1632.17</v>
      </c>
      <c r="H116" s="7">
        <v>257.75</v>
      </c>
      <c r="I116" s="7">
        <v>1288.1500000000001</v>
      </c>
      <c r="J116" s="7">
        <v>5122.7</v>
      </c>
      <c r="K116" s="7">
        <v>4186.05</v>
      </c>
      <c r="L116" s="7">
        <v>8301.7999999999993</v>
      </c>
      <c r="M116" s="7">
        <v>2492.85</v>
      </c>
      <c r="N116" s="8">
        <v>1250.74</v>
      </c>
    </row>
    <row r="117" spans="2:14" hidden="1" outlineLevel="1" x14ac:dyDescent="0.3">
      <c r="B117" s="4">
        <v>45347</v>
      </c>
      <c r="C117" s="7">
        <v>22338.75</v>
      </c>
      <c r="D117" s="7">
        <v>37516.050000000003</v>
      </c>
      <c r="E117" s="7">
        <v>4030.11</v>
      </c>
      <c r="F117" s="7">
        <v>1645.43</v>
      </c>
      <c r="G117" s="7">
        <v>1638.6</v>
      </c>
      <c r="H117" s="7">
        <v>259.55</v>
      </c>
      <c r="I117" s="7">
        <v>1271.8</v>
      </c>
      <c r="J117" s="7">
        <v>5273.55</v>
      </c>
      <c r="K117" s="7">
        <v>4299.5</v>
      </c>
      <c r="L117" s="7">
        <v>7710.05</v>
      </c>
      <c r="M117" s="7">
        <v>2617.25</v>
      </c>
      <c r="N117" s="8">
        <v>1300.94</v>
      </c>
    </row>
    <row r="118" spans="2:14" hidden="1" outlineLevel="1" x14ac:dyDescent="0.3">
      <c r="B118" s="4">
        <v>45340</v>
      </c>
      <c r="C118" s="7">
        <v>22212.7</v>
      </c>
      <c r="D118" s="7">
        <v>38045.65</v>
      </c>
      <c r="E118" s="7">
        <v>3988.52</v>
      </c>
      <c r="F118" s="7">
        <v>1667.45</v>
      </c>
      <c r="G118" s="7">
        <v>1660.17</v>
      </c>
      <c r="H118" s="7">
        <v>268.08</v>
      </c>
      <c r="I118" s="7">
        <v>1322.25</v>
      </c>
      <c r="J118" s="7">
        <v>5542.65</v>
      </c>
      <c r="K118" s="7">
        <v>4326.1499999999996</v>
      </c>
      <c r="L118" s="7">
        <v>7890.3</v>
      </c>
      <c r="M118" s="7">
        <v>2727.6</v>
      </c>
      <c r="N118" s="8">
        <v>1321.2</v>
      </c>
    </row>
    <row r="119" spans="2:14" hidden="1" outlineLevel="1" x14ac:dyDescent="0.3">
      <c r="B119" s="4">
        <v>45333</v>
      </c>
      <c r="C119" s="7">
        <v>22040.7</v>
      </c>
      <c r="D119" s="7">
        <v>38477.050000000003</v>
      </c>
      <c r="E119" s="7">
        <v>4063.52</v>
      </c>
      <c r="F119" s="7">
        <v>1692.11</v>
      </c>
      <c r="G119" s="7">
        <v>1661.87</v>
      </c>
      <c r="H119" s="7">
        <v>271.5</v>
      </c>
      <c r="I119" s="7">
        <v>1302.55</v>
      </c>
      <c r="J119" s="7">
        <v>5580.4</v>
      </c>
      <c r="K119" s="7">
        <v>4434.7700000000004</v>
      </c>
      <c r="L119" s="7">
        <v>7917.5</v>
      </c>
      <c r="M119" s="7">
        <v>2801.95</v>
      </c>
      <c r="N119" s="8">
        <v>1333.08</v>
      </c>
    </row>
    <row r="120" spans="2:14" hidden="1" outlineLevel="1" x14ac:dyDescent="0.3">
      <c r="B120" s="4">
        <v>45326</v>
      </c>
      <c r="C120" s="7">
        <v>21782.5</v>
      </c>
      <c r="D120" s="7">
        <v>37699.25</v>
      </c>
      <c r="E120" s="7">
        <v>4068.84</v>
      </c>
      <c r="F120" s="7">
        <v>1659.99</v>
      </c>
      <c r="G120" s="7">
        <v>1625.14</v>
      </c>
      <c r="H120" s="7">
        <v>245.23</v>
      </c>
      <c r="I120" s="7">
        <v>1311.05</v>
      </c>
      <c r="J120" s="7">
        <v>5453.3</v>
      </c>
      <c r="K120" s="7">
        <v>4319.38</v>
      </c>
      <c r="L120" s="7">
        <v>7525.75</v>
      </c>
      <c r="M120" s="7">
        <v>2589.3000000000002</v>
      </c>
      <c r="N120" s="8">
        <v>1300.1500000000001</v>
      </c>
    </row>
    <row r="121" spans="2:14" hidden="1" outlineLevel="1" x14ac:dyDescent="0.3">
      <c r="B121" s="4">
        <v>45319</v>
      </c>
      <c r="C121" s="7">
        <v>21853.8</v>
      </c>
      <c r="D121" s="7">
        <v>37323.25</v>
      </c>
      <c r="E121" s="7">
        <v>3904.06</v>
      </c>
      <c r="F121" s="7">
        <v>1683.86</v>
      </c>
      <c r="G121" s="7">
        <v>1578.45</v>
      </c>
      <c r="H121" s="7">
        <v>241.57</v>
      </c>
      <c r="I121" s="7">
        <v>1338.1</v>
      </c>
      <c r="J121" s="7">
        <v>5485.85</v>
      </c>
      <c r="K121" s="7">
        <v>4251.3</v>
      </c>
      <c r="L121" s="7">
        <v>6564.1</v>
      </c>
      <c r="M121" s="7">
        <v>2560.1999999999998</v>
      </c>
      <c r="N121" s="8">
        <v>1285.07</v>
      </c>
    </row>
    <row r="122" spans="2:14" hidden="1" outlineLevel="1" x14ac:dyDescent="0.3">
      <c r="B122" s="4">
        <v>45312</v>
      </c>
      <c r="C122" s="7">
        <v>21352.6</v>
      </c>
      <c r="D122" s="7">
        <v>36496.199999999997</v>
      </c>
      <c r="E122" s="7">
        <v>3750.51</v>
      </c>
      <c r="F122" s="7">
        <v>1659.75</v>
      </c>
      <c r="G122" s="7">
        <v>1545.06</v>
      </c>
      <c r="H122" s="7">
        <v>235</v>
      </c>
      <c r="I122" s="7">
        <v>1322.05</v>
      </c>
      <c r="J122" s="7">
        <v>5494.65</v>
      </c>
      <c r="K122" s="7">
        <v>4189.38</v>
      </c>
      <c r="L122" s="7">
        <v>6707.3</v>
      </c>
      <c r="M122" s="7">
        <v>2522.4</v>
      </c>
      <c r="N122" s="8">
        <v>1241.01</v>
      </c>
    </row>
    <row r="123" spans="2:14" hidden="1" outlineLevel="1" x14ac:dyDescent="0.3">
      <c r="B123" s="4">
        <v>45305</v>
      </c>
      <c r="C123" s="7">
        <v>21622.400000000001</v>
      </c>
      <c r="D123" s="7">
        <v>37069.25</v>
      </c>
      <c r="E123" s="7">
        <v>3881.18</v>
      </c>
      <c r="F123" s="7">
        <v>1649.9</v>
      </c>
      <c r="G123" s="7">
        <v>1562.7</v>
      </c>
      <c r="H123" s="7">
        <v>242.52</v>
      </c>
      <c r="I123" s="7">
        <v>1389.9</v>
      </c>
      <c r="J123" s="7">
        <v>5652.15</v>
      </c>
      <c r="K123" s="7">
        <v>3932.88</v>
      </c>
      <c r="L123" s="7">
        <v>6877.1</v>
      </c>
      <c r="M123" s="7">
        <v>2549.0500000000002</v>
      </c>
      <c r="N123" s="8">
        <v>1283.07</v>
      </c>
    </row>
    <row r="124" spans="2:14" hidden="1" outlineLevel="1" x14ac:dyDescent="0.3">
      <c r="B124" s="4">
        <v>45298</v>
      </c>
      <c r="C124" s="7">
        <v>21894.55</v>
      </c>
      <c r="D124" s="7">
        <v>36521.699999999997</v>
      </c>
      <c r="E124" s="7">
        <v>3804.25</v>
      </c>
      <c r="F124" s="7">
        <v>1603.71</v>
      </c>
      <c r="G124" s="7">
        <v>1535.64</v>
      </c>
      <c r="H124" s="7">
        <v>232.73</v>
      </c>
      <c r="I124" s="7">
        <v>1308.05</v>
      </c>
      <c r="J124" s="7">
        <v>6237.05</v>
      </c>
      <c r="K124" s="7">
        <v>3827.52</v>
      </c>
      <c r="L124" s="7">
        <v>4656.75</v>
      </c>
      <c r="M124" s="7">
        <v>2679.6</v>
      </c>
      <c r="N124" s="8">
        <v>1318.54</v>
      </c>
    </row>
    <row r="125" spans="2:14" hidden="1" outlineLevel="1" x14ac:dyDescent="0.3">
      <c r="B125" s="4">
        <v>45291</v>
      </c>
      <c r="C125" s="7">
        <v>21710.799999999999</v>
      </c>
      <c r="D125" s="7">
        <v>34851.75</v>
      </c>
      <c r="E125" s="7">
        <v>3662.28</v>
      </c>
      <c r="F125" s="7">
        <v>1523.96</v>
      </c>
      <c r="G125" s="7">
        <v>1428</v>
      </c>
      <c r="H125" s="7">
        <v>228.3</v>
      </c>
      <c r="I125" s="7">
        <v>1248.3</v>
      </c>
      <c r="J125" s="7">
        <v>5947.65</v>
      </c>
      <c r="K125" s="7">
        <v>3675.38</v>
      </c>
      <c r="L125" s="7">
        <v>4457.6499999999996</v>
      </c>
      <c r="M125" s="7">
        <v>2637.55</v>
      </c>
      <c r="N125" s="8">
        <v>1215.27</v>
      </c>
    </row>
    <row r="126" spans="2:14" hidden="1" outlineLevel="1" x14ac:dyDescent="0.3">
      <c r="B126" s="4">
        <v>45284</v>
      </c>
      <c r="C126" s="7">
        <v>21731.4</v>
      </c>
      <c r="D126" s="7">
        <v>35515</v>
      </c>
      <c r="E126" s="7">
        <v>3716.66</v>
      </c>
      <c r="F126" s="7">
        <v>1534.25</v>
      </c>
      <c r="G126" s="7">
        <v>1461.19</v>
      </c>
      <c r="H126" s="7">
        <v>235.65</v>
      </c>
      <c r="I126" s="7">
        <v>1272.6500000000001</v>
      </c>
      <c r="J126" s="7">
        <v>6294.95</v>
      </c>
      <c r="K126" s="7">
        <v>3694.7</v>
      </c>
      <c r="L126" s="7">
        <v>4212.8</v>
      </c>
      <c r="M126" s="7">
        <v>2739.75</v>
      </c>
      <c r="N126" s="8">
        <v>1254.8800000000001</v>
      </c>
    </row>
    <row r="127" spans="2:14" hidden="1" outlineLevel="1" x14ac:dyDescent="0.3">
      <c r="B127" s="4">
        <v>45277</v>
      </c>
      <c r="C127" s="7">
        <v>21349.4</v>
      </c>
      <c r="D127" s="7">
        <v>35637.800000000003</v>
      </c>
      <c r="E127" s="7">
        <v>3746.64</v>
      </c>
      <c r="F127" s="7">
        <v>1554.14</v>
      </c>
      <c r="G127" s="7">
        <v>1457.8</v>
      </c>
      <c r="H127" s="7">
        <v>231.32</v>
      </c>
      <c r="I127" s="7">
        <v>1275.1500000000001</v>
      </c>
      <c r="J127" s="7">
        <v>6229.1</v>
      </c>
      <c r="K127" s="7">
        <v>3715.68</v>
      </c>
      <c r="L127" s="7">
        <v>4212.1499999999996</v>
      </c>
      <c r="M127" s="7">
        <v>2738.4</v>
      </c>
      <c r="N127" s="8">
        <v>1258.04</v>
      </c>
    </row>
    <row r="128" spans="2:14" hidden="1" outlineLevel="1" x14ac:dyDescent="0.3">
      <c r="B128" s="4">
        <v>45270</v>
      </c>
      <c r="C128" s="7">
        <v>21456.65</v>
      </c>
      <c r="D128" s="7">
        <v>35782.449999999997</v>
      </c>
      <c r="E128" s="7">
        <v>3782.89</v>
      </c>
      <c r="F128" s="7">
        <v>1569.56</v>
      </c>
      <c r="G128" s="7">
        <v>1486.31</v>
      </c>
      <c r="H128" s="7">
        <v>223.27</v>
      </c>
      <c r="I128" s="7">
        <v>1306.0999999999999</v>
      </c>
      <c r="J128" s="7">
        <v>6129.3</v>
      </c>
      <c r="K128" s="7">
        <v>3612.43</v>
      </c>
      <c r="L128" s="7">
        <v>4360.75</v>
      </c>
      <c r="M128" s="7">
        <v>2658.9</v>
      </c>
      <c r="N128" s="8">
        <v>1287.97</v>
      </c>
    </row>
    <row r="129" spans="2:14" hidden="1" outlineLevel="1" x14ac:dyDescent="0.3">
      <c r="B129" s="4">
        <v>45263</v>
      </c>
      <c r="C129" s="7">
        <v>20969.400000000001</v>
      </c>
      <c r="D129" s="7">
        <v>33392.9</v>
      </c>
      <c r="E129" s="7">
        <v>3553.33</v>
      </c>
      <c r="F129" s="7">
        <v>1482.79</v>
      </c>
      <c r="G129" s="7">
        <v>1359.53</v>
      </c>
      <c r="H129" s="7">
        <v>211.3</v>
      </c>
      <c r="I129" s="7">
        <v>1225.3</v>
      </c>
      <c r="J129" s="7">
        <v>5708.7</v>
      </c>
      <c r="K129" s="7">
        <v>3232.25</v>
      </c>
      <c r="L129" s="7">
        <v>4131.3500000000004</v>
      </c>
      <c r="M129" s="7">
        <v>2427.0500000000002</v>
      </c>
      <c r="N129" s="8">
        <v>1156.5999999999999</v>
      </c>
    </row>
    <row r="130" spans="2:14" hidden="1" outlineLevel="1" x14ac:dyDescent="0.3">
      <c r="B130" s="4">
        <v>45256</v>
      </c>
      <c r="C130" s="7">
        <v>20267.900000000001</v>
      </c>
      <c r="D130" s="7">
        <v>32598.7</v>
      </c>
      <c r="E130" s="7">
        <v>3440.61</v>
      </c>
      <c r="F130" s="7">
        <v>1444.16</v>
      </c>
      <c r="G130" s="7">
        <v>1332.22</v>
      </c>
      <c r="H130" s="7">
        <v>203.82</v>
      </c>
      <c r="I130" s="7">
        <v>1220.55</v>
      </c>
      <c r="J130" s="7">
        <v>5577.05</v>
      </c>
      <c r="K130" s="7">
        <v>3216.65</v>
      </c>
      <c r="L130" s="7">
        <v>4043.3</v>
      </c>
      <c r="M130" s="7">
        <v>2375.1999999999998</v>
      </c>
      <c r="N130" s="8">
        <v>1142.8</v>
      </c>
    </row>
    <row r="131" spans="2:14" hidden="1" outlineLevel="1" x14ac:dyDescent="0.3">
      <c r="B131" s="4">
        <v>45249</v>
      </c>
      <c r="C131" s="7">
        <v>19794.7</v>
      </c>
      <c r="D131" s="7">
        <v>32055.15</v>
      </c>
      <c r="E131" s="7">
        <v>3387.16</v>
      </c>
      <c r="F131" s="7">
        <v>1429.34</v>
      </c>
      <c r="G131" s="7">
        <v>1304.77</v>
      </c>
      <c r="H131" s="7">
        <v>198</v>
      </c>
      <c r="I131" s="7">
        <v>1197.8499999999999</v>
      </c>
      <c r="J131" s="7">
        <v>5472.6</v>
      </c>
      <c r="K131" s="7">
        <v>3195.18</v>
      </c>
      <c r="L131" s="7">
        <v>4031.15</v>
      </c>
      <c r="M131" s="7">
        <v>2319.4</v>
      </c>
      <c r="N131" s="8">
        <v>1123.71</v>
      </c>
    </row>
    <row r="132" spans="2:14" hidden="1" outlineLevel="1" x14ac:dyDescent="0.3">
      <c r="B132" s="4">
        <v>45242</v>
      </c>
      <c r="C132" s="7">
        <v>19731.8</v>
      </c>
      <c r="D132" s="7">
        <v>32191.35</v>
      </c>
      <c r="E132" s="7">
        <v>3431.59</v>
      </c>
      <c r="F132" s="7">
        <v>1429.49</v>
      </c>
      <c r="G132" s="7">
        <v>1304.77</v>
      </c>
      <c r="H132" s="7">
        <v>197.7</v>
      </c>
      <c r="I132" s="7">
        <v>1202.75</v>
      </c>
      <c r="J132" s="7">
        <v>5518.5</v>
      </c>
      <c r="K132" s="7">
        <v>3193.43</v>
      </c>
      <c r="L132" s="7">
        <v>4180</v>
      </c>
      <c r="M132" s="7">
        <v>2325.4</v>
      </c>
      <c r="N132" s="8">
        <v>1134.99</v>
      </c>
    </row>
    <row r="133" spans="2:14" hidden="1" outlineLevel="1" x14ac:dyDescent="0.3">
      <c r="B133" s="4">
        <v>45235</v>
      </c>
      <c r="C133" s="7">
        <v>19425.349999999999</v>
      </c>
      <c r="D133" s="7">
        <v>30639.05</v>
      </c>
      <c r="E133" s="7">
        <v>3266.01</v>
      </c>
      <c r="F133" s="7">
        <v>1361.18</v>
      </c>
      <c r="G133" s="7">
        <v>1251.25</v>
      </c>
      <c r="H133" s="7">
        <v>189.65</v>
      </c>
      <c r="I133" s="7">
        <v>1138.1500000000001</v>
      </c>
      <c r="J133" s="7">
        <v>5262.15</v>
      </c>
      <c r="K133" s="7">
        <v>3123.07</v>
      </c>
      <c r="L133" s="7">
        <v>4019.15</v>
      </c>
      <c r="M133" s="7">
        <v>2202.1999999999998</v>
      </c>
      <c r="N133" s="8">
        <v>1027.8</v>
      </c>
    </row>
    <row r="134" spans="2:14" hidden="1" outlineLevel="1" x14ac:dyDescent="0.3">
      <c r="B134" s="4">
        <v>45228</v>
      </c>
      <c r="C134" s="7">
        <v>19230.599999999999</v>
      </c>
      <c r="D134" s="7">
        <v>30779.95</v>
      </c>
      <c r="E134" s="7">
        <v>3283.11</v>
      </c>
      <c r="F134" s="7">
        <v>1381.27</v>
      </c>
      <c r="G134" s="7">
        <v>1262.01</v>
      </c>
      <c r="H134" s="7">
        <v>191.77</v>
      </c>
      <c r="I134" s="7">
        <v>1133.0999999999999</v>
      </c>
      <c r="J134" s="7">
        <v>5134.95</v>
      </c>
      <c r="K134" s="7">
        <v>3143.07</v>
      </c>
      <c r="L134" s="7">
        <v>3933.9</v>
      </c>
      <c r="M134" s="7">
        <v>2210.1999999999998</v>
      </c>
      <c r="N134" s="8">
        <v>1016.62</v>
      </c>
    </row>
    <row r="135" spans="2:14" hidden="1" outlineLevel="1" x14ac:dyDescent="0.3">
      <c r="B135" s="4">
        <v>45221</v>
      </c>
      <c r="C135" s="7">
        <v>19047.25</v>
      </c>
      <c r="D135" s="7">
        <v>30599.7</v>
      </c>
      <c r="E135" s="7">
        <v>3283.16</v>
      </c>
      <c r="F135" s="7">
        <v>1372.61</v>
      </c>
      <c r="G135" s="7">
        <v>1264.45</v>
      </c>
      <c r="H135" s="7">
        <v>191.18</v>
      </c>
      <c r="I135" s="7">
        <v>1120.55</v>
      </c>
      <c r="J135" s="7">
        <v>5171</v>
      </c>
      <c r="K135" s="7">
        <v>3041.88</v>
      </c>
      <c r="L135" s="7">
        <v>3932.55</v>
      </c>
      <c r="M135" s="7">
        <v>2114.3000000000002</v>
      </c>
      <c r="N135" s="8">
        <v>1001.79</v>
      </c>
    </row>
    <row r="136" spans="2:14" hidden="1" outlineLevel="1" x14ac:dyDescent="0.3">
      <c r="B136" s="4">
        <v>45214</v>
      </c>
      <c r="C136" s="7">
        <v>19542.650000000001</v>
      </c>
      <c r="D136" s="7">
        <v>31469.35</v>
      </c>
      <c r="E136" s="7">
        <v>3423.85</v>
      </c>
      <c r="F136" s="7">
        <v>1419.25</v>
      </c>
      <c r="G136" s="7">
        <v>1254.3900000000001</v>
      </c>
      <c r="H136" s="7">
        <v>195.93</v>
      </c>
      <c r="I136" s="7">
        <v>1170.7</v>
      </c>
      <c r="J136" s="7">
        <v>5416.2</v>
      </c>
      <c r="K136" s="7">
        <v>2953.65</v>
      </c>
      <c r="L136" s="7">
        <v>3926.8</v>
      </c>
      <c r="M136" s="7">
        <v>2169.75</v>
      </c>
      <c r="N136" s="8">
        <v>1000.02</v>
      </c>
    </row>
    <row r="137" spans="2:14" hidden="1" outlineLevel="1" x14ac:dyDescent="0.3">
      <c r="B137" s="4">
        <v>45207</v>
      </c>
      <c r="C137" s="7">
        <v>19751.05</v>
      </c>
      <c r="D137" s="7">
        <v>31807.95</v>
      </c>
      <c r="E137" s="7">
        <v>3498.61</v>
      </c>
      <c r="F137" s="7">
        <v>1423.13</v>
      </c>
      <c r="G137" s="7">
        <v>1251.69</v>
      </c>
      <c r="H137" s="7">
        <v>205.52</v>
      </c>
      <c r="I137" s="7">
        <v>1194.0999999999999</v>
      </c>
      <c r="J137" s="7">
        <v>5095.1499999999996</v>
      </c>
      <c r="K137" s="7">
        <v>2882.73</v>
      </c>
      <c r="L137" s="7">
        <v>4100.1499999999996</v>
      </c>
      <c r="M137" s="7">
        <v>2376.1999999999998</v>
      </c>
      <c r="N137" s="8">
        <v>1001.33</v>
      </c>
    </row>
    <row r="138" spans="2:14" hidden="1" outlineLevel="1" x14ac:dyDescent="0.3">
      <c r="B138" s="4">
        <v>45200</v>
      </c>
      <c r="C138" s="7">
        <v>19653.5</v>
      </c>
      <c r="D138" s="7">
        <v>32341.7</v>
      </c>
      <c r="E138" s="7">
        <v>3548.14</v>
      </c>
      <c r="F138" s="7">
        <v>1470.41</v>
      </c>
      <c r="G138" s="7">
        <v>1233.56</v>
      </c>
      <c r="H138" s="7">
        <v>203.93</v>
      </c>
      <c r="I138" s="7">
        <v>1216.9000000000001</v>
      </c>
      <c r="J138" s="7">
        <v>5239.2</v>
      </c>
      <c r="K138" s="7">
        <v>2874.02</v>
      </c>
      <c r="L138" s="7">
        <v>4102.2</v>
      </c>
      <c r="M138" s="7">
        <v>2491</v>
      </c>
      <c r="N138" s="8">
        <v>1037.1099999999999</v>
      </c>
    </row>
    <row r="139" spans="2:14" hidden="1" outlineLevel="1" x14ac:dyDescent="0.3">
      <c r="B139" s="4">
        <v>45193</v>
      </c>
      <c r="C139" s="7">
        <v>19638.3</v>
      </c>
      <c r="D139" s="7">
        <v>31784.400000000001</v>
      </c>
      <c r="E139" s="7">
        <v>3457.21</v>
      </c>
      <c r="F139" s="7">
        <v>1427.41</v>
      </c>
      <c r="G139" s="7">
        <v>1230.67</v>
      </c>
      <c r="H139" s="7">
        <v>203.02</v>
      </c>
      <c r="I139" s="7">
        <v>1222.8</v>
      </c>
      <c r="J139" s="7">
        <v>5209.8500000000004</v>
      </c>
      <c r="K139" s="7">
        <v>2898.35</v>
      </c>
      <c r="L139" s="7">
        <v>4110.8500000000004</v>
      </c>
      <c r="M139" s="7">
        <v>2376.6</v>
      </c>
      <c r="N139" s="8">
        <v>1020.89</v>
      </c>
    </row>
    <row r="140" spans="2:14" hidden="1" outlineLevel="1" x14ac:dyDescent="0.3">
      <c r="B140" s="4">
        <v>45186</v>
      </c>
      <c r="C140" s="7">
        <v>19674.25</v>
      </c>
      <c r="D140" s="7">
        <v>32906.300000000003</v>
      </c>
      <c r="E140" s="7">
        <v>3530.75</v>
      </c>
      <c r="F140" s="7">
        <v>1487.77</v>
      </c>
      <c r="G140" s="7">
        <v>1269.44</v>
      </c>
      <c r="H140" s="7">
        <v>209.25</v>
      </c>
      <c r="I140" s="7">
        <v>1305.3499999999999</v>
      </c>
      <c r="J140" s="7">
        <v>5427.5</v>
      </c>
      <c r="K140" s="7">
        <v>2924.68</v>
      </c>
      <c r="L140" s="7">
        <v>4195.3</v>
      </c>
      <c r="M140" s="7">
        <v>2486</v>
      </c>
      <c r="N140" s="8">
        <v>1058.69</v>
      </c>
    </row>
    <row r="141" spans="2:14" hidden="1" outlineLevel="1" x14ac:dyDescent="0.3">
      <c r="B141" s="4">
        <v>45179</v>
      </c>
      <c r="C141" s="7">
        <v>20192.349999999999</v>
      </c>
      <c r="D141" s="7">
        <v>33355.050000000003</v>
      </c>
      <c r="E141" s="7">
        <v>3525.5</v>
      </c>
      <c r="F141" s="7">
        <v>1503.13</v>
      </c>
      <c r="G141" s="7">
        <v>1300.23</v>
      </c>
      <c r="H141" s="7">
        <v>220.52</v>
      </c>
      <c r="I141" s="7">
        <v>1300.05</v>
      </c>
      <c r="J141" s="7">
        <v>5532.8</v>
      </c>
      <c r="K141" s="7">
        <v>2982.82</v>
      </c>
      <c r="L141" s="7">
        <v>4298.95</v>
      </c>
      <c r="M141" s="7">
        <v>2493.15</v>
      </c>
      <c r="N141" s="8">
        <v>1123.78</v>
      </c>
    </row>
    <row r="142" spans="2:14" hidden="1" outlineLevel="1" x14ac:dyDescent="0.3">
      <c r="B142" s="4">
        <v>45172</v>
      </c>
      <c r="C142" s="7">
        <v>19819.95</v>
      </c>
      <c r="D142" s="7">
        <v>32415.65</v>
      </c>
      <c r="E142" s="7">
        <v>3372.27</v>
      </c>
      <c r="F142" s="7">
        <v>1461.36</v>
      </c>
      <c r="G142" s="7">
        <v>1257.82</v>
      </c>
      <c r="H142" s="7">
        <v>215</v>
      </c>
      <c r="I142" s="7">
        <v>1262.95</v>
      </c>
      <c r="J142" s="7">
        <v>5478.5</v>
      </c>
      <c r="K142" s="7">
        <v>2985.52</v>
      </c>
      <c r="L142" s="7">
        <v>4347.75</v>
      </c>
      <c r="M142" s="7">
        <v>2466.15</v>
      </c>
      <c r="N142" s="8">
        <v>1110.1199999999999</v>
      </c>
    </row>
    <row r="143" spans="2:14" hidden="1" outlineLevel="1" x14ac:dyDescent="0.3">
      <c r="B143" s="4">
        <v>45165</v>
      </c>
      <c r="C143" s="7">
        <v>19435.3</v>
      </c>
      <c r="D143" s="7">
        <v>31514.35</v>
      </c>
      <c r="E143" s="7">
        <v>3310.84</v>
      </c>
      <c r="F143" s="7">
        <v>1435.76</v>
      </c>
      <c r="G143" s="7">
        <v>1181.83</v>
      </c>
      <c r="H143" s="7">
        <v>208.18</v>
      </c>
      <c r="I143" s="7">
        <v>1228.05</v>
      </c>
      <c r="J143" s="7">
        <v>5303.35</v>
      </c>
      <c r="K143" s="7">
        <v>2771.65</v>
      </c>
      <c r="L143" s="7">
        <v>4136.25</v>
      </c>
      <c r="M143" s="7">
        <v>2433.1999999999998</v>
      </c>
      <c r="N143" s="8">
        <v>1090.3800000000001</v>
      </c>
    </row>
    <row r="144" spans="2:14" hidden="1" outlineLevel="1" x14ac:dyDescent="0.3">
      <c r="B144" s="4">
        <v>45158</v>
      </c>
      <c r="C144" s="7">
        <v>19265.8</v>
      </c>
      <c r="D144" s="7">
        <v>30914.55</v>
      </c>
      <c r="E144" s="7">
        <v>3312.89</v>
      </c>
      <c r="F144" s="7">
        <v>1412.14</v>
      </c>
      <c r="G144" s="7">
        <v>1150.0899999999999</v>
      </c>
      <c r="H144" s="7">
        <v>204.85</v>
      </c>
      <c r="I144" s="7">
        <v>1189.5</v>
      </c>
      <c r="J144" s="7">
        <v>5127.3999999999996</v>
      </c>
      <c r="K144" s="7">
        <v>2568.9499999999998</v>
      </c>
      <c r="L144" s="7">
        <v>3964.1</v>
      </c>
      <c r="M144" s="7">
        <v>2392.1</v>
      </c>
      <c r="N144" s="8">
        <v>1051.24</v>
      </c>
    </row>
    <row r="145" spans="2:14" hidden="1" outlineLevel="1" x14ac:dyDescent="0.3">
      <c r="B145" s="4">
        <v>45151</v>
      </c>
      <c r="C145" s="7">
        <v>19310.150000000001</v>
      </c>
      <c r="D145" s="7">
        <v>30604.05</v>
      </c>
      <c r="E145" s="7">
        <v>3298.98</v>
      </c>
      <c r="F145" s="7">
        <v>1381.02</v>
      </c>
      <c r="G145" s="7">
        <v>1169.77</v>
      </c>
      <c r="H145" s="7">
        <v>205.85</v>
      </c>
      <c r="I145" s="7">
        <v>1210.8</v>
      </c>
      <c r="J145" s="7">
        <v>5085.1499999999996</v>
      </c>
      <c r="K145" s="7">
        <v>2425.85</v>
      </c>
      <c r="L145" s="7">
        <v>3997.05</v>
      </c>
      <c r="M145" s="7">
        <v>2291.0500000000002</v>
      </c>
      <c r="N145" s="8">
        <v>984.03</v>
      </c>
    </row>
    <row r="146" spans="2:14" hidden="1" outlineLevel="1" x14ac:dyDescent="0.3">
      <c r="B146" s="4">
        <v>45144</v>
      </c>
      <c r="C146" s="7">
        <v>19428.3</v>
      </c>
      <c r="D146" s="7">
        <v>30819.15</v>
      </c>
      <c r="E146" s="7">
        <v>3379.03</v>
      </c>
      <c r="F146" s="7">
        <v>1364.16</v>
      </c>
      <c r="G146" s="7">
        <v>1167.53</v>
      </c>
      <c r="H146" s="7">
        <v>206.52</v>
      </c>
      <c r="I146" s="7">
        <v>1220.45</v>
      </c>
      <c r="J146" s="7">
        <v>5107.3500000000004</v>
      </c>
      <c r="K146" s="7">
        <v>2446.27</v>
      </c>
      <c r="L146" s="7">
        <v>3958.4</v>
      </c>
      <c r="M146" s="7">
        <v>2329.65</v>
      </c>
      <c r="N146" s="8">
        <v>1053.58</v>
      </c>
    </row>
    <row r="147" spans="2:14" hidden="1" outlineLevel="1" x14ac:dyDescent="0.3">
      <c r="B147" s="4">
        <v>45137</v>
      </c>
      <c r="C147" s="7">
        <v>19517</v>
      </c>
      <c r="D147" s="7">
        <v>30436.1</v>
      </c>
      <c r="E147" s="7">
        <v>3373.89</v>
      </c>
      <c r="F147" s="7">
        <v>1370.63</v>
      </c>
      <c r="G147" s="7">
        <v>1140.52</v>
      </c>
      <c r="H147" s="7">
        <v>204.43</v>
      </c>
      <c r="I147" s="7">
        <v>1175.2</v>
      </c>
      <c r="J147" s="7">
        <v>4940.8999999999996</v>
      </c>
      <c r="K147" s="7">
        <v>2392.88</v>
      </c>
      <c r="L147" s="7">
        <v>3883.3</v>
      </c>
      <c r="M147" s="7">
        <v>2263.65</v>
      </c>
      <c r="N147" s="8">
        <v>977.63</v>
      </c>
    </row>
    <row r="148" spans="2:14" hidden="1" outlineLevel="1" x14ac:dyDescent="0.3">
      <c r="B148" s="4">
        <v>45130</v>
      </c>
      <c r="C148" s="7">
        <v>19646.05</v>
      </c>
      <c r="D148" s="7">
        <v>29490.25</v>
      </c>
      <c r="E148" s="7">
        <v>3287.52</v>
      </c>
      <c r="F148" s="7">
        <v>1332.99</v>
      </c>
      <c r="G148" s="7">
        <v>1099.8499999999999</v>
      </c>
      <c r="H148" s="7">
        <v>199.38</v>
      </c>
      <c r="I148" s="7">
        <v>1091.05</v>
      </c>
      <c r="J148" s="7">
        <v>4844.05</v>
      </c>
      <c r="K148" s="7">
        <v>2348.4</v>
      </c>
      <c r="L148" s="7">
        <v>3818.85</v>
      </c>
      <c r="M148" s="7">
        <v>2250.35</v>
      </c>
      <c r="N148" s="8">
        <v>934.46</v>
      </c>
    </row>
    <row r="149" spans="2:14" hidden="1" outlineLevel="1" x14ac:dyDescent="0.3">
      <c r="B149" s="4">
        <v>45123</v>
      </c>
      <c r="C149" s="7">
        <v>19745</v>
      </c>
      <c r="D149" s="7">
        <v>29871.05</v>
      </c>
      <c r="E149" s="7">
        <v>3300.16</v>
      </c>
      <c r="F149" s="7">
        <v>1324.14</v>
      </c>
      <c r="G149" s="7">
        <v>1111.71</v>
      </c>
      <c r="H149" s="7">
        <v>202.35</v>
      </c>
      <c r="I149" s="7">
        <v>1195.0999999999999</v>
      </c>
      <c r="J149" s="7">
        <v>4922.75</v>
      </c>
      <c r="K149" s="7">
        <v>2374.8000000000002</v>
      </c>
      <c r="L149" s="7">
        <v>3856.55</v>
      </c>
      <c r="M149" s="7">
        <v>2330.85</v>
      </c>
      <c r="N149" s="8">
        <v>928.06</v>
      </c>
    </row>
    <row r="150" spans="2:14" hidden="1" outlineLevel="1" x14ac:dyDescent="0.3">
      <c r="B150" s="4">
        <v>45116</v>
      </c>
      <c r="C150" s="7">
        <v>19564.5</v>
      </c>
      <c r="D150" s="7">
        <v>30945.5</v>
      </c>
      <c r="E150" s="7">
        <v>3443.55</v>
      </c>
      <c r="F150" s="7">
        <v>1417.96</v>
      </c>
      <c r="G150" s="7">
        <v>1147.0999999999999</v>
      </c>
      <c r="H150" s="7">
        <v>202.52</v>
      </c>
      <c r="I150" s="7">
        <v>1228.6500000000001</v>
      </c>
      <c r="J150" s="7">
        <v>5093.1000000000004</v>
      </c>
      <c r="K150" s="7">
        <v>2462</v>
      </c>
      <c r="L150" s="7">
        <v>4021.5</v>
      </c>
      <c r="M150" s="7">
        <v>2069.5500000000002</v>
      </c>
      <c r="N150" s="8">
        <v>985.16</v>
      </c>
    </row>
    <row r="151" spans="2:14" hidden="1" outlineLevel="1" x14ac:dyDescent="0.3">
      <c r="B151" s="4">
        <v>45109</v>
      </c>
      <c r="C151" s="7">
        <v>19331.8</v>
      </c>
      <c r="D151" s="7">
        <v>29560.45</v>
      </c>
      <c r="E151" s="7">
        <v>3261.9</v>
      </c>
      <c r="F151" s="7">
        <v>1322.75</v>
      </c>
      <c r="G151" s="7">
        <v>1153.72</v>
      </c>
      <c r="H151" s="7">
        <v>197.93</v>
      </c>
      <c r="I151" s="7">
        <v>1156</v>
      </c>
      <c r="J151" s="7">
        <v>5114.55</v>
      </c>
      <c r="K151" s="7">
        <v>2409.69</v>
      </c>
      <c r="L151" s="7">
        <v>3806.4</v>
      </c>
      <c r="M151" s="7">
        <v>1877.5</v>
      </c>
      <c r="N151" s="8">
        <v>938.33</v>
      </c>
    </row>
    <row r="152" spans="2:14" hidden="1" outlineLevel="1" x14ac:dyDescent="0.3">
      <c r="B152" s="4">
        <v>45102</v>
      </c>
      <c r="C152" s="7">
        <v>19189.05</v>
      </c>
      <c r="D152" s="7">
        <v>29563</v>
      </c>
      <c r="E152" s="7">
        <v>3235.44</v>
      </c>
      <c r="F152" s="7">
        <v>1328.02</v>
      </c>
      <c r="G152" s="7">
        <v>1183.97</v>
      </c>
      <c r="H152" s="7">
        <v>194.57</v>
      </c>
      <c r="I152" s="7">
        <v>1130.8499999999999</v>
      </c>
      <c r="J152" s="7">
        <v>5197.2</v>
      </c>
      <c r="K152" s="7">
        <v>2500.25</v>
      </c>
      <c r="L152" s="7">
        <v>3858.65</v>
      </c>
      <c r="M152" s="7">
        <v>1895.05</v>
      </c>
      <c r="N152" s="8">
        <v>942.26</v>
      </c>
    </row>
    <row r="153" spans="2:14" hidden="1" outlineLevel="1" x14ac:dyDescent="0.3">
      <c r="B153" s="4">
        <v>45095</v>
      </c>
      <c r="C153" s="7">
        <v>18665.5</v>
      </c>
      <c r="D153" s="7">
        <v>28554.3</v>
      </c>
      <c r="E153" s="7">
        <v>3151.28</v>
      </c>
      <c r="F153" s="7">
        <v>1257.9100000000001</v>
      </c>
      <c r="G153" s="7">
        <v>1161.25</v>
      </c>
      <c r="H153" s="7">
        <v>189.98</v>
      </c>
      <c r="I153" s="7">
        <v>1115.5</v>
      </c>
      <c r="J153" s="7">
        <v>4956.6499999999996</v>
      </c>
      <c r="K153" s="7">
        <v>2397.36</v>
      </c>
      <c r="L153" s="7">
        <v>3813.25</v>
      </c>
      <c r="M153" s="7">
        <v>1831.05</v>
      </c>
      <c r="N153" s="8">
        <v>899.89</v>
      </c>
    </row>
    <row r="154" spans="2:14" hidden="1" outlineLevel="1" x14ac:dyDescent="0.3">
      <c r="B154" s="4">
        <v>45088</v>
      </c>
      <c r="C154" s="7">
        <v>18826</v>
      </c>
      <c r="D154" s="7">
        <v>28588.799999999999</v>
      </c>
      <c r="E154" s="7">
        <v>3110.67</v>
      </c>
      <c r="F154" s="7">
        <v>1284.4100000000001</v>
      </c>
      <c r="G154" s="7">
        <v>1144.3599999999999</v>
      </c>
      <c r="H154" s="7">
        <v>190.65</v>
      </c>
      <c r="I154" s="7">
        <v>1077.2</v>
      </c>
      <c r="J154" s="7">
        <v>5010.6000000000004</v>
      </c>
      <c r="K154" s="7">
        <v>2474.15</v>
      </c>
      <c r="L154" s="7">
        <v>3869.9</v>
      </c>
      <c r="M154" s="7">
        <v>1860.05</v>
      </c>
      <c r="N154" s="8">
        <v>918.85</v>
      </c>
    </row>
    <row r="155" spans="2:14" hidden="1" outlineLevel="1" x14ac:dyDescent="0.3">
      <c r="B155" s="4">
        <v>45081</v>
      </c>
      <c r="C155" s="7">
        <v>18563.400000000001</v>
      </c>
      <c r="D155" s="7">
        <v>28355.35</v>
      </c>
      <c r="E155" s="7">
        <v>3144.37</v>
      </c>
      <c r="F155" s="7">
        <v>1258.8599999999999</v>
      </c>
      <c r="G155" s="7">
        <v>1106.04</v>
      </c>
      <c r="H155" s="7">
        <v>198.65</v>
      </c>
      <c r="I155" s="7">
        <v>1063.05</v>
      </c>
      <c r="J155" s="7">
        <v>4823.05</v>
      </c>
      <c r="K155" s="7">
        <v>2438.23</v>
      </c>
      <c r="L155" s="7">
        <v>3540.95</v>
      </c>
      <c r="M155" s="7">
        <v>1853.25</v>
      </c>
      <c r="N155" s="8">
        <v>881.6</v>
      </c>
    </row>
    <row r="156" spans="2:14" hidden="1" outlineLevel="1" x14ac:dyDescent="0.3">
      <c r="B156" s="4">
        <v>45074</v>
      </c>
      <c r="C156" s="7">
        <v>18534.099999999999</v>
      </c>
      <c r="D156" s="7">
        <v>29328.15</v>
      </c>
      <c r="E156" s="7">
        <v>3238.73</v>
      </c>
      <c r="F156" s="7">
        <v>1291.72</v>
      </c>
      <c r="G156" s="7">
        <v>1133.24</v>
      </c>
      <c r="H156" s="7">
        <v>202.48</v>
      </c>
      <c r="I156" s="7">
        <v>1123.0999999999999</v>
      </c>
      <c r="J156" s="7">
        <v>4994.1499999999996</v>
      </c>
      <c r="K156" s="7">
        <v>2607.75</v>
      </c>
      <c r="L156" s="7">
        <v>3613.55</v>
      </c>
      <c r="M156" s="7">
        <v>2017.65</v>
      </c>
      <c r="N156" s="8">
        <v>918.16</v>
      </c>
    </row>
    <row r="157" spans="2:14" hidden="1" outlineLevel="1" x14ac:dyDescent="0.3">
      <c r="B157" s="4">
        <v>45067</v>
      </c>
      <c r="C157" s="7">
        <v>18499.349999999999</v>
      </c>
      <c r="D157" s="7">
        <v>29355.9</v>
      </c>
      <c r="E157" s="7">
        <v>3261.55</v>
      </c>
      <c r="F157" s="7">
        <v>1310.07</v>
      </c>
      <c r="G157" s="7">
        <v>1135.3900000000001</v>
      </c>
      <c r="H157" s="7">
        <v>200.85</v>
      </c>
      <c r="I157" s="7">
        <v>1114.75</v>
      </c>
      <c r="J157" s="7">
        <v>5001.1000000000004</v>
      </c>
      <c r="K157" s="7">
        <v>2539.12</v>
      </c>
      <c r="L157" s="7">
        <v>3596.8</v>
      </c>
      <c r="M157" s="7">
        <v>1974.7</v>
      </c>
      <c r="N157" s="8">
        <v>891.99</v>
      </c>
    </row>
    <row r="158" spans="2:14" hidden="1" outlineLevel="1" x14ac:dyDescent="0.3">
      <c r="B158" s="4">
        <v>45060</v>
      </c>
      <c r="C158" s="7">
        <v>18203.400000000001</v>
      </c>
      <c r="D158" s="7">
        <v>28303.65</v>
      </c>
      <c r="E158" s="7">
        <v>3157.65</v>
      </c>
      <c r="F158" s="7">
        <v>1261.79</v>
      </c>
      <c r="G158" s="7">
        <v>1091.68</v>
      </c>
      <c r="H158" s="7">
        <v>193.1</v>
      </c>
      <c r="I158" s="7">
        <v>1072.1500000000001</v>
      </c>
      <c r="J158" s="7">
        <v>4803</v>
      </c>
      <c r="K158" s="7">
        <v>2438.9499999999998</v>
      </c>
      <c r="L158" s="7">
        <v>3550.1</v>
      </c>
      <c r="M158" s="7">
        <v>1906.5</v>
      </c>
      <c r="N158" s="8">
        <v>855.63</v>
      </c>
    </row>
    <row r="159" spans="2:14" hidden="1" outlineLevel="1" x14ac:dyDescent="0.3">
      <c r="B159" s="4">
        <v>45053</v>
      </c>
      <c r="C159" s="7">
        <v>18314.8</v>
      </c>
      <c r="D159" s="7">
        <v>28028.400000000001</v>
      </c>
      <c r="E159" s="7">
        <v>3208.06</v>
      </c>
      <c r="F159" s="7">
        <v>1238.22</v>
      </c>
      <c r="G159" s="7">
        <v>1091.83</v>
      </c>
      <c r="H159" s="7">
        <v>191.63</v>
      </c>
      <c r="I159" s="7">
        <v>1046.3499999999999</v>
      </c>
      <c r="J159" s="7">
        <v>4687.2</v>
      </c>
      <c r="K159" s="7">
        <v>2321.0500000000002</v>
      </c>
      <c r="L159" s="7">
        <v>3551.45</v>
      </c>
      <c r="M159" s="7">
        <v>1852.35</v>
      </c>
      <c r="N159" s="8">
        <v>817.13</v>
      </c>
    </row>
    <row r="160" spans="2:14" hidden="1" outlineLevel="1" x14ac:dyDescent="0.3">
      <c r="B160" s="4">
        <v>45046</v>
      </c>
      <c r="C160" s="7">
        <v>18069</v>
      </c>
      <c r="D160" s="7">
        <v>27719.95</v>
      </c>
      <c r="E160" s="7">
        <v>3165.34</v>
      </c>
      <c r="F160" s="7">
        <v>1252.04</v>
      </c>
      <c r="G160" s="7">
        <v>1052.02</v>
      </c>
      <c r="H160" s="7">
        <v>189.7</v>
      </c>
      <c r="I160" s="7">
        <v>1036.4000000000001</v>
      </c>
      <c r="J160" s="7">
        <v>4487.8500000000004</v>
      </c>
      <c r="K160" s="7">
        <v>2314.9899999999998</v>
      </c>
      <c r="L160" s="7">
        <v>3665.9</v>
      </c>
      <c r="M160" s="7">
        <v>1820</v>
      </c>
      <c r="N160" s="8">
        <v>823.52</v>
      </c>
    </row>
    <row r="161" spans="2:14" hidden="1" outlineLevel="1" x14ac:dyDescent="0.3">
      <c r="B161" s="4">
        <v>45039</v>
      </c>
      <c r="C161" s="7">
        <v>18065</v>
      </c>
      <c r="D161" s="7">
        <v>27708.2</v>
      </c>
      <c r="E161" s="7">
        <v>3154.12</v>
      </c>
      <c r="F161" s="7">
        <v>1245.73</v>
      </c>
      <c r="G161" s="7">
        <v>1060.54</v>
      </c>
      <c r="H161" s="7">
        <v>192.5</v>
      </c>
      <c r="I161" s="7">
        <v>1023.7</v>
      </c>
      <c r="J161" s="7">
        <v>4419.45</v>
      </c>
      <c r="K161" s="7">
        <v>2363.64</v>
      </c>
      <c r="L161" s="7">
        <v>3561.85</v>
      </c>
      <c r="M161" s="7">
        <v>1814.45</v>
      </c>
      <c r="N161" s="8">
        <v>836.9</v>
      </c>
    </row>
    <row r="162" spans="2:14" hidden="1" outlineLevel="1" x14ac:dyDescent="0.3">
      <c r="B162" s="4">
        <v>45032</v>
      </c>
      <c r="C162" s="7">
        <v>17624.05</v>
      </c>
      <c r="D162" s="7">
        <v>26822.1</v>
      </c>
      <c r="E162" s="7">
        <v>3096.9</v>
      </c>
      <c r="F162" s="7">
        <v>1220.47</v>
      </c>
      <c r="G162" s="7">
        <v>1045.44</v>
      </c>
      <c r="H162" s="7">
        <v>184.02</v>
      </c>
      <c r="I162" s="7">
        <v>998.75</v>
      </c>
      <c r="J162" s="7">
        <v>4170.8500000000004</v>
      </c>
      <c r="K162" s="7">
        <v>2146.15</v>
      </c>
      <c r="L162" s="7">
        <v>3309.2</v>
      </c>
      <c r="M162" s="7">
        <v>1759.95</v>
      </c>
      <c r="N162" s="8">
        <v>766.15</v>
      </c>
    </row>
    <row r="163" spans="2:14" hidden="1" outlineLevel="1" x14ac:dyDescent="0.3">
      <c r="B163" s="4">
        <v>45025</v>
      </c>
      <c r="C163" s="7">
        <v>17828</v>
      </c>
      <c r="D163" s="7">
        <v>28342.799999999999</v>
      </c>
      <c r="E163" s="7">
        <v>3124.34</v>
      </c>
      <c r="F163" s="7">
        <v>1381.42</v>
      </c>
      <c r="G163" s="7">
        <v>1068.26</v>
      </c>
      <c r="H163" s="7">
        <v>184.15</v>
      </c>
      <c r="I163" s="7">
        <v>1086.8499999999999</v>
      </c>
      <c r="J163" s="7">
        <v>4646.3999999999996</v>
      </c>
      <c r="K163" s="7">
        <v>2191.25</v>
      </c>
      <c r="L163" s="7">
        <v>3301.75</v>
      </c>
      <c r="M163" s="7">
        <v>1771.05</v>
      </c>
      <c r="N163" s="8">
        <v>805.74</v>
      </c>
    </row>
    <row r="164" spans="2:14" hidden="1" outlineLevel="1" x14ac:dyDescent="0.3">
      <c r="B164" s="4">
        <v>45018</v>
      </c>
      <c r="C164" s="7">
        <v>17599.150000000001</v>
      </c>
      <c r="D164" s="7">
        <v>28764.55</v>
      </c>
      <c r="E164" s="7">
        <v>3155.54</v>
      </c>
      <c r="F164" s="7">
        <v>1413.93</v>
      </c>
      <c r="G164" s="7">
        <v>1088.19</v>
      </c>
      <c r="H164" s="7">
        <v>183.32</v>
      </c>
      <c r="I164" s="7">
        <v>1092.75</v>
      </c>
      <c r="J164" s="7">
        <v>4773.25</v>
      </c>
      <c r="K164" s="7">
        <v>2268.86</v>
      </c>
      <c r="L164" s="7">
        <v>3254.55</v>
      </c>
      <c r="M164" s="7">
        <v>1794.1</v>
      </c>
      <c r="N164" s="8">
        <v>800.02</v>
      </c>
    </row>
    <row r="165" spans="2:14" hidden="1" outlineLevel="1" x14ac:dyDescent="0.3">
      <c r="B165" s="4">
        <v>45011</v>
      </c>
      <c r="C165" s="7">
        <v>17359.75</v>
      </c>
      <c r="D165" s="7">
        <v>28698.6</v>
      </c>
      <c r="E165" s="7">
        <v>3141.04</v>
      </c>
      <c r="F165" s="7">
        <v>1419.95</v>
      </c>
      <c r="G165" s="7">
        <v>1081.6199999999999</v>
      </c>
      <c r="H165" s="7">
        <v>182.63</v>
      </c>
      <c r="I165" s="7">
        <v>1101.8499999999999</v>
      </c>
      <c r="J165" s="7">
        <v>4759.6499999999996</v>
      </c>
      <c r="K165" s="7">
        <v>2299.9</v>
      </c>
      <c r="L165" s="7">
        <v>3263.75</v>
      </c>
      <c r="M165" s="7">
        <v>1795.75</v>
      </c>
      <c r="N165" s="8">
        <v>762.82</v>
      </c>
    </row>
    <row r="166" spans="2:14" hidden="1" outlineLevel="1" x14ac:dyDescent="0.3">
      <c r="B166" s="4">
        <v>45004</v>
      </c>
      <c r="C166" s="7">
        <v>16945.05</v>
      </c>
      <c r="D166" s="7">
        <v>27935.65</v>
      </c>
      <c r="E166" s="7">
        <v>3057.37</v>
      </c>
      <c r="F166" s="7">
        <v>1372.91</v>
      </c>
      <c r="G166" s="7">
        <v>1048.23</v>
      </c>
      <c r="H166" s="7">
        <v>180.88</v>
      </c>
      <c r="I166" s="7">
        <v>1101.95</v>
      </c>
      <c r="J166" s="7">
        <v>4601.45</v>
      </c>
      <c r="K166" s="7">
        <v>2157.85</v>
      </c>
      <c r="L166" s="7">
        <v>3201.15</v>
      </c>
      <c r="M166" s="7">
        <v>1737.4</v>
      </c>
      <c r="N166" s="8">
        <v>740.1</v>
      </c>
    </row>
    <row r="167" spans="2:14" hidden="1" outlineLevel="1" x14ac:dyDescent="0.3">
      <c r="B167" s="4">
        <v>44997</v>
      </c>
      <c r="C167" s="7">
        <v>17100.05</v>
      </c>
      <c r="D167" s="7">
        <v>28854.45</v>
      </c>
      <c r="E167" s="7">
        <v>3114.98</v>
      </c>
      <c r="F167" s="7">
        <v>1412.74</v>
      </c>
      <c r="G167" s="7">
        <v>1104.74</v>
      </c>
      <c r="H167" s="7">
        <v>188.25</v>
      </c>
      <c r="I167" s="7">
        <v>1127.1500000000001</v>
      </c>
      <c r="J167" s="7">
        <v>4673.95</v>
      </c>
      <c r="K167" s="7">
        <v>2321.08</v>
      </c>
      <c r="L167" s="7">
        <v>3237.8</v>
      </c>
      <c r="M167" s="7">
        <v>1886.4</v>
      </c>
      <c r="N167" s="8">
        <v>780.2</v>
      </c>
    </row>
    <row r="168" spans="2:14" hidden="1" outlineLevel="1" x14ac:dyDescent="0.3">
      <c r="B168" s="4">
        <v>44990</v>
      </c>
      <c r="C168" s="7">
        <v>17412.900000000001</v>
      </c>
      <c r="D168" s="7">
        <v>29545.5</v>
      </c>
      <c r="E168" s="7">
        <v>3263.61</v>
      </c>
      <c r="F168" s="7">
        <v>1463.3</v>
      </c>
      <c r="G168" s="7">
        <v>1112.56</v>
      </c>
      <c r="H168" s="7">
        <v>194.55</v>
      </c>
      <c r="I168" s="7">
        <v>1061.25</v>
      </c>
      <c r="J168" s="7">
        <v>4640.1000000000004</v>
      </c>
      <c r="K168" s="7">
        <v>2369.6999999999998</v>
      </c>
      <c r="L168" s="7">
        <v>3242.2</v>
      </c>
      <c r="M168" s="7">
        <v>2038.95</v>
      </c>
      <c r="N168" s="8">
        <v>827.27</v>
      </c>
    </row>
    <row r="169" spans="2:14" hidden="1" outlineLevel="1" x14ac:dyDescent="0.3">
      <c r="B169" s="4">
        <v>44983</v>
      </c>
      <c r="C169" s="7">
        <v>17594.349999999999</v>
      </c>
      <c r="D169" s="7">
        <v>29817.05</v>
      </c>
      <c r="E169" s="7">
        <v>3274.54</v>
      </c>
      <c r="F169" s="7">
        <v>1471.01</v>
      </c>
      <c r="G169" s="7">
        <v>1115.25</v>
      </c>
      <c r="H169" s="7">
        <v>195.23</v>
      </c>
      <c r="I169" s="7">
        <v>1085.1500000000001</v>
      </c>
      <c r="J169" s="7">
        <v>4710.3500000000004</v>
      </c>
      <c r="K169" s="7">
        <v>2427.9499999999998</v>
      </c>
      <c r="L169" s="7">
        <v>3153.2</v>
      </c>
      <c r="M169" s="7">
        <v>2079.1999999999998</v>
      </c>
      <c r="N169" s="8">
        <v>851.68</v>
      </c>
    </row>
    <row r="170" spans="2:14" hidden="1" outlineLevel="1" x14ac:dyDescent="0.3">
      <c r="B170" s="4">
        <v>44976</v>
      </c>
      <c r="C170" s="7">
        <v>17465.8</v>
      </c>
      <c r="D170" s="7">
        <v>30514.9</v>
      </c>
      <c r="E170" s="7">
        <v>3331.66</v>
      </c>
      <c r="F170" s="7">
        <v>1541.96</v>
      </c>
      <c r="G170" s="7">
        <v>1091.18</v>
      </c>
      <c r="H170" s="7">
        <v>196.65</v>
      </c>
      <c r="I170" s="7">
        <v>1119</v>
      </c>
      <c r="J170" s="7">
        <v>4853.55</v>
      </c>
      <c r="K170" s="7">
        <v>2442.35</v>
      </c>
      <c r="L170" s="7">
        <v>3147.9</v>
      </c>
      <c r="M170" s="7">
        <v>2197.9499999999998</v>
      </c>
      <c r="N170" s="8">
        <v>875.5</v>
      </c>
    </row>
    <row r="171" spans="2:14" hidden="1" outlineLevel="1" x14ac:dyDescent="0.3">
      <c r="B171" s="4">
        <v>44969</v>
      </c>
      <c r="C171" s="7">
        <v>17944.2</v>
      </c>
      <c r="D171" s="7">
        <v>31054.85</v>
      </c>
      <c r="E171" s="7">
        <v>3430.32</v>
      </c>
      <c r="F171" s="7">
        <v>1574.92</v>
      </c>
      <c r="G171" s="7">
        <v>1105.83</v>
      </c>
      <c r="H171" s="7">
        <v>203.15</v>
      </c>
      <c r="I171" s="7">
        <v>1129.2</v>
      </c>
      <c r="J171" s="7">
        <v>4858.3</v>
      </c>
      <c r="K171" s="7">
        <v>2450</v>
      </c>
      <c r="L171" s="7">
        <v>3231.65</v>
      </c>
      <c r="M171" s="7">
        <v>2236.5500000000002</v>
      </c>
      <c r="N171" s="8">
        <v>840.82</v>
      </c>
    </row>
    <row r="172" spans="2:14" hidden="1" outlineLevel="1" x14ac:dyDescent="0.3">
      <c r="B172" s="4">
        <v>44962</v>
      </c>
      <c r="C172" s="7">
        <v>17856.5</v>
      </c>
      <c r="D172" s="7">
        <v>30870.2</v>
      </c>
      <c r="E172" s="7">
        <v>3465.98</v>
      </c>
      <c r="F172" s="7">
        <v>1599.54</v>
      </c>
      <c r="G172" s="7">
        <v>1111.92</v>
      </c>
      <c r="H172" s="7">
        <v>202.9</v>
      </c>
      <c r="I172" s="7">
        <v>1017.35</v>
      </c>
      <c r="J172" s="7">
        <v>4691.6000000000004</v>
      </c>
      <c r="K172" s="7">
        <v>2440.1999999999998</v>
      </c>
      <c r="L172" s="7">
        <v>3176.6</v>
      </c>
      <c r="M172" s="7">
        <v>2153.35</v>
      </c>
      <c r="N172" s="8">
        <v>866.86</v>
      </c>
    </row>
    <row r="173" spans="2:14" hidden="1" outlineLevel="1" x14ac:dyDescent="0.3">
      <c r="B173" s="4">
        <v>44955</v>
      </c>
      <c r="C173" s="7">
        <v>17854.05</v>
      </c>
      <c r="D173" s="7">
        <v>30597.65</v>
      </c>
      <c r="E173" s="7">
        <v>3411.85</v>
      </c>
      <c r="F173" s="7">
        <v>1590.44</v>
      </c>
      <c r="G173" s="7">
        <v>1142.31</v>
      </c>
      <c r="H173" s="7">
        <v>203.95</v>
      </c>
      <c r="I173" s="7">
        <v>1011.3</v>
      </c>
      <c r="J173" s="7">
        <v>4502.2</v>
      </c>
      <c r="K173" s="7">
        <v>2420.39</v>
      </c>
      <c r="L173" s="7">
        <v>3123.7</v>
      </c>
      <c r="M173" s="7">
        <v>2087.3000000000002</v>
      </c>
      <c r="N173" s="8">
        <v>861.72</v>
      </c>
    </row>
    <row r="174" spans="2:14" hidden="1" outlineLevel="1" x14ac:dyDescent="0.3">
      <c r="B174" s="4">
        <v>44948</v>
      </c>
      <c r="C174" s="7">
        <v>17604.349999999999</v>
      </c>
      <c r="D174" s="7">
        <v>29766.45</v>
      </c>
      <c r="E174" s="7">
        <v>3342.04</v>
      </c>
      <c r="F174" s="7">
        <v>1510.64</v>
      </c>
      <c r="G174" s="7">
        <v>1111.8599999999999</v>
      </c>
      <c r="H174" s="7">
        <v>199.02</v>
      </c>
      <c r="I174" s="7">
        <v>1030.0999999999999</v>
      </c>
      <c r="J174" s="7">
        <v>4399.05</v>
      </c>
      <c r="K174" s="7">
        <v>2283.66</v>
      </c>
      <c r="L174" s="7">
        <v>3051.55</v>
      </c>
      <c r="M174" s="7">
        <v>2072.4</v>
      </c>
      <c r="N174" s="8">
        <v>858.82</v>
      </c>
    </row>
    <row r="175" spans="2:14" hidden="1" outlineLevel="1" x14ac:dyDescent="0.3">
      <c r="B175" s="4">
        <v>44941</v>
      </c>
      <c r="C175" s="7">
        <v>18027.650000000001</v>
      </c>
      <c r="D175" s="7">
        <v>29529.65</v>
      </c>
      <c r="E175" s="7">
        <v>3295.06</v>
      </c>
      <c r="F175" s="7">
        <v>1517</v>
      </c>
      <c r="G175" s="7">
        <v>1104.0899999999999</v>
      </c>
      <c r="H175" s="7">
        <v>201.57</v>
      </c>
      <c r="I175" s="7">
        <v>1046.5</v>
      </c>
      <c r="J175" s="7">
        <v>4268.05</v>
      </c>
      <c r="K175" s="7">
        <v>2157.1999999999998</v>
      </c>
      <c r="L175" s="7">
        <v>3042.65</v>
      </c>
      <c r="M175" s="7">
        <v>2024.65</v>
      </c>
      <c r="N175" s="8">
        <v>820.4</v>
      </c>
    </row>
    <row r="176" spans="2:14" hidden="1" outlineLevel="1" x14ac:dyDescent="0.3">
      <c r="B176" s="4">
        <v>44934</v>
      </c>
      <c r="C176" s="7">
        <v>17956.599999999999</v>
      </c>
      <c r="D176" s="7">
        <v>28933.75</v>
      </c>
      <c r="E176" s="7">
        <v>3240.64</v>
      </c>
      <c r="F176" s="7">
        <v>1495.22</v>
      </c>
      <c r="G176" s="7">
        <v>1074.19</v>
      </c>
      <c r="H176" s="7">
        <v>196.95</v>
      </c>
      <c r="I176" s="7">
        <v>1003.15</v>
      </c>
      <c r="J176" s="7">
        <v>4287.45</v>
      </c>
      <c r="K176" s="7">
        <v>1998.73</v>
      </c>
      <c r="L176" s="7">
        <v>3083.6</v>
      </c>
      <c r="M176" s="7">
        <v>2035.25</v>
      </c>
      <c r="N176" s="8">
        <v>776.89</v>
      </c>
    </row>
    <row r="177" spans="2:14" hidden="1" outlineLevel="1" x14ac:dyDescent="0.3">
      <c r="B177" s="4">
        <v>44927</v>
      </c>
      <c r="C177" s="7">
        <v>17859.45</v>
      </c>
      <c r="D177" s="7">
        <v>27956.45</v>
      </c>
      <c r="E177" s="7">
        <v>3084.11</v>
      </c>
      <c r="F177" s="7">
        <v>1440.38</v>
      </c>
      <c r="G177" s="7">
        <v>1029.3399999999999</v>
      </c>
      <c r="H177" s="7">
        <v>191</v>
      </c>
      <c r="I177" s="7">
        <v>986.15</v>
      </c>
      <c r="J177" s="7">
        <v>4197.6000000000004</v>
      </c>
      <c r="K177" s="7">
        <v>1921.89</v>
      </c>
      <c r="L177" s="7">
        <v>2996.3</v>
      </c>
      <c r="M177" s="7">
        <v>1977.7</v>
      </c>
      <c r="N177" s="8">
        <v>780.2</v>
      </c>
    </row>
    <row r="178" spans="2:14" hidden="1" outlineLevel="1" x14ac:dyDescent="0.3">
      <c r="B178" s="4">
        <v>44920</v>
      </c>
      <c r="C178" s="7">
        <v>18105.3</v>
      </c>
      <c r="D178" s="7">
        <v>28621.7</v>
      </c>
      <c r="E178" s="7">
        <v>3127.46</v>
      </c>
      <c r="F178" s="7">
        <v>1499.75</v>
      </c>
      <c r="G178" s="7">
        <v>1035.82</v>
      </c>
      <c r="H178" s="7">
        <v>196.38</v>
      </c>
      <c r="I178" s="7">
        <v>1016.4</v>
      </c>
      <c r="J178" s="7">
        <v>4365.3999999999996</v>
      </c>
      <c r="K178" s="7">
        <v>1931.37</v>
      </c>
      <c r="L178" s="7">
        <v>3023.35</v>
      </c>
      <c r="M178" s="7">
        <v>1972.8</v>
      </c>
      <c r="N178" s="8">
        <v>776.82</v>
      </c>
    </row>
    <row r="179" spans="2:14" hidden="1" outlineLevel="1" x14ac:dyDescent="0.3">
      <c r="B179" s="4">
        <v>44913</v>
      </c>
      <c r="C179" s="7">
        <v>17806.8</v>
      </c>
      <c r="D179" s="7">
        <v>28237.05</v>
      </c>
      <c r="E179" s="7">
        <v>3100.24</v>
      </c>
      <c r="F179" s="7">
        <v>1488.71</v>
      </c>
      <c r="G179" s="7">
        <v>1027.1500000000001</v>
      </c>
      <c r="H179" s="7">
        <v>188.82</v>
      </c>
      <c r="I179" s="7">
        <v>995.75</v>
      </c>
      <c r="J179" s="7">
        <v>4266.55</v>
      </c>
      <c r="K179" s="7">
        <v>1913.14</v>
      </c>
      <c r="L179" s="7">
        <v>2986.85</v>
      </c>
      <c r="M179" s="7">
        <v>1919.45</v>
      </c>
      <c r="N179" s="8">
        <v>747.09</v>
      </c>
    </row>
    <row r="180" spans="2:14" hidden="1" outlineLevel="1" x14ac:dyDescent="0.3">
      <c r="B180" s="4">
        <v>44906</v>
      </c>
      <c r="C180" s="7">
        <v>18269</v>
      </c>
      <c r="D180" s="7">
        <v>28702.2</v>
      </c>
      <c r="E180" s="7">
        <v>3111.67</v>
      </c>
      <c r="F180" s="7">
        <v>1513.67</v>
      </c>
      <c r="G180" s="7">
        <v>1026.2</v>
      </c>
      <c r="H180" s="7">
        <v>194.88</v>
      </c>
      <c r="I180" s="7">
        <v>1020.8</v>
      </c>
      <c r="J180" s="7">
        <v>4336.3500000000004</v>
      </c>
      <c r="K180" s="7">
        <v>1980</v>
      </c>
      <c r="L180" s="7">
        <v>3018.85</v>
      </c>
      <c r="M180" s="7">
        <v>1913.15</v>
      </c>
      <c r="N180" s="8">
        <v>790.52</v>
      </c>
    </row>
    <row r="181" spans="2:14" hidden="1" outlineLevel="1" x14ac:dyDescent="0.3">
      <c r="B181" s="4">
        <v>44899</v>
      </c>
      <c r="C181" s="7">
        <v>18496.599999999999</v>
      </c>
      <c r="D181" s="7">
        <v>29168.45</v>
      </c>
      <c r="E181" s="7">
        <v>3162.08</v>
      </c>
      <c r="F181" s="7">
        <v>1560.51</v>
      </c>
      <c r="G181" s="7">
        <v>1024.06</v>
      </c>
      <c r="H181" s="7">
        <v>197.02</v>
      </c>
      <c r="I181" s="7">
        <v>1035.3</v>
      </c>
      <c r="J181" s="7">
        <v>4401.75</v>
      </c>
      <c r="K181" s="7">
        <v>1973.64</v>
      </c>
      <c r="L181" s="7">
        <v>3046.95</v>
      </c>
      <c r="M181" s="7">
        <v>1997.3</v>
      </c>
      <c r="N181" s="8">
        <v>775.44</v>
      </c>
    </row>
    <row r="182" spans="2:14" hidden="1" outlineLevel="1" x14ac:dyDescent="0.3">
      <c r="B182" s="4">
        <v>44892</v>
      </c>
      <c r="C182" s="7">
        <v>18696.099999999999</v>
      </c>
      <c r="D182" s="7">
        <v>31052.1</v>
      </c>
      <c r="E182" s="7">
        <v>3302.67</v>
      </c>
      <c r="F182" s="7">
        <v>1628.72</v>
      </c>
      <c r="G182" s="7">
        <v>1131.75</v>
      </c>
      <c r="H182" s="7">
        <v>206.2</v>
      </c>
      <c r="I182" s="7">
        <v>1114.75</v>
      </c>
      <c r="J182" s="7">
        <v>5065.75</v>
      </c>
      <c r="K182" s="7">
        <v>2168.0500000000002</v>
      </c>
      <c r="L182" s="7">
        <v>3218.8</v>
      </c>
      <c r="M182" s="7">
        <v>2157.35</v>
      </c>
      <c r="N182" s="8">
        <v>847.5</v>
      </c>
    </row>
    <row r="183" spans="2:14" hidden="1" outlineLevel="1" x14ac:dyDescent="0.3">
      <c r="B183" s="4">
        <v>44885</v>
      </c>
      <c r="C183" s="7">
        <v>18512.75</v>
      </c>
      <c r="D183" s="7">
        <v>30334.6</v>
      </c>
      <c r="E183" s="7">
        <v>3255.14</v>
      </c>
      <c r="F183" s="7">
        <v>1626.48</v>
      </c>
      <c r="G183" s="7">
        <v>1124.42</v>
      </c>
      <c r="H183" s="7">
        <v>201.4</v>
      </c>
      <c r="I183" s="7">
        <v>1080.1500000000001</v>
      </c>
      <c r="J183" s="7">
        <v>4938.3</v>
      </c>
      <c r="K183" s="7">
        <v>1981.22</v>
      </c>
      <c r="L183" s="7">
        <v>3049.35</v>
      </c>
      <c r="M183" s="7">
        <v>1989.55</v>
      </c>
      <c r="N183" s="8">
        <v>788.96</v>
      </c>
    </row>
    <row r="184" spans="2:14" hidden="1" outlineLevel="1" x14ac:dyDescent="0.3">
      <c r="B184" s="4">
        <v>44878</v>
      </c>
      <c r="C184" s="7">
        <v>18307.650000000001</v>
      </c>
      <c r="D184" s="7">
        <v>29669.25</v>
      </c>
      <c r="E184" s="7">
        <v>3210.77</v>
      </c>
      <c r="F184" s="7">
        <v>1584.47</v>
      </c>
      <c r="G184" s="7">
        <v>1099.46</v>
      </c>
      <c r="H184" s="7">
        <v>196.93</v>
      </c>
      <c r="I184" s="7">
        <v>1060.8499999999999</v>
      </c>
      <c r="J184" s="7">
        <v>4895.8999999999996</v>
      </c>
      <c r="K184" s="7">
        <v>1863.34</v>
      </c>
      <c r="L184" s="7">
        <v>3075.1</v>
      </c>
      <c r="M184" s="7">
        <v>1948.6</v>
      </c>
      <c r="N184" s="8">
        <v>761.75</v>
      </c>
    </row>
    <row r="185" spans="2:14" hidden="1" outlineLevel="1" x14ac:dyDescent="0.3">
      <c r="B185" s="4">
        <v>44871</v>
      </c>
      <c r="C185" s="7">
        <v>18349.7</v>
      </c>
      <c r="D185" s="7">
        <v>29591.95</v>
      </c>
      <c r="E185" s="7">
        <v>3184.36</v>
      </c>
      <c r="F185" s="7">
        <v>1561.3</v>
      </c>
      <c r="G185" s="7">
        <v>1087</v>
      </c>
      <c r="H185" s="7">
        <v>199.85</v>
      </c>
      <c r="I185" s="7">
        <v>1058.7</v>
      </c>
      <c r="J185" s="7">
        <v>5058</v>
      </c>
      <c r="K185" s="7">
        <v>1870</v>
      </c>
      <c r="L185" s="7">
        <v>3079.65</v>
      </c>
      <c r="M185" s="7">
        <v>2026.65</v>
      </c>
      <c r="N185" s="8">
        <v>779.53</v>
      </c>
    </row>
    <row r="186" spans="2:14" hidden="1" outlineLevel="1" x14ac:dyDescent="0.3">
      <c r="B186" s="4">
        <v>44864</v>
      </c>
      <c r="C186" s="7">
        <v>18117.150000000001</v>
      </c>
      <c r="D186" s="7">
        <v>28693.05</v>
      </c>
      <c r="E186" s="7">
        <v>3089.72</v>
      </c>
      <c r="F186" s="7">
        <v>1505.52</v>
      </c>
      <c r="G186" s="7">
        <v>1041.8499999999999</v>
      </c>
      <c r="H186" s="7">
        <v>195.27</v>
      </c>
      <c r="I186" s="7">
        <v>1035.6500000000001</v>
      </c>
      <c r="J186" s="7">
        <v>4806.8999999999996</v>
      </c>
      <c r="K186" s="7">
        <v>1845.08</v>
      </c>
      <c r="L186" s="7">
        <v>3007.1</v>
      </c>
      <c r="M186" s="7">
        <v>1969.8</v>
      </c>
      <c r="N186" s="8">
        <v>747.62</v>
      </c>
    </row>
    <row r="187" spans="2:14" hidden="1" outlineLevel="1" x14ac:dyDescent="0.3">
      <c r="B187" s="4">
        <v>44857</v>
      </c>
      <c r="C187" s="7">
        <v>17786.8</v>
      </c>
      <c r="D187" s="7">
        <v>28318.35</v>
      </c>
      <c r="E187" s="7">
        <v>3037.72</v>
      </c>
      <c r="F187" s="7">
        <v>1504.77</v>
      </c>
      <c r="G187" s="7">
        <v>1026.55</v>
      </c>
      <c r="H187" s="7">
        <v>191.63</v>
      </c>
      <c r="I187" s="7">
        <v>1031.03</v>
      </c>
      <c r="J187" s="7">
        <v>4584.1499999999996</v>
      </c>
      <c r="K187" s="7">
        <v>1806.94</v>
      </c>
      <c r="L187" s="7">
        <v>2892.9</v>
      </c>
      <c r="M187" s="7">
        <v>1947.85</v>
      </c>
      <c r="N187" s="8">
        <v>747.3</v>
      </c>
    </row>
    <row r="188" spans="2:14" hidden="1" outlineLevel="1" x14ac:dyDescent="0.3">
      <c r="B188" s="4">
        <v>44850</v>
      </c>
      <c r="C188" s="7">
        <v>17576.3</v>
      </c>
      <c r="D188" s="7">
        <v>28336.95</v>
      </c>
      <c r="E188" s="7">
        <v>3012.9</v>
      </c>
      <c r="F188" s="7">
        <v>1492.09</v>
      </c>
      <c r="G188" s="7">
        <v>1023.76</v>
      </c>
      <c r="H188" s="7">
        <v>191.27</v>
      </c>
      <c r="I188" s="7">
        <v>1023.36</v>
      </c>
      <c r="J188" s="7">
        <v>4765.25</v>
      </c>
      <c r="K188" s="7">
        <v>1828.99</v>
      </c>
      <c r="L188" s="7">
        <v>2916.8</v>
      </c>
      <c r="M188" s="7">
        <v>2042.95</v>
      </c>
      <c r="N188" s="8">
        <v>772.42</v>
      </c>
    </row>
    <row r="189" spans="2:14" hidden="1" outlineLevel="1" x14ac:dyDescent="0.3">
      <c r="B189" s="4">
        <v>44843</v>
      </c>
      <c r="C189" s="7">
        <v>17185.7</v>
      </c>
      <c r="D189" s="7">
        <v>27954.05</v>
      </c>
      <c r="E189" s="7">
        <v>2976.17</v>
      </c>
      <c r="F189" s="7">
        <v>1465.99</v>
      </c>
      <c r="G189" s="7">
        <v>999.19</v>
      </c>
      <c r="H189" s="7">
        <v>188.65</v>
      </c>
      <c r="I189" s="7">
        <v>1002.42</v>
      </c>
      <c r="J189" s="7">
        <v>4668.55</v>
      </c>
      <c r="K189" s="7">
        <v>1819.86</v>
      </c>
      <c r="L189" s="7">
        <v>2947.3</v>
      </c>
      <c r="M189" s="7">
        <v>2105.6999999999998</v>
      </c>
      <c r="N189" s="8">
        <v>748.4</v>
      </c>
    </row>
    <row r="190" spans="2:14" hidden="1" outlineLevel="1" x14ac:dyDescent="0.3">
      <c r="B190" s="4">
        <v>44836</v>
      </c>
      <c r="C190" s="7">
        <v>17314.650000000001</v>
      </c>
      <c r="D190" s="7">
        <v>27733.599999999999</v>
      </c>
      <c r="E190" s="7">
        <v>2943.28</v>
      </c>
      <c r="F190" s="7">
        <v>1443.07</v>
      </c>
      <c r="G190" s="7">
        <v>954.49</v>
      </c>
      <c r="H190" s="7">
        <v>204.05</v>
      </c>
      <c r="I190" s="7">
        <v>1006.36</v>
      </c>
      <c r="J190" s="7">
        <v>4645.25</v>
      </c>
      <c r="K190" s="7">
        <v>1740.95</v>
      </c>
      <c r="L190" s="7">
        <v>2968</v>
      </c>
      <c r="M190" s="7">
        <v>2118.4499999999998</v>
      </c>
      <c r="N190" s="8">
        <v>720.5</v>
      </c>
    </row>
    <row r="191" spans="2:14" hidden="1" outlineLevel="1" x14ac:dyDescent="0.3">
      <c r="B191" s="4">
        <v>44829</v>
      </c>
      <c r="C191" s="7">
        <v>17094.349999999999</v>
      </c>
      <c r="D191" s="7">
        <v>26981.15</v>
      </c>
      <c r="E191" s="7">
        <v>2885.32</v>
      </c>
      <c r="F191" s="7">
        <v>1405.53</v>
      </c>
      <c r="G191" s="7">
        <v>929.23</v>
      </c>
      <c r="H191" s="7">
        <v>197.13</v>
      </c>
      <c r="I191" s="7">
        <v>991.37</v>
      </c>
      <c r="J191" s="7">
        <v>4457.8500000000004</v>
      </c>
      <c r="K191" s="7">
        <v>1617.19</v>
      </c>
      <c r="L191" s="7">
        <v>2982.5</v>
      </c>
      <c r="M191" s="7">
        <v>2087.65</v>
      </c>
      <c r="N191" s="8">
        <v>672.39</v>
      </c>
    </row>
    <row r="192" spans="2:14" hidden="1" outlineLevel="1" x14ac:dyDescent="0.3">
      <c r="B192" s="4">
        <v>44822</v>
      </c>
      <c r="C192" s="7">
        <v>17327.349999999999</v>
      </c>
      <c r="D192" s="7">
        <v>26592.35</v>
      </c>
      <c r="E192" s="7">
        <v>2863.71</v>
      </c>
      <c r="F192" s="7">
        <v>1357.8</v>
      </c>
      <c r="G192" s="7">
        <v>892.85</v>
      </c>
      <c r="H192" s="7">
        <v>197.18</v>
      </c>
      <c r="I192" s="7">
        <v>1017.41</v>
      </c>
      <c r="J192" s="7">
        <v>4417.8999999999996</v>
      </c>
      <c r="K192" s="7">
        <v>1570.69</v>
      </c>
      <c r="L192" s="7">
        <v>2993.7</v>
      </c>
      <c r="M192" s="7">
        <v>2019.45</v>
      </c>
      <c r="N192" s="8">
        <v>667.31</v>
      </c>
    </row>
    <row r="193" spans="2:14" hidden="1" outlineLevel="1" x14ac:dyDescent="0.3">
      <c r="B193" s="4">
        <v>44815</v>
      </c>
      <c r="C193" s="7">
        <v>17530.849999999999</v>
      </c>
      <c r="D193" s="7">
        <v>26706.45</v>
      </c>
      <c r="E193" s="7">
        <v>2889.31</v>
      </c>
      <c r="F193" s="7">
        <v>1369.33</v>
      </c>
      <c r="G193" s="7">
        <v>893.9</v>
      </c>
      <c r="H193" s="7">
        <v>200.82</v>
      </c>
      <c r="I193" s="7">
        <v>1015.55</v>
      </c>
      <c r="J193" s="7">
        <v>4379.5</v>
      </c>
      <c r="K193" s="7">
        <v>1577.22</v>
      </c>
      <c r="L193" s="7">
        <v>3036.5</v>
      </c>
      <c r="M193" s="7">
        <v>2016.35</v>
      </c>
      <c r="N193" s="8">
        <v>656.26</v>
      </c>
    </row>
    <row r="194" spans="2:14" hidden="1" outlineLevel="1" x14ac:dyDescent="0.3">
      <c r="B194" s="4">
        <v>44808</v>
      </c>
      <c r="C194" s="7">
        <v>17833.349999999999</v>
      </c>
      <c r="D194" s="7">
        <v>28724.05</v>
      </c>
      <c r="E194" s="7">
        <v>3089.96</v>
      </c>
      <c r="F194" s="7">
        <v>1503.18</v>
      </c>
      <c r="G194" s="7">
        <v>945.32</v>
      </c>
      <c r="H194" s="7">
        <v>208.57</v>
      </c>
      <c r="I194" s="7">
        <v>1107.4000000000001</v>
      </c>
      <c r="J194" s="7">
        <v>4673.6000000000004</v>
      </c>
      <c r="K194" s="7">
        <v>1693.05</v>
      </c>
      <c r="L194" s="7">
        <v>3171.95</v>
      </c>
      <c r="M194" s="7">
        <v>2144.85</v>
      </c>
      <c r="N194" s="8">
        <v>713.59</v>
      </c>
    </row>
    <row r="195" spans="2:14" hidden="1" outlineLevel="1" x14ac:dyDescent="0.3">
      <c r="B195" s="4">
        <v>44801</v>
      </c>
      <c r="C195" s="7">
        <v>17539.45</v>
      </c>
      <c r="D195" s="7">
        <v>27745.8</v>
      </c>
      <c r="E195" s="7">
        <v>3006.18</v>
      </c>
      <c r="F195" s="7">
        <v>1444.86</v>
      </c>
      <c r="G195" s="7">
        <v>921.35</v>
      </c>
      <c r="H195" s="7">
        <v>203.85</v>
      </c>
      <c r="I195" s="7">
        <v>1038.3499999999999</v>
      </c>
      <c r="J195" s="7">
        <v>4522</v>
      </c>
      <c r="K195" s="7">
        <v>1703.63</v>
      </c>
      <c r="L195" s="7">
        <v>3147.7</v>
      </c>
      <c r="M195" s="7">
        <v>2072.85</v>
      </c>
      <c r="N195" s="8">
        <v>693.52</v>
      </c>
    </row>
    <row r="196" spans="2:14" hidden="1" outlineLevel="1" x14ac:dyDescent="0.3">
      <c r="B196" s="4">
        <v>44794</v>
      </c>
      <c r="C196" s="7">
        <v>17558.900000000001</v>
      </c>
      <c r="D196" s="7">
        <v>28691.599999999999</v>
      </c>
      <c r="E196" s="7">
        <v>3094.33</v>
      </c>
      <c r="F196" s="7">
        <v>1513.02</v>
      </c>
      <c r="G196" s="7">
        <v>942.48</v>
      </c>
      <c r="H196" s="7">
        <v>208.63</v>
      </c>
      <c r="I196" s="7">
        <v>1067</v>
      </c>
      <c r="J196" s="7">
        <v>4658.95</v>
      </c>
      <c r="K196" s="7">
        <v>1759.06</v>
      </c>
      <c r="L196" s="7">
        <v>3229.25</v>
      </c>
      <c r="M196" s="7">
        <v>2166.0500000000002</v>
      </c>
      <c r="N196" s="8">
        <v>732.37</v>
      </c>
    </row>
    <row r="197" spans="2:14" hidden="1" outlineLevel="1" x14ac:dyDescent="0.3">
      <c r="B197" s="4">
        <v>44787</v>
      </c>
      <c r="C197" s="7">
        <v>17758.45</v>
      </c>
      <c r="D197" s="7">
        <v>30036.1</v>
      </c>
      <c r="E197" s="7">
        <v>3251.39</v>
      </c>
      <c r="F197" s="7">
        <v>1588.15</v>
      </c>
      <c r="G197" s="7">
        <v>966.8</v>
      </c>
      <c r="H197" s="7">
        <v>216.23</v>
      </c>
      <c r="I197" s="7">
        <v>1085.28</v>
      </c>
      <c r="J197" s="7">
        <v>4892.7</v>
      </c>
      <c r="K197" s="7">
        <v>1877.89</v>
      </c>
      <c r="L197" s="7">
        <v>3338.1</v>
      </c>
      <c r="M197" s="7">
        <v>2394.15</v>
      </c>
      <c r="N197" s="8">
        <v>784.74</v>
      </c>
    </row>
    <row r="198" spans="2:14" hidden="1" outlineLevel="1" x14ac:dyDescent="0.3">
      <c r="B198" s="4">
        <v>44780</v>
      </c>
      <c r="C198" s="7">
        <v>17698.150000000001</v>
      </c>
      <c r="D198" s="7">
        <v>29885.9</v>
      </c>
      <c r="E198" s="7">
        <v>3266.57</v>
      </c>
      <c r="F198" s="7">
        <v>1585.17</v>
      </c>
      <c r="G198" s="7">
        <v>953.2</v>
      </c>
      <c r="H198" s="7">
        <v>218.05</v>
      </c>
      <c r="I198" s="7">
        <v>1047.69</v>
      </c>
      <c r="J198" s="7">
        <v>4911.3999999999996</v>
      </c>
      <c r="K198" s="7">
        <v>1857.78</v>
      </c>
      <c r="L198" s="7">
        <v>3377.7</v>
      </c>
      <c r="M198" s="7">
        <v>2373.9499999999998</v>
      </c>
      <c r="N198" s="8">
        <v>758.5</v>
      </c>
    </row>
    <row r="199" spans="2:14" hidden="1" outlineLevel="1" x14ac:dyDescent="0.3">
      <c r="B199" s="4">
        <v>44773</v>
      </c>
      <c r="C199" s="7">
        <v>17397.5</v>
      </c>
      <c r="D199" s="7">
        <v>29973.55</v>
      </c>
      <c r="E199" s="7">
        <v>3231.51</v>
      </c>
      <c r="F199" s="7">
        <v>1607.59</v>
      </c>
      <c r="G199" s="7">
        <v>954.54</v>
      </c>
      <c r="H199" s="7">
        <v>220</v>
      </c>
      <c r="I199" s="7">
        <v>1040.1199999999999</v>
      </c>
      <c r="J199" s="7">
        <v>4925.3500000000004</v>
      </c>
      <c r="K199" s="7">
        <v>1892.23</v>
      </c>
      <c r="L199" s="7">
        <v>3365.85</v>
      </c>
      <c r="M199" s="7">
        <v>2394.85</v>
      </c>
      <c r="N199" s="8">
        <v>786.9</v>
      </c>
    </row>
    <row r="200" spans="2:14" hidden="1" outlineLevel="1" x14ac:dyDescent="0.3">
      <c r="B200" s="4">
        <v>44766</v>
      </c>
      <c r="C200" s="7">
        <v>17158.25</v>
      </c>
      <c r="D200" s="7">
        <v>29152.3</v>
      </c>
      <c r="E200" s="7">
        <v>3170.87</v>
      </c>
      <c r="F200" s="7">
        <v>1541.02</v>
      </c>
      <c r="G200" s="7">
        <v>945.22</v>
      </c>
      <c r="H200" s="7">
        <v>211.85</v>
      </c>
      <c r="I200" s="7">
        <v>1030.73</v>
      </c>
      <c r="J200" s="7">
        <v>4730.75</v>
      </c>
      <c r="K200" s="7">
        <v>1812.6</v>
      </c>
      <c r="L200" s="7">
        <v>3144.05</v>
      </c>
      <c r="M200" s="7">
        <v>2299.8000000000002</v>
      </c>
      <c r="N200" s="8">
        <v>790.86</v>
      </c>
    </row>
    <row r="201" spans="2:14" hidden="1" outlineLevel="1" x14ac:dyDescent="0.3">
      <c r="B201" s="4">
        <v>44759</v>
      </c>
      <c r="C201" s="7">
        <v>16719.45</v>
      </c>
      <c r="D201" s="7">
        <v>28168.15</v>
      </c>
      <c r="E201" s="7">
        <v>3045.17</v>
      </c>
      <c r="F201" s="7">
        <v>1497.86</v>
      </c>
      <c r="G201" s="7">
        <v>917.17</v>
      </c>
      <c r="H201" s="7">
        <v>205.43</v>
      </c>
      <c r="I201" s="7">
        <v>1011.12</v>
      </c>
      <c r="J201" s="7">
        <v>4504.8</v>
      </c>
      <c r="K201" s="7">
        <v>1812.55</v>
      </c>
      <c r="L201" s="7">
        <v>3233.4</v>
      </c>
      <c r="M201" s="7">
        <v>2276.4499999999998</v>
      </c>
      <c r="N201" s="8">
        <v>745.29</v>
      </c>
    </row>
    <row r="202" spans="2:14" hidden="1" outlineLevel="1" x14ac:dyDescent="0.3">
      <c r="B202" s="4">
        <v>44752</v>
      </c>
      <c r="C202" s="7">
        <v>16049.2</v>
      </c>
      <c r="D202" s="7">
        <v>26484.75</v>
      </c>
      <c r="E202" s="7">
        <v>2875.76</v>
      </c>
      <c r="F202" s="7">
        <v>1422.33</v>
      </c>
      <c r="G202" s="7">
        <v>880.19</v>
      </c>
      <c r="H202" s="7">
        <v>196.93</v>
      </c>
      <c r="I202" s="7">
        <v>943.44</v>
      </c>
      <c r="J202" s="7">
        <v>3974.55</v>
      </c>
      <c r="K202" s="7">
        <v>1567.62</v>
      </c>
      <c r="L202" s="7">
        <v>3119.05</v>
      </c>
      <c r="M202" s="7">
        <v>2141.5500000000002</v>
      </c>
      <c r="N202" s="8">
        <v>675.73</v>
      </c>
    </row>
    <row r="203" spans="2:14" hidden="1" outlineLevel="1" x14ac:dyDescent="0.3">
      <c r="B203" s="4">
        <v>44745</v>
      </c>
      <c r="C203" s="7">
        <v>16220.6</v>
      </c>
      <c r="D203" s="7">
        <v>28250.3</v>
      </c>
      <c r="E203" s="7">
        <v>3135.87</v>
      </c>
      <c r="F203" s="7">
        <v>1505.96</v>
      </c>
      <c r="G203" s="7">
        <v>980.26</v>
      </c>
      <c r="H203" s="7">
        <v>209.55</v>
      </c>
      <c r="I203" s="7">
        <v>994.5</v>
      </c>
      <c r="J203" s="7">
        <v>4067.85</v>
      </c>
      <c r="K203" s="7">
        <v>1695.32</v>
      </c>
      <c r="L203" s="7">
        <v>3204.05</v>
      </c>
      <c r="M203" s="7">
        <v>2232.8000000000002</v>
      </c>
      <c r="N203" s="8">
        <v>721.33</v>
      </c>
    </row>
    <row r="204" spans="2:14" hidden="1" outlineLevel="1" x14ac:dyDescent="0.3">
      <c r="B204" s="4">
        <v>44738</v>
      </c>
      <c r="C204" s="7">
        <v>15752.05</v>
      </c>
      <c r="D204" s="7">
        <v>28064.25</v>
      </c>
      <c r="E204" s="7">
        <v>3183.55</v>
      </c>
      <c r="F204" s="7">
        <v>1471.11</v>
      </c>
      <c r="G204" s="7">
        <v>972.09</v>
      </c>
      <c r="H204" s="7">
        <v>211</v>
      </c>
      <c r="I204" s="7">
        <v>979.19</v>
      </c>
      <c r="J204" s="7">
        <v>4000.8</v>
      </c>
      <c r="K204" s="7">
        <v>1653.51</v>
      </c>
      <c r="L204" s="7">
        <v>3059.15</v>
      </c>
      <c r="M204" s="7">
        <v>2241.15</v>
      </c>
      <c r="N204" s="8">
        <v>697.61</v>
      </c>
    </row>
    <row r="205" spans="2:14" hidden="1" outlineLevel="1" x14ac:dyDescent="0.3">
      <c r="B205" s="4">
        <v>44731</v>
      </c>
      <c r="C205" s="7">
        <v>15699.25</v>
      </c>
      <c r="D205" s="7">
        <v>27777.8</v>
      </c>
      <c r="E205" s="7">
        <v>3162.42</v>
      </c>
      <c r="F205" s="7">
        <v>1433.02</v>
      </c>
      <c r="G205" s="7">
        <v>963.46</v>
      </c>
      <c r="H205" s="7">
        <v>209.38</v>
      </c>
      <c r="I205" s="7">
        <v>950.61</v>
      </c>
      <c r="J205" s="7">
        <v>4033.75</v>
      </c>
      <c r="K205" s="7">
        <v>1627.09</v>
      </c>
      <c r="L205" s="7">
        <v>3121.35</v>
      </c>
      <c r="M205" s="7">
        <v>2260.65</v>
      </c>
      <c r="N205" s="8">
        <v>729.47</v>
      </c>
    </row>
    <row r="206" spans="2:14" hidden="1" outlineLevel="1" x14ac:dyDescent="0.3">
      <c r="B206" s="4">
        <v>44724</v>
      </c>
      <c r="C206" s="7">
        <v>15293.5</v>
      </c>
      <c r="D206" s="7">
        <v>26732.45</v>
      </c>
      <c r="E206" s="7">
        <v>2966.32</v>
      </c>
      <c r="F206" s="7">
        <v>1379.53</v>
      </c>
      <c r="G206" s="7">
        <v>955.54</v>
      </c>
      <c r="H206" s="7">
        <v>202.6</v>
      </c>
      <c r="I206" s="7">
        <v>934.96</v>
      </c>
      <c r="J206" s="7">
        <v>4003.3</v>
      </c>
      <c r="K206" s="7">
        <v>1590.29</v>
      </c>
      <c r="L206" s="7">
        <v>2991.65</v>
      </c>
      <c r="M206" s="7">
        <v>2193.15</v>
      </c>
      <c r="N206" s="8">
        <v>675.16</v>
      </c>
    </row>
    <row r="207" spans="2:14" hidden="1" outlineLevel="1" x14ac:dyDescent="0.3">
      <c r="B207" s="4">
        <v>44717</v>
      </c>
      <c r="C207" s="7">
        <v>16201.8</v>
      </c>
      <c r="D207" s="7">
        <v>29114.3</v>
      </c>
      <c r="E207" s="7">
        <v>3226.57</v>
      </c>
      <c r="F207" s="7">
        <v>1468.52</v>
      </c>
      <c r="G207" s="7">
        <v>1011.95</v>
      </c>
      <c r="H207" s="7">
        <v>230.48</v>
      </c>
      <c r="I207" s="7">
        <v>1075.25</v>
      </c>
      <c r="J207" s="7">
        <v>4331.45</v>
      </c>
      <c r="K207" s="7">
        <v>1743.72</v>
      </c>
      <c r="L207" s="7">
        <v>3176.55</v>
      </c>
      <c r="M207" s="7">
        <v>2507.85</v>
      </c>
      <c r="N207" s="8">
        <v>696.64</v>
      </c>
    </row>
    <row r="208" spans="2:14" hidden="1" outlineLevel="1" x14ac:dyDescent="0.3">
      <c r="B208" s="4">
        <v>44710</v>
      </c>
      <c r="C208" s="7">
        <v>16584.3</v>
      </c>
      <c r="D208" s="7">
        <v>29903.8</v>
      </c>
      <c r="E208" s="7">
        <v>3303.64</v>
      </c>
      <c r="F208" s="7">
        <v>1513.17</v>
      </c>
      <c r="G208" s="7">
        <v>1039.51</v>
      </c>
      <c r="H208" s="7">
        <v>237.75</v>
      </c>
      <c r="I208" s="7">
        <v>1112.1099999999999</v>
      </c>
      <c r="J208" s="7">
        <v>4335.05</v>
      </c>
      <c r="K208" s="7">
        <v>1896.47</v>
      </c>
      <c r="L208" s="7">
        <v>3283.7</v>
      </c>
      <c r="M208" s="7">
        <v>2568.0500000000002</v>
      </c>
      <c r="N208" s="8">
        <v>752.02</v>
      </c>
    </row>
    <row r="209" spans="2:14" hidden="1" outlineLevel="1" x14ac:dyDescent="0.3">
      <c r="B209" s="4">
        <v>44703</v>
      </c>
      <c r="C209" s="7">
        <v>16352.45</v>
      </c>
      <c r="D209" s="7">
        <v>28641.599999999999</v>
      </c>
      <c r="E209" s="7">
        <v>3131.88</v>
      </c>
      <c r="F209" s="7">
        <v>1453.16</v>
      </c>
      <c r="G209" s="7">
        <v>1000.54</v>
      </c>
      <c r="H209" s="7">
        <v>233.48</v>
      </c>
      <c r="I209" s="7">
        <v>1088.23</v>
      </c>
      <c r="J209" s="7">
        <v>3998</v>
      </c>
      <c r="K209" s="7">
        <v>1769.37</v>
      </c>
      <c r="L209" s="7">
        <v>3171.35</v>
      </c>
      <c r="M209" s="7">
        <v>2484.15</v>
      </c>
      <c r="N209" s="8">
        <v>734.29</v>
      </c>
    </row>
    <row r="210" spans="2:14" hidden="1" outlineLevel="1" x14ac:dyDescent="0.3">
      <c r="B210" s="4">
        <v>44696</v>
      </c>
      <c r="C210" s="7">
        <v>16266.15</v>
      </c>
      <c r="D210" s="7">
        <v>28789.4</v>
      </c>
      <c r="E210" s="7">
        <v>3162.32</v>
      </c>
      <c r="F210" s="7">
        <v>1446.99</v>
      </c>
      <c r="G210" s="7">
        <v>1025.4100000000001</v>
      </c>
      <c r="H210" s="7">
        <v>229.8</v>
      </c>
      <c r="I210" s="7">
        <v>1095.6400000000001</v>
      </c>
      <c r="J210" s="7">
        <v>4043.5</v>
      </c>
      <c r="K210" s="7">
        <v>1845.53</v>
      </c>
      <c r="L210" s="7">
        <v>3217.45</v>
      </c>
      <c r="M210" s="7">
        <v>2459.0500000000002</v>
      </c>
      <c r="N210" s="8">
        <v>757.39</v>
      </c>
    </row>
    <row r="211" spans="2:14" hidden="1" outlineLevel="1" x14ac:dyDescent="0.3">
      <c r="B211" s="4">
        <v>44689</v>
      </c>
      <c r="C211" s="7">
        <v>15782.15</v>
      </c>
      <c r="D211" s="7">
        <v>29624.85</v>
      </c>
      <c r="E211" s="7">
        <v>3279.39</v>
      </c>
      <c r="F211" s="7">
        <v>1495.97</v>
      </c>
      <c r="G211" s="7">
        <v>1048.6300000000001</v>
      </c>
      <c r="H211" s="7">
        <v>234.32</v>
      </c>
      <c r="I211" s="7">
        <v>1165.3499999999999</v>
      </c>
      <c r="J211" s="7">
        <v>4110.7</v>
      </c>
      <c r="K211" s="7">
        <v>1793.34</v>
      </c>
      <c r="L211" s="7">
        <v>3230.7</v>
      </c>
      <c r="M211" s="7">
        <v>2443.6999999999998</v>
      </c>
      <c r="N211" s="8">
        <v>748.65</v>
      </c>
    </row>
    <row r="212" spans="2:14" hidden="1" outlineLevel="1" x14ac:dyDescent="0.3">
      <c r="B212" s="4">
        <v>44682</v>
      </c>
      <c r="C212" s="7">
        <v>16411.25</v>
      </c>
      <c r="D212" s="7">
        <v>30719.45</v>
      </c>
      <c r="E212" s="7">
        <v>3296.38</v>
      </c>
      <c r="F212" s="7">
        <v>1534.2</v>
      </c>
      <c r="G212" s="7">
        <v>1046.68</v>
      </c>
      <c r="H212" s="7">
        <v>242.55</v>
      </c>
      <c r="I212" s="7">
        <v>1250.51</v>
      </c>
      <c r="J212" s="7">
        <v>4593</v>
      </c>
      <c r="K212" s="7">
        <v>2026.22</v>
      </c>
      <c r="L212" s="7">
        <v>3517.1</v>
      </c>
      <c r="M212" s="7">
        <v>2694.05</v>
      </c>
      <c r="N212" s="8">
        <v>781.08</v>
      </c>
    </row>
    <row r="213" spans="2:14" hidden="1" outlineLevel="1" x14ac:dyDescent="0.3">
      <c r="B213" s="4">
        <v>44675</v>
      </c>
      <c r="C213" s="7">
        <v>17102.55</v>
      </c>
      <c r="D213" s="7">
        <v>31622.400000000001</v>
      </c>
      <c r="E213" s="7">
        <v>3405.96</v>
      </c>
      <c r="F213" s="7">
        <v>1558.77</v>
      </c>
      <c r="G213" s="7">
        <v>1075.6400000000001</v>
      </c>
      <c r="H213" s="7">
        <v>254.4</v>
      </c>
      <c r="I213" s="7">
        <v>1219.75</v>
      </c>
      <c r="J213" s="7">
        <v>4839.05</v>
      </c>
      <c r="K213" s="7">
        <v>2155.77</v>
      </c>
      <c r="L213" s="7">
        <v>3561.25</v>
      </c>
      <c r="M213" s="7">
        <v>2843.2</v>
      </c>
      <c r="N213" s="8">
        <v>840.04</v>
      </c>
    </row>
    <row r="214" spans="2:14" hidden="1" outlineLevel="1" x14ac:dyDescent="0.3">
      <c r="B214" s="4">
        <v>44668</v>
      </c>
      <c r="C214" s="7">
        <v>17171.95</v>
      </c>
      <c r="D214" s="7">
        <v>32426.7</v>
      </c>
      <c r="E214" s="7">
        <v>3469.19</v>
      </c>
      <c r="F214" s="7">
        <v>1576.56</v>
      </c>
      <c r="G214" s="7">
        <v>1098.3599999999999</v>
      </c>
      <c r="H214" s="7">
        <v>268.85000000000002</v>
      </c>
      <c r="I214" s="7">
        <v>1265.77</v>
      </c>
      <c r="J214" s="7">
        <v>5093.8500000000004</v>
      </c>
      <c r="K214" s="7">
        <v>2009.46</v>
      </c>
      <c r="L214" s="7">
        <v>3485.65</v>
      </c>
      <c r="M214" s="7">
        <v>2895.85</v>
      </c>
      <c r="N214" s="8">
        <v>825.85</v>
      </c>
    </row>
    <row r="215" spans="2:14" hidden="1" outlineLevel="1" x14ac:dyDescent="0.3">
      <c r="B215" s="4">
        <v>44661</v>
      </c>
      <c r="C215" s="7">
        <v>17475.650000000001</v>
      </c>
      <c r="D215" s="7">
        <v>34354.800000000003</v>
      </c>
      <c r="E215" s="7">
        <v>3516.63</v>
      </c>
      <c r="F215" s="7">
        <v>1738.75</v>
      </c>
      <c r="G215" s="7">
        <v>1121.33</v>
      </c>
      <c r="H215" s="7">
        <v>279.60000000000002</v>
      </c>
      <c r="I215" s="7">
        <v>1366.48</v>
      </c>
      <c r="J215" s="7">
        <v>6038.8</v>
      </c>
      <c r="K215" s="7">
        <v>2160.42</v>
      </c>
      <c r="L215" s="7">
        <v>3568.15</v>
      </c>
      <c r="M215" s="7">
        <v>3050.8</v>
      </c>
      <c r="N215" s="8">
        <v>832.16</v>
      </c>
    </row>
    <row r="216" spans="2:14" hidden="1" outlineLevel="1" x14ac:dyDescent="0.3">
      <c r="B216" s="4">
        <v>44654</v>
      </c>
      <c r="C216" s="7">
        <v>17784.349999999999</v>
      </c>
      <c r="D216" s="7">
        <v>35394.449999999997</v>
      </c>
      <c r="E216" s="7">
        <v>3539.39</v>
      </c>
      <c r="F216" s="7">
        <v>1804.43</v>
      </c>
      <c r="G216" s="7">
        <v>1161.45</v>
      </c>
      <c r="H216" s="7">
        <v>291.83</v>
      </c>
      <c r="I216" s="7">
        <v>1403.58</v>
      </c>
      <c r="J216" s="7">
        <v>6153.2</v>
      </c>
      <c r="K216" s="7">
        <v>2350.4899999999998</v>
      </c>
      <c r="L216" s="7">
        <v>3700.2</v>
      </c>
      <c r="M216" s="7">
        <v>3161.15</v>
      </c>
      <c r="N216" s="8">
        <v>874.63</v>
      </c>
    </row>
    <row r="217" spans="2:14" hidden="1" outlineLevel="1" x14ac:dyDescent="0.3">
      <c r="B217" s="4">
        <v>44647</v>
      </c>
      <c r="C217" s="7">
        <v>17670.45</v>
      </c>
      <c r="D217" s="7">
        <v>36343.4</v>
      </c>
      <c r="E217" s="7">
        <v>3609.59</v>
      </c>
      <c r="F217" s="7">
        <v>1892.88</v>
      </c>
      <c r="G217" s="7">
        <v>1165.73</v>
      </c>
      <c r="H217" s="7">
        <v>300.89999999999998</v>
      </c>
      <c r="I217" s="7">
        <v>1440.74</v>
      </c>
      <c r="J217" s="7">
        <v>6173.5</v>
      </c>
      <c r="K217" s="7">
        <v>2356.4</v>
      </c>
      <c r="L217" s="7">
        <v>3587.55</v>
      </c>
      <c r="M217" s="7">
        <v>3344.05</v>
      </c>
      <c r="N217" s="8">
        <v>882.97</v>
      </c>
    </row>
    <row r="218" spans="2:14" hidden="1" outlineLevel="1" x14ac:dyDescent="0.3">
      <c r="B218" s="4">
        <v>44640</v>
      </c>
      <c r="C218" s="7">
        <v>17153</v>
      </c>
      <c r="D218" s="7">
        <v>36152.300000000003</v>
      </c>
      <c r="E218" s="7">
        <v>3560.33</v>
      </c>
      <c r="F218" s="7">
        <v>1866.03</v>
      </c>
      <c r="G218" s="7">
        <v>1175.4000000000001</v>
      </c>
      <c r="H218" s="7">
        <v>301.67</v>
      </c>
      <c r="I218" s="7">
        <v>1482.83</v>
      </c>
      <c r="J218" s="7">
        <v>6183.25</v>
      </c>
      <c r="K218" s="7">
        <v>2333.0500000000002</v>
      </c>
      <c r="L218" s="7">
        <v>3580.9</v>
      </c>
      <c r="M218" s="7">
        <v>3279.15</v>
      </c>
      <c r="N218" s="8">
        <v>884.61</v>
      </c>
    </row>
    <row r="219" spans="2:14" hidden="1" outlineLevel="1" x14ac:dyDescent="0.3">
      <c r="B219" s="4">
        <v>44633</v>
      </c>
      <c r="C219" s="7">
        <v>17287.05</v>
      </c>
      <c r="D219" s="7">
        <v>35643.599999999999</v>
      </c>
      <c r="E219" s="7">
        <v>3527</v>
      </c>
      <c r="F219" s="7">
        <v>1844.21</v>
      </c>
      <c r="G219" s="7">
        <v>1192.8900000000001</v>
      </c>
      <c r="H219" s="7">
        <v>300.60000000000002</v>
      </c>
      <c r="I219" s="7">
        <v>1446.94</v>
      </c>
      <c r="J219" s="7">
        <v>6113.85</v>
      </c>
      <c r="K219" s="7">
        <v>2237.75</v>
      </c>
      <c r="L219" s="7">
        <v>3553.55</v>
      </c>
      <c r="M219" s="7">
        <v>3106.9</v>
      </c>
      <c r="N219" s="8">
        <v>882.21</v>
      </c>
    </row>
    <row r="220" spans="2:14" hidden="1" outlineLevel="1" x14ac:dyDescent="0.3">
      <c r="B220" s="4">
        <v>44626</v>
      </c>
      <c r="C220" s="7">
        <v>16630.45</v>
      </c>
      <c r="D220" s="7">
        <v>35348.699999999997</v>
      </c>
      <c r="E220" s="7">
        <v>3456.32</v>
      </c>
      <c r="F220" s="7">
        <v>1811.79</v>
      </c>
      <c r="G220" s="7">
        <v>1189.45</v>
      </c>
      <c r="H220" s="7">
        <v>293.10000000000002</v>
      </c>
      <c r="I220" s="7">
        <v>1440.45</v>
      </c>
      <c r="J220" s="7">
        <v>6224.2</v>
      </c>
      <c r="K220" s="7">
        <v>2174.7399999999998</v>
      </c>
      <c r="L220" s="7">
        <v>3468.55</v>
      </c>
      <c r="M220" s="7">
        <v>3285.9</v>
      </c>
      <c r="N220" s="8">
        <v>859.66</v>
      </c>
    </row>
    <row r="221" spans="2:14" hidden="1" outlineLevel="1" x14ac:dyDescent="0.3">
      <c r="B221" s="4">
        <v>44619</v>
      </c>
      <c r="C221" s="7">
        <v>16245.35</v>
      </c>
      <c r="D221" s="7">
        <v>34177.699999999997</v>
      </c>
      <c r="E221" s="7">
        <v>3384.49</v>
      </c>
      <c r="F221" s="7">
        <v>1713.64</v>
      </c>
      <c r="G221" s="7">
        <v>1134.6400000000001</v>
      </c>
      <c r="H221" s="7">
        <v>287.64999999999998</v>
      </c>
      <c r="I221" s="7">
        <v>1408.28</v>
      </c>
      <c r="J221" s="7">
        <v>6108.65</v>
      </c>
      <c r="K221" s="7">
        <v>2031.81</v>
      </c>
      <c r="L221" s="7">
        <v>3346.1</v>
      </c>
      <c r="M221" s="7">
        <v>3187.15</v>
      </c>
      <c r="N221" s="8">
        <v>932.49</v>
      </c>
    </row>
    <row r="222" spans="2:14" hidden="1" outlineLevel="1" x14ac:dyDescent="0.3">
      <c r="B222" s="4">
        <v>44612</v>
      </c>
      <c r="C222" s="7">
        <v>16658.400000000001</v>
      </c>
      <c r="D222" s="7">
        <v>33476.949999999997</v>
      </c>
      <c r="E222" s="7">
        <v>3381.04</v>
      </c>
      <c r="F222" s="7">
        <v>1685.1</v>
      </c>
      <c r="G222" s="7">
        <v>1125.92</v>
      </c>
      <c r="H222" s="7">
        <v>277.63</v>
      </c>
      <c r="I222" s="7">
        <v>1346.37</v>
      </c>
      <c r="J222" s="7">
        <v>5715.3</v>
      </c>
      <c r="K222" s="7">
        <v>1932.75</v>
      </c>
      <c r="L222" s="7">
        <v>3409.3</v>
      </c>
      <c r="M222" s="7">
        <v>3050.4</v>
      </c>
      <c r="N222" s="8">
        <v>900.38</v>
      </c>
    </row>
    <row r="223" spans="2:14" hidden="1" outlineLevel="1" x14ac:dyDescent="0.3">
      <c r="B223" s="4">
        <v>44605</v>
      </c>
      <c r="C223" s="7">
        <v>17276.3</v>
      </c>
      <c r="D223" s="7">
        <v>34483.1</v>
      </c>
      <c r="E223" s="7">
        <v>3643.35</v>
      </c>
      <c r="F223" s="7">
        <v>1697.38</v>
      </c>
      <c r="G223" s="7">
        <v>1161.0999999999999</v>
      </c>
      <c r="H223" s="7">
        <v>281.23</v>
      </c>
      <c r="I223" s="7">
        <v>1393.12</v>
      </c>
      <c r="J223" s="7">
        <v>5860.65</v>
      </c>
      <c r="K223" s="7">
        <v>1925.14</v>
      </c>
      <c r="L223" s="7">
        <v>3602.45</v>
      </c>
      <c r="M223" s="7">
        <v>3021.95</v>
      </c>
      <c r="N223" s="8">
        <v>864.09</v>
      </c>
    </row>
    <row r="224" spans="2:14" hidden="1" outlineLevel="1" x14ac:dyDescent="0.3">
      <c r="B224" s="4">
        <v>44598</v>
      </c>
      <c r="C224" s="7">
        <v>17374.75</v>
      </c>
      <c r="D224" s="7">
        <v>34379.050000000003</v>
      </c>
      <c r="E224" s="7">
        <v>3548.32</v>
      </c>
      <c r="F224" s="7">
        <v>1711.7</v>
      </c>
      <c r="G224" s="7">
        <v>1159.8</v>
      </c>
      <c r="H224" s="7">
        <v>280.73</v>
      </c>
      <c r="I224" s="7">
        <v>1380.48</v>
      </c>
      <c r="J224" s="7">
        <v>5999.85</v>
      </c>
      <c r="K224" s="7">
        <v>2093.71</v>
      </c>
      <c r="L224" s="7">
        <v>3671.85</v>
      </c>
      <c r="M224" s="7">
        <v>3001.55</v>
      </c>
      <c r="N224" s="8">
        <v>908.32</v>
      </c>
    </row>
    <row r="225" spans="2:14" hidden="1" outlineLevel="1" x14ac:dyDescent="0.3">
      <c r="B225" s="4">
        <v>44591</v>
      </c>
      <c r="C225" s="7">
        <v>17516.3</v>
      </c>
      <c r="D225" s="7">
        <v>35080.1</v>
      </c>
      <c r="E225" s="7">
        <v>3663.51</v>
      </c>
      <c r="F225" s="7">
        <v>1731.34</v>
      </c>
      <c r="G225" s="7">
        <v>1159.9000000000001</v>
      </c>
      <c r="H225" s="7">
        <v>285.88</v>
      </c>
      <c r="I225" s="7">
        <v>1403.05</v>
      </c>
      <c r="J225" s="7">
        <v>6282</v>
      </c>
      <c r="K225" s="7">
        <v>2143.6</v>
      </c>
      <c r="L225" s="7">
        <v>3625.25</v>
      </c>
      <c r="M225" s="7">
        <v>3051.85</v>
      </c>
      <c r="N225" s="8">
        <v>939.02</v>
      </c>
    </row>
    <row r="226" spans="2:14" hidden="1" outlineLevel="1" x14ac:dyDescent="0.3">
      <c r="B226" s="4">
        <v>44584</v>
      </c>
      <c r="C226" s="7">
        <v>17101.95</v>
      </c>
      <c r="D226" s="7">
        <v>33851.949999999997</v>
      </c>
      <c r="E226" s="7">
        <v>3543.62</v>
      </c>
      <c r="F226" s="7">
        <v>1676.75</v>
      </c>
      <c r="G226" s="7">
        <v>1076.83</v>
      </c>
      <c r="H226" s="7">
        <v>276.08</v>
      </c>
      <c r="I226" s="7">
        <v>1366.67</v>
      </c>
      <c r="J226" s="7">
        <v>5911.55</v>
      </c>
      <c r="K226" s="7">
        <v>2138.9899999999998</v>
      </c>
      <c r="L226" s="7">
        <v>3414.2</v>
      </c>
      <c r="M226" s="7">
        <v>3039.3</v>
      </c>
      <c r="N226" s="8">
        <v>942.65</v>
      </c>
    </row>
    <row r="227" spans="2:14" hidden="1" outlineLevel="1" x14ac:dyDescent="0.3">
      <c r="B227" s="4">
        <v>44577</v>
      </c>
      <c r="C227" s="7">
        <v>17617.150000000001</v>
      </c>
      <c r="D227" s="7">
        <v>36054.6</v>
      </c>
      <c r="E227" s="7">
        <v>3681.38</v>
      </c>
      <c r="F227" s="7">
        <v>1775.69</v>
      </c>
      <c r="G227" s="7">
        <v>1164.04</v>
      </c>
      <c r="H227" s="7">
        <v>302.52</v>
      </c>
      <c r="I227" s="7">
        <v>1543.87</v>
      </c>
      <c r="J227" s="7">
        <v>6393.8</v>
      </c>
      <c r="K227" s="7">
        <v>2146.27</v>
      </c>
      <c r="L227" s="7">
        <v>3674.15</v>
      </c>
      <c r="M227" s="7">
        <v>3024.6</v>
      </c>
      <c r="N227" s="8">
        <v>1040.07</v>
      </c>
    </row>
    <row r="228" spans="2:14" hidden="1" outlineLevel="1" x14ac:dyDescent="0.3">
      <c r="B228" s="4">
        <v>44570</v>
      </c>
      <c r="C228" s="7">
        <v>18255.75</v>
      </c>
      <c r="D228" s="7">
        <v>38826.85</v>
      </c>
      <c r="E228" s="7">
        <v>3810.68</v>
      </c>
      <c r="F228" s="7">
        <v>1918.54</v>
      </c>
      <c r="G228" s="7">
        <v>1332.72</v>
      </c>
      <c r="H228" s="7">
        <v>319.89999999999998</v>
      </c>
      <c r="I228" s="7">
        <v>1683.57</v>
      </c>
      <c r="J228" s="7">
        <v>7078.35</v>
      </c>
      <c r="K228" s="7">
        <v>2218.09</v>
      </c>
      <c r="L228" s="7">
        <v>4098</v>
      </c>
      <c r="M228" s="7">
        <v>3263.7</v>
      </c>
      <c r="N228" s="8">
        <v>1137.71</v>
      </c>
    </row>
    <row r="229" spans="2:14" hidden="1" outlineLevel="1" x14ac:dyDescent="0.3">
      <c r="B229" s="4">
        <v>44563</v>
      </c>
      <c r="C229" s="7">
        <v>17812.7</v>
      </c>
      <c r="D229" s="7">
        <v>38139.85</v>
      </c>
      <c r="E229" s="7">
        <v>3700.58</v>
      </c>
      <c r="F229" s="7">
        <v>1804.13</v>
      </c>
      <c r="G229" s="7">
        <v>1286.23</v>
      </c>
      <c r="H229" s="7">
        <v>355.75</v>
      </c>
      <c r="I229" s="7">
        <v>1650.73</v>
      </c>
      <c r="J229" s="7">
        <v>7205.45</v>
      </c>
      <c r="K229" s="7">
        <v>2267.7600000000002</v>
      </c>
      <c r="L229" s="7">
        <v>4000.3</v>
      </c>
      <c r="M229" s="7">
        <v>3240.2</v>
      </c>
      <c r="N229" s="8">
        <v>1151.24</v>
      </c>
    </row>
    <row r="230" spans="2:14" hidden="1" outlineLevel="1" x14ac:dyDescent="0.3">
      <c r="B230" s="4">
        <v>44556</v>
      </c>
      <c r="C230" s="7">
        <v>17354.05</v>
      </c>
      <c r="D230" s="7">
        <v>38701.050000000003</v>
      </c>
      <c r="E230" s="7">
        <v>3590</v>
      </c>
      <c r="F230" s="7">
        <v>1877.17</v>
      </c>
      <c r="G230" s="7">
        <v>1314.68</v>
      </c>
      <c r="H230" s="7">
        <v>357.67</v>
      </c>
      <c r="I230" s="7">
        <v>1734.73</v>
      </c>
      <c r="J230" s="7">
        <v>7332</v>
      </c>
      <c r="K230" s="7">
        <v>2447.0100000000002</v>
      </c>
      <c r="L230" s="7">
        <v>3961.2</v>
      </c>
      <c r="M230" s="7">
        <v>3396.7</v>
      </c>
      <c r="N230" s="8">
        <v>1178.07</v>
      </c>
    </row>
    <row r="231" spans="2:14" hidden="1" outlineLevel="1" x14ac:dyDescent="0.3">
      <c r="B231" s="4">
        <v>44549</v>
      </c>
      <c r="C231" s="7">
        <v>17003.75</v>
      </c>
      <c r="D231" s="7">
        <v>37727.800000000003</v>
      </c>
      <c r="E231" s="7">
        <v>3525.23</v>
      </c>
      <c r="F231" s="7">
        <v>1853.06</v>
      </c>
      <c r="G231" s="7">
        <v>1260.96</v>
      </c>
      <c r="H231" s="7">
        <v>349.23</v>
      </c>
      <c r="I231" s="7">
        <v>1670.06</v>
      </c>
      <c r="J231" s="7">
        <v>7166.55</v>
      </c>
      <c r="K231" s="7">
        <v>2304.16</v>
      </c>
      <c r="L231" s="7">
        <v>3905.65</v>
      </c>
      <c r="M231" s="7">
        <v>3218</v>
      </c>
      <c r="N231" s="8">
        <v>1129.1199999999999</v>
      </c>
    </row>
    <row r="232" spans="2:14" hidden="1" outlineLevel="1" x14ac:dyDescent="0.3">
      <c r="B232" s="4">
        <v>44542</v>
      </c>
      <c r="C232" s="7">
        <v>16985.2</v>
      </c>
      <c r="D232" s="7">
        <v>36647.9</v>
      </c>
      <c r="E232" s="7">
        <v>3442.11</v>
      </c>
      <c r="F232" s="7">
        <v>1810.65</v>
      </c>
      <c r="G232" s="7">
        <v>1167.48</v>
      </c>
      <c r="H232" s="7">
        <v>335.4</v>
      </c>
      <c r="I232" s="7">
        <v>1591.63</v>
      </c>
      <c r="J232" s="7">
        <v>6978.3</v>
      </c>
      <c r="K232" s="7">
        <v>2315.19</v>
      </c>
      <c r="L232" s="7">
        <v>4131.75</v>
      </c>
      <c r="M232" s="7">
        <v>3263.15</v>
      </c>
      <c r="N232" s="8">
        <v>1078.5899999999999</v>
      </c>
    </row>
    <row r="233" spans="2:14" hidden="1" outlineLevel="1" x14ac:dyDescent="0.3">
      <c r="B233" s="4">
        <v>44535</v>
      </c>
      <c r="C233" s="7">
        <v>17511.3</v>
      </c>
      <c r="D233" s="7">
        <v>35939.599999999999</v>
      </c>
      <c r="E233" s="7">
        <v>3492.48</v>
      </c>
      <c r="F233" s="7">
        <v>1749.39</v>
      </c>
      <c r="G233" s="7">
        <v>1158.31</v>
      </c>
      <c r="H233" s="7">
        <v>319.13</v>
      </c>
      <c r="I233" s="7">
        <v>1552.68</v>
      </c>
      <c r="J233" s="7">
        <v>6613.2</v>
      </c>
      <c r="K233" s="7">
        <v>2164.23</v>
      </c>
      <c r="L233" s="7">
        <v>4307.3999999999996</v>
      </c>
      <c r="M233" s="7">
        <v>3133.9</v>
      </c>
      <c r="N233" s="8">
        <v>1063.07</v>
      </c>
    </row>
    <row r="234" spans="2:14" hidden="1" outlineLevel="1" x14ac:dyDescent="0.3">
      <c r="B234" s="4">
        <v>44528</v>
      </c>
      <c r="C234" s="7">
        <v>17196.7</v>
      </c>
      <c r="D234" s="7">
        <v>35848.050000000003</v>
      </c>
      <c r="E234" s="7">
        <v>3495.99</v>
      </c>
      <c r="F234" s="7">
        <v>1725.82</v>
      </c>
      <c r="G234" s="7">
        <v>1167.48</v>
      </c>
      <c r="H234" s="7">
        <v>320.38</v>
      </c>
      <c r="I234" s="7">
        <v>1543.63</v>
      </c>
      <c r="J234" s="7">
        <v>6848.85</v>
      </c>
      <c r="K234" s="7">
        <v>2163.56</v>
      </c>
      <c r="L234" s="7">
        <v>4158.05</v>
      </c>
      <c r="M234" s="7">
        <v>3086.85</v>
      </c>
      <c r="N234" s="8">
        <v>1070.03</v>
      </c>
    </row>
    <row r="235" spans="2:14" hidden="1" outlineLevel="1" x14ac:dyDescent="0.3">
      <c r="B235" s="4">
        <v>44521</v>
      </c>
      <c r="C235" s="7">
        <v>17026.45</v>
      </c>
      <c r="D235" s="7">
        <v>34606.15</v>
      </c>
      <c r="E235" s="7">
        <v>3310.07</v>
      </c>
      <c r="F235" s="7">
        <v>1682.17</v>
      </c>
      <c r="G235" s="7">
        <v>1106.33</v>
      </c>
      <c r="H235" s="7">
        <v>310.73</v>
      </c>
      <c r="I235" s="7">
        <v>1479.78</v>
      </c>
      <c r="J235" s="7">
        <v>6648.3</v>
      </c>
      <c r="K235" s="7">
        <v>1950.43</v>
      </c>
      <c r="L235" s="7">
        <v>4181.8</v>
      </c>
      <c r="M235" s="7">
        <v>3059.2</v>
      </c>
      <c r="N235" s="8">
        <v>1053.53</v>
      </c>
    </row>
    <row r="236" spans="2:14" hidden="1" outlineLevel="1" x14ac:dyDescent="0.3">
      <c r="B236" s="4">
        <v>44514</v>
      </c>
      <c r="C236" s="7">
        <v>17764.8</v>
      </c>
      <c r="D236" s="7">
        <v>36007</v>
      </c>
      <c r="E236" s="7">
        <v>3337.77</v>
      </c>
      <c r="F236" s="7">
        <v>1769.43</v>
      </c>
      <c r="G236" s="7">
        <v>1116.45</v>
      </c>
      <c r="H236" s="7">
        <v>325.73</v>
      </c>
      <c r="I236" s="7">
        <v>1518.87</v>
      </c>
      <c r="J236" s="7">
        <v>7147.65</v>
      </c>
      <c r="K236" s="7">
        <v>2076.34</v>
      </c>
      <c r="L236" s="7">
        <v>4375.7</v>
      </c>
      <c r="M236" s="7">
        <v>3339.15</v>
      </c>
      <c r="N236" s="8">
        <v>1114.42</v>
      </c>
    </row>
    <row r="237" spans="2:14" hidden="1" outlineLevel="1" x14ac:dyDescent="0.3">
      <c r="B237" s="4">
        <v>44507</v>
      </c>
      <c r="C237" s="7">
        <v>18102.75</v>
      </c>
      <c r="D237" s="7">
        <v>36332.300000000003</v>
      </c>
      <c r="E237" s="7">
        <v>3386.13</v>
      </c>
      <c r="F237" s="7">
        <v>1770.22</v>
      </c>
      <c r="G237" s="7">
        <v>1168.43</v>
      </c>
      <c r="H237" s="7">
        <v>330.02</v>
      </c>
      <c r="I237" s="7">
        <v>1535.58</v>
      </c>
      <c r="J237" s="7">
        <v>7243.25</v>
      </c>
      <c r="K237" s="7">
        <v>2069.11</v>
      </c>
      <c r="L237" s="7">
        <v>4450.3</v>
      </c>
      <c r="M237" s="7">
        <v>3353.4</v>
      </c>
      <c r="N237" s="8">
        <v>1083.5999999999999</v>
      </c>
    </row>
    <row r="238" spans="2:14" hidden="1" outlineLevel="1" x14ac:dyDescent="0.3">
      <c r="B238" s="4">
        <v>44500</v>
      </c>
      <c r="C238" s="7">
        <v>17916.8</v>
      </c>
      <c r="D238" s="7">
        <v>35334.25</v>
      </c>
      <c r="E238" s="7">
        <v>3369.42</v>
      </c>
      <c r="F238" s="7">
        <v>1699.12</v>
      </c>
      <c r="G238" s="7">
        <v>1179.1400000000001</v>
      </c>
      <c r="H238" s="7">
        <v>326.85000000000002</v>
      </c>
      <c r="I238" s="7">
        <v>1458.9</v>
      </c>
      <c r="J238" s="7">
        <v>6765</v>
      </c>
      <c r="K238" s="7">
        <v>2020.41</v>
      </c>
      <c r="L238" s="7">
        <v>4427.05</v>
      </c>
      <c r="M238" s="7">
        <v>3316.6</v>
      </c>
      <c r="N238" s="8">
        <v>1016.28</v>
      </c>
    </row>
    <row r="239" spans="2:14" hidden="1" outlineLevel="1" x14ac:dyDescent="0.3">
      <c r="B239" s="4">
        <v>44493</v>
      </c>
      <c r="C239" s="7">
        <v>17671.650000000001</v>
      </c>
      <c r="D239" s="7">
        <v>34408.75</v>
      </c>
      <c r="E239" s="7">
        <v>3262.92</v>
      </c>
      <c r="F239" s="7">
        <v>1658.4</v>
      </c>
      <c r="G239" s="7">
        <v>1139.92</v>
      </c>
      <c r="H239" s="7">
        <v>323.38</v>
      </c>
      <c r="I239" s="7">
        <v>1417.67</v>
      </c>
      <c r="J239" s="7">
        <v>6682.3</v>
      </c>
      <c r="K239" s="7">
        <v>1957.72</v>
      </c>
      <c r="L239" s="7">
        <v>4424.5</v>
      </c>
      <c r="M239" s="7">
        <v>3235.8</v>
      </c>
      <c r="N239" s="8">
        <v>974.09</v>
      </c>
    </row>
    <row r="240" spans="2:14" hidden="1" outlineLevel="1" x14ac:dyDescent="0.3">
      <c r="B240" s="4">
        <v>44486</v>
      </c>
      <c r="C240" s="7">
        <v>18114.900000000001</v>
      </c>
      <c r="D240" s="7">
        <v>35394.65</v>
      </c>
      <c r="E240" s="7">
        <v>3360</v>
      </c>
      <c r="F240" s="7">
        <v>1710.16</v>
      </c>
      <c r="G240" s="7">
        <v>1190</v>
      </c>
      <c r="H240" s="7">
        <v>341.2</v>
      </c>
      <c r="I240" s="7">
        <v>1455.65</v>
      </c>
      <c r="J240" s="7">
        <v>6543.5</v>
      </c>
      <c r="K240" s="7">
        <v>1931.87</v>
      </c>
      <c r="L240" s="7">
        <v>4548.8</v>
      </c>
      <c r="M240" s="7">
        <v>3254.7</v>
      </c>
      <c r="N240" s="8">
        <v>1079.5</v>
      </c>
    </row>
    <row r="241" spans="2:14" hidden="1" outlineLevel="1" x14ac:dyDescent="0.3">
      <c r="B241" s="4">
        <v>44479</v>
      </c>
      <c r="C241" s="7">
        <v>18338.55</v>
      </c>
      <c r="D241" s="7">
        <v>35744.85</v>
      </c>
      <c r="E241" s="7">
        <v>3468.14</v>
      </c>
      <c r="F241" s="7">
        <v>1706.14</v>
      </c>
      <c r="G241" s="7">
        <v>1246.96</v>
      </c>
      <c r="H241" s="7">
        <v>354.13</v>
      </c>
      <c r="I241" s="7">
        <v>1372.53</v>
      </c>
      <c r="J241" s="7">
        <v>6098.9</v>
      </c>
      <c r="K241" s="7">
        <v>2101.56</v>
      </c>
      <c r="L241" s="7">
        <v>4777.7</v>
      </c>
      <c r="M241" s="7">
        <v>3266.6</v>
      </c>
      <c r="N241" s="8">
        <v>1120.82</v>
      </c>
    </row>
    <row r="242" spans="2:14" hidden="1" outlineLevel="1" x14ac:dyDescent="0.3">
      <c r="B242" s="4">
        <v>44472</v>
      </c>
      <c r="C242" s="7">
        <v>17895.2</v>
      </c>
      <c r="D242" s="7">
        <v>36402</v>
      </c>
      <c r="E242" s="7">
        <v>3779.47</v>
      </c>
      <c r="F242" s="7">
        <v>1714.19</v>
      </c>
      <c r="G242" s="7">
        <v>1317.72</v>
      </c>
      <c r="H242" s="7">
        <v>330.58</v>
      </c>
      <c r="I242" s="7">
        <v>1381.31</v>
      </c>
      <c r="J242" s="7">
        <v>5983.55</v>
      </c>
      <c r="K242" s="7">
        <v>2002.03</v>
      </c>
      <c r="L242" s="7">
        <v>4789.6499999999996</v>
      </c>
      <c r="M242" s="7">
        <v>3247.65</v>
      </c>
      <c r="N242" s="8">
        <v>1129.17</v>
      </c>
    </row>
    <row r="243" spans="2:14" hidden="1" outlineLevel="1" x14ac:dyDescent="0.3">
      <c r="B243" s="4">
        <v>44465</v>
      </c>
      <c r="C243" s="7">
        <v>17532.05</v>
      </c>
      <c r="D243" s="7">
        <v>34780.6</v>
      </c>
      <c r="E243" s="7">
        <v>3582.18</v>
      </c>
      <c r="F243" s="7">
        <v>1655.82</v>
      </c>
      <c r="G243" s="7">
        <v>1269.48</v>
      </c>
      <c r="H243" s="7">
        <v>318.13</v>
      </c>
      <c r="I243" s="7">
        <v>1315.41</v>
      </c>
      <c r="J243" s="7">
        <v>5750.8</v>
      </c>
      <c r="K243" s="7">
        <v>1817.79</v>
      </c>
      <c r="L243" s="7">
        <v>4512.25</v>
      </c>
      <c r="M243" s="7">
        <v>3026.25</v>
      </c>
      <c r="N243" s="8">
        <v>1055.9000000000001</v>
      </c>
    </row>
    <row r="244" spans="2:14" hidden="1" outlineLevel="1" x14ac:dyDescent="0.3">
      <c r="B244" s="4">
        <v>44458</v>
      </c>
      <c r="C244" s="7">
        <v>17853.2</v>
      </c>
      <c r="D244" s="7">
        <v>37103.25</v>
      </c>
      <c r="E244" s="7">
        <v>3717.68</v>
      </c>
      <c r="F244" s="7">
        <v>1753.96</v>
      </c>
      <c r="G244" s="7">
        <v>1353.65</v>
      </c>
      <c r="H244" s="7">
        <v>338.25</v>
      </c>
      <c r="I244" s="7">
        <v>1453.06</v>
      </c>
      <c r="J244" s="7">
        <v>6231.35</v>
      </c>
      <c r="K244" s="7">
        <v>1873.25</v>
      </c>
      <c r="L244" s="7">
        <v>4710.3999999999996</v>
      </c>
      <c r="M244" s="7">
        <v>3342.35</v>
      </c>
      <c r="N244" s="8">
        <v>1129.8</v>
      </c>
    </row>
    <row r="245" spans="2:14" hidden="1" outlineLevel="1" x14ac:dyDescent="0.3">
      <c r="B245" s="4">
        <v>44451</v>
      </c>
      <c r="C245" s="7">
        <v>17585.150000000001</v>
      </c>
      <c r="D245" s="7">
        <v>35646.5</v>
      </c>
      <c r="E245" s="7">
        <v>3675.95</v>
      </c>
      <c r="F245" s="7">
        <v>1681.82</v>
      </c>
      <c r="G245" s="7">
        <v>1259.07</v>
      </c>
      <c r="H245" s="7">
        <v>332.63</v>
      </c>
      <c r="I245" s="7">
        <v>1392.44</v>
      </c>
      <c r="J245" s="7">
        <v>5715.25</v>
      </c>
      <c r="K245" s="7">
        <v>1765.27</v>
      </c>
      <c r="L245" s="7">
        <v>4790.8</v>
      </c>
      <c r="M245" s="7">
        <v>3194.1</v>
      </c>
      <c r="N245" s="8">
        <v>1088.94</v>
      </c>
    </row>
    <row r="246" spans="2:14" hidden="1" outlineLevel="1" x14ac:dyDescent="0.3">
      <c r="B246" s="4">
        <v>44444</v>
      </c>
      <c r="C246" s="7">
        <v>17369.25</v>
      </c>
      <c r="D246" s="7">
        <v>34802.300000000003</v>
      </c>
      <c r="E246" s="7">
        <v>3640.95</v>
      </c>
      <c r="F246" s="7">
        <v>1682.12</v>
      </c>
      <c r="G246" s="7">
        <v>1194.54</v>
      </c>
      <c r="H246" s="7">
        <v>331.17</v>
      </c>
      <c r="I246" s="7">
        <v>1374.88</v>
      </c>
      <c r="J246" s="7">
        <v>5434.55</v>
      </c>
      <c r="K246" s="7">
        <v>1744.07</v>
      </c>
      <c r="L246" s="7">
        <v>4767.55</v>
      </c>
      <c r="M246" s="7">
        <v>2966.55</v>
      </c>
      <c r="N246" s="8">
        <v>1022.99</v>
      </c>
    </row>
    <row r="247" spans="2:14" hidden="1" outlineLevel="1" x14ac:dyDescent="0.3">
      <c r="B247" s="4">
        <v>44437</v>
      </c>
      <c r="C247" s="7">
        <v>17323.599999999999</v>
      </c>
      <c r="D247" s="7">
        <v>34891.199999999997</v>
      </c>
      <c r="E247" s="7">
        <v>3689.59</v>
      </c>
      <c r="F247" s="7">
        <v>1691.12</v>
      </c>
      <c r="G247" s="7">
        <v>1170.82</v>
      </c>
      <c r="H247" s="7">
        <v>327.55</v>
      </c>
      <c r="I247" s="7">
        <v>1383.23</v>
      </c>
      <c r="J247" s="7">
        <v>5461.25</v>
      </c>
      <c r="K247" s="7">
        <v>1717.05</v>
      </c>
      <c r="L247" s="7">
        <v>4749</v>
      </c>
      <c r="M247" s="7">
        <v>2925.62</v>
      </c>
      <c r="N247" s="8">
        <v>1048.6500000000001</v>
      </c>
    </row>
    <row r="248" spans="2:14" hidden="1" outlineLevel="1" x14ac:dyDescent="0.3">
      <c r="B248" s="4">
        <v>44430</v>
      </c>
      <c r="C248" s="7">
        <v>16705.2</v>
      </c>
      <c r="D248" s="7">
        <v>34309.800000000003</v>
      </c>
      <c r="E248" s="7">
        <v>3572.52</v>
      </c>
      <c r="F248" s="7">
        <v>1699.22</v>
      </c>
      <c r="G248" s="7">
        <v>1159.06</v>
      </c>
      <c r="H248" s="7">
        <v>317.48</v>
      </c>
      <c r="I248" s="7">
        <v>1386.54</v>
      </c>
      <c r="J248" s="7">
        <v>5233.6000000000004</v>
      </c>
      <c r="K248" s="7">
        <v>1623.32</v>
      </c>
      <c r="L248" s="7">
        <v>4763.55</v>
      </c>
      <c r="M248" s="7">
        <v>2868.69</v>
      </c>
      <c r="N248" s="8">
        <v>1015.4</v>
      </c>
    </row>
    <row r="249" spans="2:14" hidden="1" outlineLevel="1" x14ac:dyDescent="0.3">
      <c r="B249" s="4">
        <v>44423</v>
      </c>
      <c r="C249" s="7">
        <v>16450.5</v>
      </c>
      <c r="D249" s="7">
        <v>33351.35</v>
      </c>
      <c r="E249" s="7">
        <v>3418.25</v>
      </c>
      <c r="F249" s="7">
        <v>1723.24</v>
      </c>
      <c r="G249" s="7">
        <v>1113.6099999999999</v>
      </c>
      <c r="H249" s="7">
        <v>310.02</v>
      </c>
      <c r="I249" s="7">
        <v>1342.22</v>
      </c>
      <c r="J249" s="7">
        <v>4918.25</v>
      </c>
      <c r="K249" s="7">
        <v>1587.5</v>
      </c>
      <c r="L249" s="7">
        <v>4438.95</v>
      </c>
      <c r="M249" s="7">
        <v>2822.31</v>
      </c>
      <c r="N249" s="8">
        <v>981.34</v>
      </c>
    </row>
    <row r="250" spans="2:14" hidden="1" outlineLevel="1" x14ac:dyDescent="0.3">
      <c r="B250" s="4">
        <v>44416</v>
      </c>
      <c r="C250" s="7">
        <v>16529.099999999999</v>
      </c>
      <c r="D250" s="7">
        <v>32678.799999999999</v>
      </c>
      <c r="E250" s="7">
        <v>3325.96</v>
      </c>
      <c r="F250" s="7">
        <v>1702.6</v>
      </c>
      <c r="G250" s="7">
        <v>1115.7</v>
      </c>
      <c r="H250" s="7">
        <v>307.75</v>
      </c>
      <c r="I250" s="7">
        <v>1326.82</v>
      </c>
      <c r="J250" s="7">
        <v>4862.5</v>
      </c>
      <c r="K250" s="7">
        <v>1558.94</v>
      </c>
      <c r="L250" s="7">
        <v>4618.45</v>
      </c>
      <c r="M250" s="7">
        <v>2729.01</v>
      </c>
      <c r="N250" s="8">
        <v>962.29</v>
      </c>
    </row>
    <row r="251" spans="2:14" hidden="1" outlineLevel="1" x14ac:dyDescent="0.3">
      <c r="B251" s="4">
        <v>44409</v>
      </c>
      <c r="C251" s="7">
        <v>16238.2</v>
      </c>
      <c r="D251" s="7">
        <v>31303.3</v>
      </c>
      <c r="E251" s="7">
        <v>3178.46</v>
      </c>
      <c r="F251" s="7">
        <v>1640.95</v>
      </c>
      <c r="G251" s="7">
        <v>1046.44</v>
      </c>
      <c r="H251" s="7">
        <v>299</v>
      </c>
      <c r="I251" s="7">
        <v>1213.0999999999999</v>
      </c>
      <c r="J251" s="7">
        <v>4762.55</v>
      </c>
      <c r="K251" s="7">
        <v>1555.92</v>
      </c>
      <c r="L251" s="7">
        <v>4419.8</v>
      </c>
      <c r="M251" s="7">
        <v>2670.35</v>
      </c>
      <c r="N251" s="8">
        <v>957.93</v>
      </c>
    </row>
    <row r="252" spans="2:14" hidden="1" outlineLevel="1" x14ac:dyDescent="0.3">
      <c r="B252" s="4">
        <v>44402</v>
      </c>
      <c r="C252" s="7">
        <v>15763.05</v>
      </c>
      <c r="D252" s="7">
        <v>30480.05</v>
      </c>
      <c r="E252" s="7">
        <v>3041.76</v>
      </c>
      <c r="F252" s="7">
        <v>1601.47</v>
      </c>
      <c r="G252" s="7">
        <v>1021.52</v>
      </c>
      <c r="H252" s="7">
        <v>293.58</v>
      </c>
      <c r="I252" s="7">
        <v>1160.29</v>
      </c>
      <c r="J252" s="7">
        <v>4684.3500000000004</v>
      </c>
      <c r="K252" s="7">
        <v>1568.29</v>
      </c>
      <c r="L252" s="7">
        <v>4315.45</v>
      </c>
      <c r="M252" s="7">
        <v>2576.3000000000002</v>
      </c>
      <c r="N252" s="8">
        <v>1016.78</v>
      </c>
    </row>
    <row r="253" spans="2:14" hidden="1" outlineLevel="1" x14ac:dyDescent="0.3">
      <c r="B253" s="4">
        <v>44395</v>
      </c>
      <c r="C253" s="7">
        <v>15856.05</v>
      </c>
      <c r="D253" s="7">
        <v>29894.3</v>
      </c>
      <c r="E253" s="7">
        <v>3085.35</v>
      </c>
      <c r="F253" s="7">
        <v>1581.54</v>
      </c>
      <c r="G253" s="7">
        <v>990.67</v>
      </c>
      <c r="H253" s="7">
        <v>299.58</v>
      </c>
      <c r="I253" s="7">
        <v>1084.94</v>
      </c>
      <c r="J253" s="7">
        <v>4351.8</v>
      </c>
      <c r="K253" s="7">
        <v>1516.38</v>
      </c>
      <c r="L253" s="7">
        <v>4012.1</v>
      </c>
      <c r="M253" s="7">
        <v>2507.33</v>
      </c>
      <c r="N253" s="8">
        <v>937.69</v>
      </c>
    </row>
    <row r="254" spans="2:14" hidden="1" outlineLevel="1" x14ac:dyDescent="0.3">
      <c r="B254" s="4">
        <v>44388</v>
      </c>
      <c r="C254" s="7">
        <v>15923.4</v>
      </c>
      <c r="D254" s="7">
        <v>29400.25</v>
      </c>
      <c r="E254" s="7">
        <v>3068.02</v>
      </c>
      <c r="F254" s="7">
        <v>1546.73</v>
      </c>
      <c r="G254" s="7">
        <v>1001.64</v>
      </c>
      <c r="H254" s="7">
        <v>288.88</v>
      </c>
      <c r="I254" s="7">
        <v>1044.4100000000001</v>
      </c>
      <c r="J254" s="7">
        <v>4279.3599999999997</v>
      </c>
      <c r="K254" s="7">
        <v>1417.86</v>
      </c>
      <c r="L254" s="7">
        <v>4019.4</v>
      </c>
      <c r="M254" s="7">
        <v>2368.64</v>
      </c>
      <c r="N254" s="8">
        <v>909.55</v>
      </c>
    </row>
    <row r="255" spans="2:14" hidden="1" outlineLevel="1" x14ac:dyDescent="0.3">
      <c r="B255" s="4">
        <v>44381</v>
      </c>
      <c r="C255" s="7">
        <v>15689.8</v>
      </c>
      <c r="D255" s="7">
        <v>28662.2</v>
      </c>
      <c r="E255" s="7">
        <v>3080.84</v>
      </c>
      <c r="F255" s="7">
        <v>1554.14</v>
      </c>
      <c r="G255" s="7">
        <v>973.58</v>
      </c>
      <c r="H255" s="7">
        <v>262.89999999999998</v>
      </c>
      <c r="I255" s="7">
        <v>995.74</v>
      </c>
      <c r="J255" s="7">
        <v>4045.36</v>
      </c>
      <c r="K255" s="7">
        <v>1384.63</v>
      </c>
      <c r="L255" s="7">
        <v>3943.95</v>
      </c>
      <c r="M255" s="7">
        <v>2209.19</v>
      </c>
      <c r="N255" s="8">
        <v>871.31</v>
      </c>
    </row>
    <row r="256" spans="2:14" hidden="1" outlineLevel="1" x14ac:dyDescent="0.3">
      <c r="B256" s="4">
        <v>44374</v>
      </c>
      <c r="C256" s="7">
        <v>15722.2</v>
      </c>
      <c r="D256" s="7">
        <v>29007.95</v>
      </c>
      <c r="E256" s="7">
        <v>3193.49</v>
      </c>
      <c r="F256" s="7">
        <v>1559.01</v>
      </c>
      <c r="G256" s="7">
        <v>981.35</v>
      </c>
      <c r="H256" s="7">
        <v>269.3</v>
      </c>
      <c r="I256" s="7">
        <v>1031.3900000000001</v>
      </c>
      <c r="J256" s="7">
        <v>4034.14</v>
      </c>
      <c r="K256" s="7">
        <v>1461.67</v>
      </c>
      <c r="L256" s="7">
        <v>3624.3</v>
      </c>
      <c r="M256" s="7">
        <v>2135.5100000000002</v>
      </c>
      <c r="N256" s="8">
        <v>839.39</v>
      </c>
    </row>
    <row r="257" spans="2:14" hidden="1" outlineLevel="1" x14ac:dyDescent="0.3">
      <c r="B257" s="4">
        <v>44367</v>
      </c>
      <c r="C257" s="7">
        <v>15860.35</v>
      </c>
      <c r="D257" s="7">
        <v>29210.55</v>
      </c>
      <c r="E257" s="7">
        <v>3246.64</v>
      </c>
      <c r="F257" s="7">
        <v>1565.38</v>
      </c>
      <c r="G257" s="7">
        <v>992.32</v>
      </c>
      <c r="H257" s="7">
        <v>273.75</v>
      </c>
      <c r="I257" s="7">
        <v>1031.48</v>
      </c>
      <c r="J257" s="7">
        <v>4206.37</v>
      </c>
      <c r="K257" s="7">
        <v>1307.77</v>
      </c>
      <c r="L257" s="7">
        <v>3633.05</v>
      </c>
      <c r="M257" s="7">
        <v>2048.5100000000002</v>
      </c>
      <c r="N257" s="8">
        <v>819.54</v>
      </c>
    </row>
    <row r="258" spans="2:14" hidden="1" outlineLevel="1" x14ac:dyDescent="0.3">
      <c r="B258" s="4">
        <v>44360</v>
      </c>
      <c r="C258" s="7">
        <v>15683.35</v>
      </c>
      <c r="D258" s="7">
        <v>28445.599999999999</v>
      </c>
      <c r="E258" s="7">
        <v>3166.45</v>
      </c>
      <c r="F258" s="7">
        <v>1494.88</v>
      </c>
      <c r="G258" s="7">
        <v>971.98</v>
      </c>
      <c r="H258" s="7">
        <v>274.89999999999998</v>
      </c>
      <c r="I258" s="7">
        <v>1013.68</v>
      </c>
      <c r="J258" s="7">
        <v>4063.72</v>
      </c>
      <c r="K258" s="7">
        <v>1267.32</v>
      </c>
      <c r="L258" s="7">
        <v>3536.4</v>
      </c>
      <c r="M258" s="7">
        <v>2014.52</v>
      </c>
      <c r="N258" s="8">
        <v>794.21</v>
      </c>
    </row>
    <row r="259" spans="2:14" hidden="1" outlineLevel="1" x14ac:dyDescent="0.3">
      <c r="B259" s="4">
        <v>44353</v>
      </c>
      <c r="C259" s="7">
        <v>15799.35</v>
      </c>
      <c r="D259" s="7">
        <v>28217.5</v>
      </c>
      <c r="E259" s="7">
        <v>3143.89</v>
      </c>
      <c r="F259" s="7">
        <v>1438.79</v>
      </c>
      <c r="G259" s="7">
        <v>980.06</v>
      </c>
      <c r="H259" s="7">
        <v>277.14999999999998</v>
      </c>
      <c r="I259" s="7">
        <v>1015.86</v>
      </c>
      <c r="J259" s="7">
        <v>4164.8500000000004</v>
      </c>
      <c r="K259" s="7">
        <v>1257.47</v>
      </c>
      <c r="L259" s="7">
        <v>3689.35</v>
      </c>
      <c r="M259" s="7">
        <v>1991.62</v>
      </c>
      <c r="N259" s="8">
        <v>795.79</v>
      </c>
    </row>
    <row r="260" spans="2:14" hidden="1" outlineLevel="1" x14ac:dyDescent="0.3">
      <c r="B260" s="4">
        <v>44346</v>
      </c>
      <c r="C260" s="7">
        <v>15670.25</v>
      </c>
      <c r="D260" s="7">
        <v>26996.75</v>
      </c>
      <c r="E260" s="7">
        <v>3019</v>
      </c>
      <c r="F260" s="7">
        <v>1377.89</v>
      </c>
      <c r="G260" s="7">
        <v>933.41</v>
      </c>
      <c r="H260" s="7">
        <v>270.60000000000002</v>
      </c>
      <c r="I260" s="7">
        <v>964.93</v>
      </c>
      <c r="J260" s="7">
        <v>3848.29</v>
      </c>
      <c r="K260" s="7">
        <v>1228.56</v>
      </c>
      <c r="L260" s="7">
        <v>3514.95</v>
      </c>
      <c r="M260" s="7">
        <v>1892.23</v>
      </c>
      <c r="N260" s="8">
        <v>738.82</v>
      </c>
    </row>
    <row r="261" spans="2:14" hidden="1" outlineLevel="1" x14ac:dyDescent="0.3">
      <c r="B261" s="4">
        <v>44339</v>
      </c>
      <c r="C261" s="7">
        <v>15435.65</v>
      </c>
      <c r="D261" s="7">
        <v>27122.799999999999</v>
      </c>
      <c r="E261" s="7">
        <v>3018.85</v>
      </c>
      <c r="F261" s="7">
        <v>1397.18</v>
      </c>
      <c r="G261" s="7">
        <v>939.39</v>
      </c>
      <c r="H261" s="7">
        <v>269.35000000000002</v>
      </c>
      <c r="I261" s="7">
        <v>971.6</v>
      </c>
      <c r="J261" s="7">
        <v>3921.98</v>
      </c>
      <c r="K261" s="7">
        <v>1238.54</v>
      </c>
      <c r="L261" s="7">
        <v>3525.3</v>
      </c>
      <c r="M261" s="7">
        <v>1918.64</v>
      </c>
      <c r="N261" s="8">
        <v>708.61</v>
      </c>
    </row>
    <row r="262" spans="2:14" hidden="1" outlineLevel="1" x14ac:dyDescent="0.3">
      <c r="B262" s="4">
        <v>44332</v>
      </c>
      <c r="C262" s="7">
        <v>15175.3</v>
      </c>
      <c r="D262" s="7">
        <v>26105.3</v>
      </c>
      <c r="E262" s="7">
        <v>2958.26</v>
      </c>
      <c r="F262" s="7">
        <v>1346.91</v>
      </c>
      <c r="G262" s="7">
        <v>927.53</v>
      </c>
      <c r="H262" s="7">
        <v>256.35000000000002</v>
      </c>
      <c r="I262" s="7">
        <v>928.29</v>
      </c>
      <c r="J262" s="7">
        <v>3647.77</v>
      </c>
      <c r="K262" s="7">
        <v>1192.08</v>
      </c>
      <c r="L262" s="7">
        <v>3659.7</v>
      </c>
      <c r="M262" s="7">
        <v>1769.94</v>
      </c>
      <c r="N262" s="8">
        <v>666.04</v>
      </c>
    </row>
    <row r="263" spans="2:14" hidden="1" outlineLevel="1" x14ac:dyDescent="0.3">
      <c r="B263" s="4">
        <v>44325</v>
      </c>
      <c r="C263" s="7">
        <v>14677.8</v>
      </c>
      <c r="D263" s="7">
        <v>25588.2</v>
      </c>
      <c r="E263" s="7">
        <v>2930.41</v>
      </c>
      <c r="F263" s="7">
        <v>1309.02</v>
      </c>
      <c r="G263" s="7">
        <v>907.3</v>
      </c>
      <c r="H263" s="7">
        <v>249.23</v>
      </c>
      <c r="I263" s="7">
        <v>901.49</v>
      </c>
      <c r="J263" s="7">
        <v>3590.6</v>
      </c>
      <c r="K263" s="7">
        <v>1136.83</v>
      </c>
      <c r="L263" s="7">
        <v>3694.4</v>
      </c>
      <c r="M263" s="7">
        <v>1772.72</v>
      </c>
      <c r="N263" s="8">
        <v>669.91</v>
      </c>
    </row>
    <row r="264" spans="2:14" hidden="1" outlineLevel="1" x14ac:dyDescent="0.3">
      <c r="B264" s="4">
        <v>44318</v>
      </c>
      <c r="C264" s="7">
        <v>14823.15</v>
      </c>
      <c r="D264" s="7">
        <v>26269.45</v>
      </c>
      <c r="E264" s="7">
        <v>3008.58</v>
      </c>
      <c r="F264" s="7">
        <v>1344.97</v>
      </c>
      <c r="G264" s="7">
        <v>913.33</v>
      </c>
      <c r="H264" s="7">
        <v>257.63</v>
      </c>
      <c r="I264" s="7">
        <v>928.71</v>
      </c>
      <c r="J264" s="7">
        <v>3760.48</v>
      </c>
      <c r="K264" s="7">
        <v>1126.97</v>
      </c>
      <c r="L264" s="7">
        <v>3565.1</v>
      </c>
      <c r="M264" s="7">
        <v>1829.55</v>
      </c>
      <c r="N264" s="8">
        <v>676.15</v>
      </c>
    </row>
    <row r="265" spans="2:14" hidden="1" outlineLevel="1" x14ac:dyDescent="0.3">
      <c r="B265" s="4">
        <v>44311</v>
      </c>
      <c r="C265" s="7">
        <v>14631.1</v>
      </c>
      <c r="D265" s="7">
        <v>25664.45</v>
      </c>
      <c r="E265" s="7">
        <v>2915.19</v>
      </c>
      <c r="F265" s="7">
        <v>1346.76</v>
      </c>
      <c r="G265" s="7">
        <v>895.94</v>
      </c>
      <c r="H265" s="7">
        <v>246.38</v>
      </c>
      <c r="I265" s="7">
        <v>909.26</v>
      </c>
      <c r="J265" s="7">
        <v>3881.87</v>
      </c>
      <c r="K265" s="7">
        <v>1017</v>
      </c>
      <c r="L265" s="7">
        <v>3478.55</v>
      </c>
      <c r="M265" s="7">
        <v>1748.88</v>
      </c>
      <c r="N265" s="8">
        <v>573.80999999999995</v>
      </c>
    </row>
    <row r="266" spans="2:14" hidden="1" outlineLevel="1" x14ac:dyDescent="0.3">
      <c r="B266" s="4">
        <v>44304</v>
      </c>
      <c r="C266" s="7">
        <v>14341.35</v>
      </c>
      <c r="D266" s="7">
        <v>25609.1</v>
      </c>
      <c r="E266" s="7">
        <v>2986.11</v>
      </c>
      <c r="F266" s="7">
        <v>1326.32</v>
      </c>
      <c r="G266" s="7">
        <v>942.14</v>
      </c>
      <c r="H266" s="7">
        <v>237.85</v>
      </c>
      <c r="I266" s="7">
        <v>899.6</v>
      </c>
      <c r="J266" s="7">
        <v>3892.64</v>
      </c>
      <c r="K266" s="7">
        <v>935.53</v>
      </c>
      <c r="L266" s="7">
        <v>3266.95</v>
      </c>
      <c r="M266" s="7">
        <v>1681.2</v>
      </c>
      <c r="N266" s="8">
        <v>570.20000000000005</v>
      </c>
    </row>
    <row r="267" spans="2:14" hidden="1" outlineLevel="1" x14ac:dyDescent="0.3">
      <c r="B267" s="4">
        <v>44297</v>
      </c>
      <c r="C267" s="7">
        <v>14617.85</v>
      </c>
      <c r="D267" s="7">
        <v>26324.9</v>
      </c>
      <c r="E267" s="7">
        <v>3068.36</v>
      </c>
      <c r="F267" s="7">
        <v>1346.16</v>
      </c>
      <c r="G267" s="7">
        <v>998.43</v>
      </c>
      <c r="H267" s="7">
        <v>234.6</v>
      </c>
      <c r="I267" s="7">
        <v>956.5</v>
      </c>
      <c r="J267" s="7">
        <v>4081.09</v>
      </c>
      <c r="K267" s="7">
        <v>978.78</v>
      </c>
      <c r="L267" s="7">
        <v>3366.25</v>
      </c>
      <c r="M267" s="7">
        <v>1692.89</v>
      </c>
      <c r="N267" s="8">
        <v>634.39</v>
      </c>
    </row>
    <row r="268" spans="2:14" hidden="1" outlineLevel="1" x14ac:dyDescent="0.3">
      <c r="B268" s="4">
        <v>44290</v>
      </c>
      <c r="C268" s="7">
        <v>14834.85</v>
      </c>
      <c r="D268" s="7">
        <v>27367.05</v>
      </c>
      <c r="E268" s="7">
        <v>3190.41</v>
      </c>
      <c r="F268" s="7">
        <v>1432.97</v>
      </c>
      <c r="G268" s="7">
        <v>1030.6199999999999</v>
      </c>
      <c r="H268" s="7">
        <v>225.05</v>
      </c>
      <c r="I268" s="7">
        <v>996.93</v>
      </c>
      <c r="J268" s="7">
        <v>4369.16</v>
      </c>
      <c r="K268" s="7">
        <v>1036.31</v>
      </c>
      <c r="L268" s="7">
        <v>3512.2</v>
      </c>
      <c r="M268" s="7">
        <v>1786.19</v>
      </c>
      <c r="N268" s="8">
        <v>633.57000000000005</v>
      </c>
    </row>
    <row r="269" spans="2:14" hidden="1" outlineLevel="1" x14ac:dyDescent="0.3">
      <c r="B269" s="4">
        <v>44283</v>
      </c>
      <c r="C269" s="7">
        <v>14867.35</v>
      </c>
      <c r="D269" s="7">
        <v>25980.400000000001</v>
      </c>
      <c r="E269" s="7">
        <v>3039.4</v>
      </c>
      <c r="F269" s="7">
        <v>1377.44</v>
      </c>
      <c r="G269" s="7">
        <v>988.43</v>
      </c>
      <c r="H269" s="7">
        <v>208.2</v>
      </c>
      <c r="I269" s="7">
        <v>939.32</v>
      </c>
      <c r="J269" s="7">
        <v>4103.9399999999996</v>
      </c>
      <c r="K269" s="7">
        <v>974.57</v>
      </c>
      <c r="L269" s="7">
        <v>3209.1</v>
      </c>
      <c r="M269" s="7">
        <v>1732.04</v>
      </c>
      <c r="N269" s="8">
        <v>586.69000000000005</v>
      </c>
    </row>
    <row r="270" spans="2:14" collapsed="1" x14ac:dyDescent="0.3">
      <c r="B270" s="4">
        <v>44276</v>
      </c>
      <c r="C270" s="7">
        <v>14507.3</v>
      </c>
      <c r="D270" s="7">
        <v>25385.1</v>
      </c>
      <c r="E270" s="7">
        <v>2945.1</v>
      </c>
      <c r="F270" s="7">
        <v>1328.71</v>
      </c>
      <c r="G270" s="7">
        <v>945</v>
      </c>
      <c r="H270" s="7">
        <v>201.95</v>
      </c>
      <c r="I270" s="7">
        <v>938.23</v>
      </c>
      <c r="J270" s="7">
        <v>3938.74</v>
      </c>
      <c r="K270" s="7">
        <v>908.91</v>
      </c>
      <c r="L270" s="7">
        <v>3124.15</v>
      </c>
      <c r="M270" s="7">
        <v>1620.5</v>
      </c>
      <c r="N270" s="8">
        <v>559.21</v>
      </c>
    </row>
    <row r="271" spans="2:14" x14ac:dyDescent="0.3">
      <c r="B271" s="9">
        <v>44269</v>
      </c>
      <c r="C271" s="10">
        <v>14744</v>
      </c>
      <c r="D271" s="10">
        <v>25562.75</v>
      </c>
      <c r="E271" s="10">
        <v>2929.16</v>
      </c>
      <c r="F271" s="10">
        <v>1336.92</v>
      </c>
      <c r="G271" s="10">
        <v>946.87</v>
      </c>
      <c r="H271" s="10">
        <v>205.25</v>
      </c>
      <c r="I271" s="10">
        <v>936.76</v>
      </c>
      <c r="J271" s="10">
        <v>4066.32</v>
      </c>
      <c r="K271" s="10">
        <v>969.05</v>
      </c>
      <c r="L271" s="10">
        <v>3205.15</v>
      </c>
      <c r="M271" s="10">
        <v>1651.27</v>
      </c>
      <c r="N271" s="11">
        <v>593.35</v>
      </c>
    </row>
    <row r="272" spans="2:14" x14ac:dyDescent="0.3">
      <c r="B272" s="44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 spans="2:14" x14ac:dyDescent="0.3">
      <c r="B273" s="45" t="s">
        <v>55</v>
      </c>
      <c r="C273" s="54">
        <f>YEARFRAC(B271,B11,1)</f>
        <v>4.9840255591054312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 spans="2:14" x14ac:dyDescent="0.3">
      <c r="B274" s="45" t="s">
        <v>54</v>
      </c>
      <c r="C274" s="56"/>
      <c r="D274" s="7"/>
      <c r="E274" s="55">
        <f>_xlfn.RRI($C$273,E271,E11)</f>
        <v>-3.4337821375831079E-2</v>
      </c>
      <c r="F274" s="55">
        <f t="shared" ref="F274:N274" si="0">_xlfn.RRI($C$273,F271,F11)</f>
        <v>-9.3450633620535406E-3</v>
      </c>
      <c r="G274" s="55">
        <f t="shared" si="0"/>
        <v>7.3856245163801182E-2</v>
      </c>
      <c r="H274" s="55">
        <f t="shared" si="0"/>
        <v>-3.3954170086920588E-3</v>
      </c>
      <c r="I274" s="55">
        <f t="shared" si="0"/>
        <v>7.3536899297620195E-2</v>
      </c>
      <c r="J274" s="55">
        <f t="shared" si="0"/>
        <v>1.004438888341852E-2</v>
      </c>
      <c r="K274" s="55">
        <f t="shared" si="0"/>
        <v>0.37554081970731845</v>
      </c>
      <c r="L274" s="55">
        <f t="shared" si="0"/>
        <v>0.16188371342871566</v>
      </c>
      <c r="M274" s="55">
        <f t="shared" si="0"/>
        <v>5.7121811583288551E-2</v>
      </c>
      <c r="N274" s="55">
        <f t="shared" si="0"/>
        <v>0.13411015663894399</v>
      </c>
    </row>
    <row r="276" spans="2:14" x14ac:dyDescent="0.3">
      <c r="B276" s="15" t="s">
        <v>16</v>
      </c>
    </row>
    <row r="278" spans="2:14" x14ac:dyDescent="0.3">
      <c r="B278" s="61" t="s">
        <v>1</v>
      </c>
      <c r="C278" s="57" t="s">
        <v>4</v>
      </c>
      <c r="D278" s="57" t="s">
        <v>5</v>
      </c>
      <c r="E278" s="57" t="s">
        <v>6</v>
      </c>
      <c r="F278" s="57" t="s">
        <v>7</v>
      </c>
      <c r="G278" s="57" t="s">
        <v>8</v>
      </c>
      <c r="H278" s="57" t="s">
        <v>9</v>
      </c>
      <c r="I278" s="57" t="s">
        <v>10</v>
      </c>
      <c r="J278" s="57" t="s">
        <v>11</v>
      </c>
      <c r="K278" s="57" t="s">
        <v>12</v>
      </c>
      <c r="L278" s="59" t="s">
        <v>13</v>
      </c>
    </row>
    <row r="279" spans="2:14" x14ac:dyDescent="0.3">
      <c r="B279" s="62"/>
      <c r="C279" s="58"/>
      <c r="D279" s="58"/>
      <c r="E279" s="58"/>
      <c r="F279" s="58"/>
      <c r="G279" s="58"/>
      <c r="H279" s="58"/>
      <c r="I279" s="58"/>
      <c r="J279" s="58"/>
      <c r="K279" s="58"/>
      <c r="L279" s="60"/>
    </row>
    <row r="280" spans="2:14" x14ac:dyDescent="0.3">
      <c r="B280" s="4">
        <v>46089</v>
      </c>
      <c r="L280" s="17"/>
    </row>
    <row r="281" spans="2:14" x14ac:dyDescent="0.3">
      <c r="B281" s="4">
        <v>46082</v>
      </c>
      <c r="C281" s="18">
        <f t="shared" ref="C281:C344" si="1">E12/E11-1</f>
        <v>3.9252336448598157E-2</v>
      </c>
      <c r="D281" s="18">
        <f t="shared" ref="D281:L281" si="2">F12/F11-1</f>
        <v>2.5552594450541033E-2</v>
      </c>
      <c r="E281" s="18">
        <f t="shared" si="2"/>
        <v>4.5165111802163427E-3</v>
      </c>
      <c r="F281" s="18">
        <f t="shared" si="2"/>
        <v>-3.1714568880079286E-2</v>
      </c>
      <c r="G281" s="18">
        <f t="shared" si="2"/>
        <v>-1.8737820416728779E-3</v>
      </c>
      <c r="H281" s="18">
        <f t="shared" si="2"/>
        <v>4.2115114646701368E-3</v>
      </c>
      <c r="I281" s="18">
        <f t="shared" si="2"/>
        <v>6.2343351797637947E-3</v>
      </c>
      <c r="J281" s="18">
        <f t="shared" si="2"/>
        <v>-7.7542279004504389E-3</v>
      </c>
      <c r="K281" s="18">
        <f t="shared" si="2"/>
        <v>1.6896235078053268E-2</v>
      </c>
      <c r="L281" s="19">
        <f t="shared" si="2"/>
        <v>4.6714671467146696E-2</v>
      </c>
    </row>
    <row r="282" spans="2:14" x14ac:dyDescent="0.3">
      <c r="B282" s="4">
        <v>46075</v>
      </c>
      <c r="C282" s="18">
        <f t="shared" si="1"/>
        <v>3.1201126055677264E-2</v>
      </c>
      <c r="D282" s="18">
        <f t="shared" ref="D282:D345" si="3">F13/F12-1</f>
        <v>-6.3436258025070247E-3</v>
      </c>
      <c r="E282" s="18">
        <f t="shared" ref="E282:E345" si="4">G13/G12-1</f>
        <v>2.3881477113584237E-2</v>
      </c>
      <c r="F282" s="18">
        <f t="shared" ref="F282:F345" si="5">H13/H12-1</f>
        <v>2.8454452405322517E-2</v>
      </c>
      <c r="G282" s="18">
        <f t="shared" ref="G282:G345" si="6">I13/I12-1</f>
        <v>1.9599008785762484E-2</v>
      </c>
      <c r="H282" s="18">
        <f t="shared" ref="H282:H345" si="7">J13/J12-1</f>
        <v>3.9608574091332782E-2</v>
      </c>
      <c r="I282" s="18">
        <f t="shared" ref="I282:I345" si="8">K13/K12-1</f>
        <v>-9.3144950287807893E-3</v>
      </c>
      <c r="J282" s="18">
        <f t="shared" ref="J282:J345" si="9">L13/L12-1</f>
        <v>3.1854718666269655E-2</v>
      </c>
      <c r="K282" s="18">
        <f t="shared" ref="K282:K345" si="10">M13/M12-1</f>
        <v>3.6888206610077523E-2</v>
      </c>
      <c r="L282" s="19">
        <f t="shared" ref="L282:L345" si="11">N13/N12-1</f>
        <v>1.9692148937999754E-2</v>
      </c>
    </row>
    <row r="283" spans="2:14" hidden="1" outlineLevel="1" x14ac:dyDescent="0.3">
      <c r="B283" s="4">
        <v>46068</v>
      </c>
      <c r="C283" s="18">
        <f t="shared" si="1"/>
        <v>1.8503071206491084E-2</v>
      </c>
      <c r="D283" s="18">
        <f t="shared" si="3"/>
        <v>4.0843012075994167E-2</v>
      </c>
      <c r="E283" s="18">
        <f t="shared" si="4"/>
        <v>3.4122813332373436E-2</v>
      </c>
      <c r="F283" s="18">
        <f t="shared" si="5"/>
        <v>4.428742038216571E-2</v>
      </c>
      <c r="G283" s="18">
        <f t="shared" si="6"/>
        <v>7.2985712181470097E-2</v>
      </c>
      <c r="H283" s="18">
        <f t="shared" si="7"/>
        <v>9.5809054235768798E-2</v>
      </c>
      <c r="I283" s="18">
        <f t="shared" si="8"/>
        <v>7.5850412000845191E-2</v>
      </c>
      <c r="J283" s="18">
        <f t="shared" si="9"/>
        <v>-4.176283900750144E-2</v>
      </c>
      <c r="K283" s="18">
        <f t="shared" si="10"/>
        <v>3.365991726540396E-2</v>
      </c>
      <c r="L283" s="19">
        <f t="shared" si="11"/>
        <v>0.13054477989542912</v>
      </c>
    </row>
    <row r="284" spans="2:14" hidden="1" outlineLevel="1" x14ac:dyDescent="0.3">
      <c r="B284" s="4">
        <v>46061</v>
      </c>
      <c r="C284" s="18">
        <f t="shared" si="1"/>
        <v>2.2336385972749895E-3</v>
      </c>
      <c r="D284" s="18">
        <f t="shared" si="3"/>
        <v>1.17499261010936E-2</v>
      </c>
      <c r="E284" s="18">
        <f t="shared" si="4"/>
        <v>1.3017751479289963E-2</v>
      </c>
      <c r="F284" s="18">
        <f t="shared" si="5"/>
        <v>2.0156294672638797E-2</v>
      </c>
      <c r="G284" s="18">
        <f t="shared" si="6"/>
        <v>5.3195140366531612E-2</v>
      </c>
      <c r="H284" s="18">
        <f t="shared" si="7"/>
        <v>4.6221495040392746E-2</v>
      </c>
      <c r="I284" s="18">
        <f t="shared" si="8"/>
        <v>7.6001571091908859E-2</v>
      </c>
      <c r="J284" s="18">
        <f t="shared" si="9"/>
        <v>-5.2691004892735371E-4</v>
      </c>
      <c r="K284" s="18">
        <f t="shared" si="10"/>
        <v>3.5639059735445233E-2</v>
      </c>
      <c r="L284" s="19">
        <f t="shared" si="11"/>
        <v>1.5813814709831453E-2</v>
      </c>
    </row>
    <row r="285" spans="2:14" hidden="1" outlineLevel="1" x14ac:dyDescent="0.3">
      <c r="B285" s="4">
        <v>46054</v>
      </c>
      <c r="C285" s="18">
        <f t="shared" si="1"/>
        <v>9.2637991233935013E-2</v>
      </c>
      <c r="D285" s="18">
        <f t="shared" si="3"/>
        <v>0.10079614345190269</v>
      </c>
      <c r="E285" s="18">
        <f t="shared" si="4"/>
        <v>9.5175920835623984E-2</v>
      </c>
      <c r="F285" s="18">
        <f t="shared" si="5"/>
        <v>7.7677612219160252E-2</v>
      </c>
      <c r="G285" s="18">
        <f t="shared" si="6"/>
        <v>5.5722106360792445E-2</v>
      </c>
      <c r="H285" s="18">
        <f t="shared" si="7"/>
        <v>8.718600332323323E-2</v>
      </c>
      <c r="I285" s="18">
        <f t="shared" si="8"/>
        <v>6.8078116444606707E-2</v>
      </c>
      <c r="J285" s="18">
        <f t="shared" si="9"/>
        <v>9.4140683837927508E-2</v>
      </c>
      <c r="K285" s="18">
        <f t="shared" si="10"/>
        <v>6.1869508623494829E-2</v>
      </c>
      <c r="L285" s="19">
        <f t="shared" si="11"/>
        <v>0.13526215303275091</v>
      </c>
    </row>
    <row r="286" spans="2:14" hidden="1" outlineLevel="1" x14ac:dyDescent="0.3">
      <c r="B286" s="4">
        <v>46047</v>
      </c>
      <c r="C286" s="18">
        <f t="shared" si="1"/>
        <v>6.1973075877073791E-2</v>
      </c>
      <c r="D286" s="18">
        <f t="shared" si="3"/>
        <v>8.884612832592409E-2</v>
      </c>
      <c r="E286" s="18">
        <f t="shared" si="4"/>
        <v>6.39392608395557E-2</v>
      </c>
      <c r="F286" s="18">
        <f t="shared" si="5"/>
        <v>2.6785714285714413E-2</v>
      </c>
      <c r="G286" s="18">
        <f t="shared" si="6"/>
        <v>7.6054077412185839E-2</v>
      </c>
      <c r="H286" s="18">
        <f t="shared" si="7"/>
        <v>7.426054122089365E-2</v>
      </c>
      <c r="I286" s="18">
        <f t="shared" si="8"/>
        <v>3.1271360218728672E-2</v>
      </c>
      <c r="J286" s="18">
        <f t="shared" si="9"/>
        <v>6.8281938325991165E-2</v>
      </c>
      <c r="K286" s="18">
        <f t="shared" si="10"/>
        <v>5.6885654089254833E-2</v>
      </c>
      <c r="L286" s="19">
        <f t="shared" si="11"/>
        <v>6.9728331177231428E-2</v>
      </c>
    </row>
    <row r="287" spans="2:14" hidden="1" outlineLevel="1" x14ac:dyDescent="0.3">
      <c r="B287" s="4">
        <v>46040</v>
      </c>
      <c r="C287" s="18">
        <f t="shared" si="1"/>
        <v>1.235634943500119E-2</v>
      </c>
      <c r="D287" s="18">
        <f t="shared" si="3"/>
        <v>1.8159658744667961E-2</v>
      </c>
      <c r="E287" s="18">
        <f t="shared" si="4"/>
        <v>6.7232837933475231E-3</v>
      </c>
      <c r="F287" s="18">
        <f t="shared" si="5"/>
        <v>6.3317855635289799E-3</v>
      </c>
      <c r="G287" s="18">
        <f t="shared" si="6"/>
        <v>-2.4095003155298E-2</v>
      </c>
      <c r="H287" s="18">
        <f t="shared" si="7"/>
        <v>-1.3557619884509209E-2</v>
      </c>
      <c r="I287" s="18">
        <f t="shared" si="8"/>
        <v>1.988400994200501E-2</v>
      </c>
      <c r="J287" s="18">
        <f t="shared" si="9"/>
        <v>2.5257731958762797E-2</v>
      </c>
      <c r="K287" s="18">
        <f t="shared" si="10"/>
        <v>-2.2471910112359383E-3</v>
      </c>
      <c r="L287" s="19">
        <f t="shared" si="11"/>
        <v>-1.0521223848107275E-2</v>
      </c>
    </row>
    <row r="288" spans="2:14" hidden="1" outlineLevel="1" x14ac:dyDescent="0.3">
      <c r="B288" s="4">
        <v>46033</v>
      </c>
      <c r="C288" s="18">
        <f t="shared" si="1"/>
        <v>1.3976284584980236E-2</v>
      </c>
      <c r="D288" s="18">
        <f t="shared" si="3"/>
        <v>1.1371797941106099E-2</v>
      </c>
      <c r="E288" s="18">
        <f t="shared" si="4"/>
        <v>-5.2724077328646368E-3</v>
      </c>
      <c r="F288" s="18">
        <f t="shared" si="5"/>
        <v>0.12185402684563762</v>
      </c>
      <c r="G288" s="18">
        <f t="shared" si="6"/>
        <v>-1.7988360472635301E-2</v>
      </c>
      <c r="H288" s="18">
        <f t="shared" si="7"/>
        <v>7.0331721387969726E-2</v>
      </c>
      <c r="I288" s="18">
        <f t="shared" si="8"/>
        <v>4.0292445166531188E-2</v>
      </c>
      <c r="J288" s="18">
        <f t="shared" si="9"/>
        <v>4.3991955756661483E-4</v>
      </c>
      <c r="K288" s="18">
        <f t="shared" si="10"/>
        <v>4.8568730020342787E-2</v>
      </c>
      <c r="L288" s="19">
        <f t="shared" si="11"/>
        <v>5.8604253238816906E-2</v>
      </c>
    </row>
    <row r="289" spans="2:12" hidden="1" outlineLevel="1" x14ac:dyDescent="0.3">
      <c r="B289" s="4">
        <v>46026</v>
      </c>
      <c r="C289" s="18">
        <f t="shared" si="1"/>
        <v>-1.4070539807278459E-2</v>
      </c>
      <c r="D289" s="18">
        <f t="shared" si="3"/>
        <v>-4.4798200970529112E-2</v>
      </c>
      <c r="E289" s="18">
        <f t="shared" si="4"/>
        <v>-2.155477031802111E-2</v>
      </c>
      <c r="F289" s="18">
        <f t="shared" si="5"/>
        <v>-2.0564591512432284E-2</v>
      </c>
      <c r="G289" s="18">
        <f t="shared" si="6"/>
        <v>-5.2858425621071459E-2</v>
      </c>
      <c r="H289" s="18">
        <f t="shared" si="7"/>
        <v>-4.2961318960050732E-2</v>
      </c>
      <c r="I289" s="18">
        <f t="shared" si="8"/>
        <v>2.1864750898017427E-3</v>
      </c>
      <c r="J289" s="18">
        <f t="shared" si="9"/>
        <v>-4.5480243733902914E-2</v>
      </c>
      <c r="K289" s="18">
        <f t="shared" si="10"/>
        <v>-1.6733067729083784E-2</v>
      </c>
      <c r="L289" s="19">
        <f t="shared" si="11"/>
        <v>-2.9267447901633714E-2</v>
      </c>
    </row>
    <row r="290" spans="2:12" hidden="1" outlineLevel="1" x14ac:dyDescent="0.3">
      <c r="B290" s="4">
        <v>46019</v>
      </c>
      <c r="C290" s="18">
        <f t="shared" si="1"/>
        <v>1.3373060305290396E-2</v>
      </c>
      <c r="D290" s="18">
        <f t="shared" si="3"/>
        <v>1.6293909918840388E-2</v>
      </c>
      <c r="E290" s="18">
        <f t="shared" si="4"/>
        <v>-1.2760322619477571E-2</v>
      </c>
      <c r="F290" s="18">
        <f t="shared" si="5"/>
        <v>2.6913533117007171E-2</v>
      </c>
      <c r="G290" s="18">
        <f t="shared" si="6"/>
        <v>1.8834534192895935E-2</v>
      </c>
      <c r="H290" s="18">
        <f t="shared" si="7"/>
        <v>4.969355640218609E-3</v>
      </c>
      <c r="I290" s="18">
        <f t="shared" si="8"/>
        <v>-1.986909770920986E-2</v>
      </c>
      <c r="J290" s="18">
        <f t="shared" si="9"/>
        <v>1.7637380717341333E-2</v>
      </c>
      <c r="K290" s="18">
        <f t="shared" si="10"/>
        <v>-1.0922415615530978E-2</v>
      </c>
      <c r="L290" s="19">
        <f t="shared" si="11"/>
        <v>-1.8613225499524266E-2</v>
      </c>
    </row>
    <row r="291" spans="2:12" hidden="1" outlineLevel="1" x14ac:dyDescent="0.3">
      <c r="B291" s="4">
        <v>46012</v>
      </c>
      <c r="C291" s="18">
        <f t="shared" si="1"/>
        <v>9.0141267096564004E-3</v>
      </c>
      <c r="D291" s="18">
        <f t="shared" si="3"/>
        <v>9.5708363813702402E-3</v>
      </c>
      <c r="E291" s="18">
        <f t="shared" si="4"/>
        <v>1.2620412144860316E-2</v>
      </c>
      <c r="F291" s="18">
        <f t="shared" si="5"/>
        <v>-1.003717472118959E-2</v>
      </c>
      <c r="G291" s="18">
        <f t="shared" si="6"/>
        <v>1.8610421836218194E-4</v>
      </c>
      <c r="H291" s="18">
        <f t="shared" si="7"/>
        <v>-5.19202241635075E-3</v>
      </c>
      <c r="I291" s="18">
        <f t="shared" si="8"/>
        <v>1.7489466571269929E-3</v>
      </c>
      <c r="J291" s="18">
        <f t="shared" si="9"/>
        <v>5.8850158442733669E-3</v>
      </c>
      <c r="K291" s="18">
        <f t="shared" si="10"/>
        <v>1.5460245084069513E-2</v>
      </c>
      <c r="L291" s="19">
        <f t="shared" si="11"/>
        <v>1.3936859964854831E-2</v>
      </c>
    </row>
    <row r="292" spans="2:12" hidden="1" outlineLevel="1" x14ac:dyDescent="0.3">
      <c r="B292" s="4">
        <v>46005</v>
      </c>
      <c r="C292" s="18">
        <f t="shared" si="1"/>
        <v>1.5237847770003254E-2</v>
      </c>
      <c r="D292" s="18">
        <f t="shared" si="3"/>
        <v>-1.050661191957003E-2</v>
      </c>
      <c r="E292" s="18">
        <f t="shared" si="4"/>
        <v>-1.1138539346137621E-2</v>
      </c>
      <c r="F292" s="18">
        <f t="shared" si="5"/>
        <v>-6.9470521967706089E-3</v>
      </c>
      <c r="G292" s="18">
        <f t="shared" si="6"/>
        <v>1.2404639335117373E-4</v>
      </c>
      <c r="H292" s="18">
        <f t="shared" si="7"/>
        <v>2.6841189628034057E-2</v>
      </c>
      <c r="I292" s="18">
        <f t="shared" si="8"/>
        <v>9.1262598206491852E-3</v>
      </c>
      <c r="J292" s="18">
        <f t="shared" si="9"/>
        <v>5.9791693455060191E-3</v>
      </c>
      <c r="K292" s="18">
        <f t="shared" si="10"/>
        <v>1.3891812250052649E-2</v>
      </c>
      <c r="L292" s="19">
        <f t="shared" si="11"/>
        <v>0.10285065439550589</v>
      </c>
    </row>
    <row r="293" spans="2:12" hidden="1" outlineLevel="1" x14ac:dyDescent="0.3">
      <c r="B293" s="4">
        <v>45998</v>
      </c>
      <c r="C293" s="18">
        <f t="shared" si="1"/>
        <v>-1.8738574040219391E-2</v>
      </c>
      <c r="D293" s="18">
        <f t="shared" si="3"/>
        <v>-2.4714712882162648E-2</v>
      </c>
      <c r="E293" s="18">
        <f t="shared" si="4"/>
        <v>1.8753044325377388E-2</v>
      </c>
      <c r="F293" s="18">
        <f t="shared" si="5"/>
        <v>-1.4558517678199934E-2</v>
      </c>
      <c r="G293" s="18">
        <f t="shared" si="6"/>
        <v>-2.1147286821705413E-2</v>
      </c>
      <c r="H293" s="18">
        <f t="shared" si="7"/>
        <v>1.4037918515530379E-2</v>
      </c>
      <c r="I293" s="18">
        <f t="shared" si="8"/>
        <v>-3.3815665303554843E-3</v>
      </c>
      <c r="J293" s="18">
        <f t="shared" si="9"/>
        <v>2.1282034894868129E-2</v>
      </c>
      <c r="K293" s="18">
        <f t="shared" si="10"/>
        <v>7.7849283786588508E-3</v>
      </c>
      <c r="L293" s="19">
        <f t="shared" si="11"/>
        <v>3.0345724504172722E-3</v>
      </c>
    </row>
    <row r="294" spans="2:12" hidden="1" outlineLevel="1" x14ac:dyDescent="0.3">
      <c r="B294" s="4">
        <v>45991</v>
      </c>
      <c r="C294" s="18">
        <f t="shared" si="1"/>
        <v>5.4960409874242888E-3</v>
      </c>
      <c r="D294" s="18">
        <f t="shared" si="3"/>
        <v>1.1262670504317285E-2</v>
      </c>
      <c r="E294" s="18">
        <f t="shared" si="4"/>
        <v>5.8570404016256017E-3</v>
      </c>
      <c r="F294" s="18">
        <f t="shared" si="5"/>
        <v>-2.6477359938603673E-3</v>
      </c>
      <c r="G294" s="18">
        <f t="shared" si="6"/>
        <v>-4.8150025342119651E-3</v>
      </c>
      <c r="H294" s="18">
        <f t="shared" si="7"/>
        <v>1.1934123637520333E-3</v>
      </c>
      <c r="I294" s="18">
        <f t="shared" si="8"/>
        <v>2.9038112522685955E-2</v>
      </c>
      <c r="J294" s="18">
        <f t="shared" si="9"/>
        <v>2.866082603254072E-2</v>
      </c>
      <c r="K294" s="18">
        <f t="shared" si="10"/>
        <v>1.4041954200569862E-2</v>
      </c>
      <c r="L294" s="19">
        <f t="shared" si="11"/>
        <v>6.855753646677476E-2</v>
      </c>
    </row>
    <row r="295" spans="2:12" hidden="1" outlineLevel="1" x14ac:dyDescent="0.3">
      <c r="B295" s="4">
        <v>45984</v>
      </c>
      <c r="C295" s="18">
        <f t="shared" si="1"/>
        <v>-3.1097523315422149E-2</v>
      </c>
      <c r="D295" s="18">
        <f t="shared" si="3"/>
        <v>-3.4711050612548089E-2</v>
      </c>
      <c r="E295" s="18">
        <f t="shared" si="4"/>
        <v>-3.493761140819962E-2</v>
      </c>
      <c r="F295" s="18">
        <f t="shared" si="5"/>
        <v>-3.993690123504301E-2</v>
      </c>
      <c r="G295" s="18">
        <f t="shared" si="6"/>
        <v>-3.4059078176725266E-2</v>
      </c>
      <c r="H295" s="18">
        <f t="shared" si="7"/>
        <v>-3.1071201525746939E-2</v>
      </c>
      <c r="I295" s="18">
        <f t="shared" si="8"/>
        <v>-2.568821409401123E-2</v>
      </c>
      <c r="J295" s="18">
        <f t="shared" si="9"/>
        <v>-1.3626961917508229E-2</v>
      </c>
      <c r="K295" s="18">
        <f t="shared" si="10"/>
        <v>-4.8144637053087691E-2</v>
      </c>
      <c r="L295" s="19">
        <f t="shared" si="11"/>
        <v>-3.4986601951564777E-2</v>
      </c>
    </row>
    <row r="296" spans="2:12" hidden="1" outlineLevel="1" x14ac:dyDescent="0.3">
      <c r="B296" s="4">
        <v>45977</v>
      </c>
      <c r="C296" s="18">
        <f t="shared" si="1"/>
        <v>4.1752988047809581E-3</v>
      </c>
      <c r="D296" s="18">
        <f t="shared" si="3"/>
        <v>-9.6788667393115091E-3</v>
      </c>
      <c r="E296" s="18">
        <f t="shared" si="4"/>
        <v>-9.9741411156262227E-3</v>
      </c>
      <c r="F296" s="18">
        <f t="shared" si="5"/>
        <v>-2.0197972187712909E-2</v>
      </c>
      <c r="G296" s="18">
        <f t="shared" si="6"/>
        <v>-3.677585184208787E-2</v>
      </c>
      <c r="H296" s="18">
        <f t="shared" si="7"/>
        <v>-2.7966866234724885E-2</v>
      </c>
      <c r="I296" s="18">
        <f t="shared" si="8"/>
        <v>-8.8934361718873145E-3</v>
      </c>
      <c r="J296" s="18">
        <f t="shared" si="9"/>
        <v>7.7093869495497014E-3</v>
      </c>
      <c r="K296" s="18">
        <f t="shared" si="10"/>
        <v>-2.2871167389912572E-2</v>
      </c>
      <c r="L296" s="19">
        <f t="shared" si="11"/>
        <v>-5.8259548383716719E-2</v>
      </c>
    </row>
    <row r="297" spans="2:12" hidden="1" outlineLevel="1" x14ac:dyDescent="0.3">
      <c r="B297" s="4">
        <v>45970</v>
      </c>
      <c r="C297" s="18">
        <f t="shared" si="1"/>
        <v>-1.4156033771345111E-2</v>
      </c>
      <c r="D297" s="18">
        <f t="shared" si="3"/>
        <v>-2.7313915857605231E-2</v>
      </c>
      <c r="E297" s="18">
        <f t="shared" si="4"/>
        <v>-8.3333333333334147E-3</v>
      </c>
      <c r="F297" s="18">
        <f t="shared" si="5"/>
        <v>-4.9081762035263488E-4</v>
      </c>
      <c r="G297" s="18">
        <f t="shared" si="6"/>
        <v>-1.525829627095443E-2</v>
      </c>
      <c r="H297" s="18">
        <f t="shared" si="7"/>
        <v>-1.9743503206209878E-2</v>
      </c>
      <c r="I297" s="18">
        <f t="shared" si="8"/>
        <v>-3.10489954736759E-2</v>
      </c>
      <c r="J297" s="18">
        <f t="shared" si="9"/>
        <v>6.6099516494277921E-3</v>
      </c>
      <c r="K297" s="18">
        <f t="shared" si="10"/>
        <v>9.1005059881328343E-3</v>
      </c>
      <c r="L297" s="19">
        <f t="shared" si="11"/>
        <v>1.1682892906814679E-3</v>
      </c>
    </row>
    <row r="298" spans="2:12" hidden="1" outlineLevel="1" x14ac:dyDescent="0.3">
      <c r="B298" s="4">
        <v>45963</v>
      </c>
      <c r="C298" s="18">
        <f t="shared" si="1"/>
        <v>-3.6767546683837637E-2</v>
      </c>
      <c r="D298" s="18">
        <f t="shared" si="3"/>
        <v>-1.730103806228378E-2</v>
      </c>
      <c r="E298" s="18">
        <f t="shared" si="4"/>
        <v>-5.1548977800075169E-2</v>
      </c>
      <c r="F298" s="18">
        <f t="shared" si="5"/>
        <v>-3.2246184065147121E-2</v>
      </c>
      <c r="G298" s="18">
        <f t="shared" si="6"/>
        <v>-3.6478599221789865E-2</v>
      </c>
      <c r="H298" s="18">
        <f t="shared" si="7"/>
        <v>-4.1573420554312235E-2</v>
      </c>
      <c r="I298" s="18">
        <f t="shared" si="8"/>
        <v>-5.2450417964268192E-2</v>
      </c>
      <c r="J298" s="18">
        <f t="shared" si="9"/>
        <v>-1.7875600413449266E-2</v>
      </c>
      <c r="K298" s="18">
        <f t="shared" si="10"/>
        <v>-1.3022618231665506E-2</v>
      </c>
      <c r="L298" s="19">
        <f t="shared" si="11"/>
        <v>-3.3007334963325086E-2</v>
      </c>
    </row>
    <row r="299" spans="2:12" hidden="1" outlineLevel="1" x14ac:dyDescent="0.3">
      <c r="B299" s="4">
        <v>45956</v>
      </c>
      <c r="C299" s="18">
        <f t="shared" si="1"/>
        <v>2.2127147536600056E-2</v>
      </c>
      <c r="D299" s="18">
        <f t="shared" si="3"/>
        <v>3.7242686890575083E-3</v>
      </c>
      <c r="E299" s="18">
        <f t="shared" si="4"/>
        <v>1.9240941549854451E-2</v>
      </c>
      <c r="F299" s="18">
        <f t="shared" si="5"/>
        <v>1.7675165968962681E-2</v>
      </c>
      <c r="G299" s="18">
        <f t="shared" si="6"/>
        <v>2.7186846470036885E-2</v>
      </c>
      <c r="H299" s="18">
        <f t="shared" si="7"/>
        <v>2.1014818140996816E-2</v>
      </c>
      <c r="I299" s="18">
        <f t="shared" si="8"/>
        <v>2.3456149455111541E-2</v>
      </c>
      <c r="J299" s="18">
        <f t="shared" si="9"/>
        <v>5.4293320126292288E-2</v>
      </c>
      <c r="K299" s="18">
        <f t="shared" si="10"/>
        <v>1.0380116959064267E-2</v>
      </c>
      <c r="L299" s="19">
        <f t="shared" si="11"/>
        <v>2.1779105849902169E-2</v>
      </c>
    </row>
    <row r="300" spans="2:12" hidden="1" outlineLevel="1" x14ac:dyDescent="0.3">
      <c r="B300" s="4">
        <v>45949</v>
      </c>
      <c r="C300" s="18">
        <f t="shared" si="1"/>
        <v>1.7004578155657146E-3</v>
      </c>
      <c r="D300" s="18">
        <f t="shared" si="3"/>
        <v>2.9076435269513645E-2</v>
      </c>
      <c r="E300" s="18">
        <f t="shared" si="4"/>
        <v>-1.1482322413233881E-2</v>
      </c>
      <c r="F300" s="18">
        <f t="shared" si="5"/>
        <v>9.5982050110108297E-3</v>
      </c>
      <c r="G300" s="18">
        <f t="shared" si="6"/>
        <v>2.0570064588598669E-2</v>
      </c>
      <c r="H300" s="18">
        <f t="shared" si="7"/>
        <v>-2.4364499956020746E-2</v>
      </c>
      <c r="I300" s="18">
        <f t="shared" si="8"/>
        <v>-1.5312848595477213E-2</v>
      </c>
      <c r="J300" s="18">
        <f t="shared" si="9"/>
        <v>5.871990604815025E-3</v>
      </c>
      <c r="K300" s="18">
        <f t="shared" si="10"/>
        <v>1.9714947185646148E-2</v>
      </c>
      <c r="L300" s="19">
        <f t="shared" si="11"/>
        <v>-1.0179404982846862E-2</v>
      </c>
    </row>
    <row r="301" spans="2:12" hidden="1" outlineLevel="1" x14ac:dyDescent="0.3">
      <c r="B301" s="4">
        <v>45942</v>
      </c>
      <c r="C301" s="18">
        <f t="shared" si="1"/>
        <v>-3.2972055366936592E-2</v>
      </c>
      <c r="D301" s="18">
        <f t="shared" si="3"/>
        <v>-5.5264192998557893E-2</v>
      </c>
      <c r="E301" s="18">
        <f t="shared" si="4"/>
        <v>-2.467515421971378E-2</v>
      </c>
      <c r="F301" s="18">
        <f t="shared" si="5"/>
        <v>-8.560375339534021E-3</v>
      </c>
      <c r="G301" s="18">
        <f t="shared" si="6"/>
        <v>-4.1961890348766184E-3</v>
      </c>
      <c r="H301" s="18">
        <f t="shared" si="7"/>
        <v>1.0638297872340496E-2</v>
      </c>
      <c r="I301" s="18">
        <f t="shared" si="8"/>
        <v>-1.2066598008925511E-2</v>
      </c>
      <c r="J301" s="18">
        <f t="shared" si="9"/>
        <v>2.5160537069468747E-2</v>
      </c>
      <c r="K301" s="18">
        <f t="shared" si="10"/>
        <v>-4.4414487920820256E-2</v>
      </c>
      <c r="L301" s="19">
        <f t="shared" si="11"/>
        <v>-1.4261363636363544E-2</v>
      </c>
    </row>
    <row r="302" spans="2:12" hidden="1" outlineLevel="1" x14ac:dyDescent="0.3">
      <c r="B302" s="4">
        <v>45935</v>
      </c>
      <c r="C302" s="18">
        <f t="shared" si="1"/>
        <v>2.2314495982715732E-2</v>
      </c>
      <c r="D302" s="18">
        <f t="shared" si="3"/>
        <v>5.1210880577336804E-2</v>
      </c>
      <c r="E302" s="18">
        <f t="shared" si="4"/>
        <v>6.2575696406943493E-3</v>
      </c>
      <c r="F302" s="18">
        <f t="shared" si="5"/>
        <v>3.2378580323785711E-2</v>
      </c>
      <c r="G302" s="18">
        <f t="shared" si="6"/>
        <v>6.6316662061343123E-3</v>
      </c>
      <c r="H302" s="18">
        <f t="shared" si="7"/>
        <v>-2.3818019625334474E-2</v>
      </c>
      <c r="I302" s="18">
        <f t="shared" si="8"/>
        <v>-6.9148843754886502E-2</v>
      </c>
      <c r="J302" s="18">
        <f t="shared" si="9"/>
        <v>4.9256876032116592E-2</v>
      </c>
      <c r="K302" s="18">
        <f t="shared" si="10"/>
        <v>3.3225674722500598E-2</v>
      </c>
      <c r="L302" s="19">
        <f t="shared" si="11"/>
        <v>-7.2626664361059579E-3</v>
      </c>
    </row>
    <row r="303" spans="2:12" hidden="1" outlineLevel="1" x14ac:dyDescent="0.3">
      <c r="B303" s="4">
        <v>45928</v>
      </c>
      <c r="C303" s="18">
        <f t="shared" si="1"/>
        <v>-4.173958986890336E-2</v>
      </c>
      <c r="D303" s="18">
        <f t="shared" si="3"/>
        <v>-4.5085484190375724E-2</v>
      </c>
      <c r="E303" s="18">
        <f t="shared" si="4"/>
        <v>-6.8204613841524542E-2</v>
      </c>
      <c r="F303" s="18">
        <f t="shared" si="5"/>
        <v>-3.1041415359871372E-2</v>
      </c>
      <c r="G303" s="18">
        <f t="shared" si="6"/>
        <v>-3.8841614054350937E-2</v>
      </c>
      <c r="H303" s="18">
        <f t="shared" si="7"/>
        <v>-6.4241981175180429E-2</v>
      </c>
      <c r="I303" s="18">
        <f t="shared" si="8"/>
        <v>-5.3922392071224512E-2</v>
      </c>
      <c r="J303" s="18">
        <f t="shared" si="9"/>
        <v>-2.7244111581461006E-2</v>
      </c>
      <c r="K303" s="18">
        <f t="shared" si="10"/>
        <v>-1.6635527450416743E-2</v>
      </c>
      <c r="L303" s="19">
        <f t="shared" si="11"/>
        <v>-6.340358822504788E-2</v>
      </c>
    </row>
    <row r="304" spans="2:12" hidden="1" outlineLevel="1" x14ac:dyDescent="0.3">
      <c r="B304" s="4">
        <v>45921</v>
      </c>
      <c r="C304" s="18">
        <f t="shared" si="1"/>
        <v>-9.6488507529557399E-4</v>
      </c>
      <c r="D304" s="18">
        <f t="shared" si="3"/>
        <v>1.5899350200472284E-3</v>
      </c>
      <c r="E304" s="18">
        <f t="shared" si="4"/>
        <v>1.2917115177610849E-3</v>
      </c>
      <c r="F304" s="18">
        <f t="shared" si="5"/>
        <v>-2.1703045895924977E-2</v>
      </c>
      <c r="G304" s="18">
        <f t="shared" si="6"/>
        <v>5.0692560331286884E-3</v>
      </c>
      <c r="H304" s="18">
        <f t="shared" si="7"/>
        <v>-8.7890625E-3</v>
      </c>
      <c r="I304" s="18">
        <f t="shared" si="8"/>
        <v>-2.3240214646464641E-2</v>
      </c>
      <c r="J304" s="18">
        <f t="shared" si="9"/>
        <v>-4.9877259540281216E-2</v>
      </c>
      <c r="K304" s="18">
        <f t="shared" si="10"/>
        <v>-3.4528115751397581E-2</v>
      </c>
      <c r="L304" s="19">
        <f t="shared" si="11"/>
        <v>-4.624635794433074E-2</v>
      </c>
    </row>
    <row r="305" spans="2:12" hidden="1" outlineLevel="1" x14ac:dyDescent="0.3">
      <c r="B305" s="4">
        <v>45914</v>
      </c>
      <c r="C305" s="18">
        <f t="shared" si="1"/>
        <v>9.3166844882894617E-2</v>
      </c>
      <c r="D305" s="18">
        <f t="shared" si="3"/>
        <v>6.3013320449996524E-2</v>
      </c>
      <c r="E305" s="18">
        <f t="shared" si="4"/>
        <v>5.1673475238300126E-2</v>
      </c>
      <c r="F305" s="18">
        <f t="shared" si="5"/>
        <v>8.5387062566277816E-2</v>
      </c>
      <c r="G305" s="18">
        <f t="shared" si="6"/>
        <v>0.10378631810755135</v>
      </c>
      <c r="H305" s="18">
        <f t="shared" si="7"/>
        <v>8.5615763546798007E-2</v>
      </c>
      <c r="I305" s="18">
        <f t="shared" si="8"/>
        <v>0.11209856594627343</v>
      </c>
      <c r="J305" s="18">
        <f t="shared" si="9"/>
        <v>5.9072225484439134E-2</v>
      </c>
      <c r="K305" s="18">
        <f t="shared" si="10"/>
        <v>0.13298516500151369</v>
      </c>
      <c r="L305" s="19">
        <f t="shared" si="11"/>
        <v>0.16691582710432229</v>
      </c>
    </row>
    <row r="306" spans="2:12" hidden="1" outlineLevel="1" x14ac:dyDescent="0.3">
      <c r="B306" s="4">
        <v>45907</v>
      </c>
      <c r="C306" s="18">
        <f t="shared" si="1"/>
        <v>-1.1296226176953139E-2</v>
      </c>
      <c r="D306" s="18">
        <f t="shared" si="3"/>
        <v>-9.479288404103503E-3</v>
      </c>
      <c r="E306" s="18">
        <f t="shared" si="4"/>
        <v>-1.3629548861937568E-4</v>
      </c>
      <c r="F306" s="18">
        <f t="shared" si="5"/>
        <v>-1.5397842738783751E-2</v>
      </c>
      <c r="G306" s="18">
        <f t="shared" si="6"/>
        <v>-1.8213412279572627E-2</v>
      </c>
      <c r="H306" s="18">
        <f t="shared" si="7"/>
        <v>-3.2126327252926745E-2</v>
      </c>
      <c r="I306" s="18">
        <f t="shared" si="8"/>
        <v>-1.7253904831093347E-2</v>
      </c>
      <c r="J306" s="18">
        <f t="shared" si="9"/>
        <v>-4.3246839654025315E-3</v>
      </c>
      <c r="K306" s="18">
        <f t="shared" si="10"/>
        <v>-2.9928518939141058E-2</v>
      </c>
      <c r="L306" s="19">
        <f t="shared" si="11"/>
        <v>-1.743441207597618E-2</v>
      </c>
    </row>
    <row r="307" spans="2:12" hidden="1" outlineLevel="1" x14ac:dyDescent="0.3">
      <c r="B307" s="4">
        <v>45900</v>
      </c>
      <c r="C307" s="18">
        <f t="shared" si="1"/>
        <v>-2.7158996617093201E-2</v>
      </c>
      <c r="D307" s="18">
        <f t="shared" si="3"/>
        <v>-5.3093864708966931E-2</v>
      </c>
      <c r="E307" s="18">
        <f t="shared" si="4"/>
        <v>-3.2851690294438463E-2</v>
      </c>
      <c r="F307" s="18">
        <f t="shared" si="5"/>
        <v>-3.2825275859331593E-2</v>
      </c>
      <c r="G307" s="18">
        <f t="shared" si="6"/>
        <v>-3.1202884300229328E-2</v>
      </c>
      <c r="H307" s="18">
        <f t="shared" si="7"/>
        <v>-2.5691514299109208E-2</v>
      </c>
      <c r="I307" s="18">
        <f t="shared" si="8"/>
        <v>-5.1561633709111043E-2</v>
      </c>
      <c r="J307" s="18">
        <f t="shared" si="9"/>
        <v>-7.7848312729702607E-2</v>
      </c>
      <c r="K307" s="18">
        <f t="shared" si="10"/>
        <v>-3.6774326836994553E-2</v>
      </c>
      <c r="L307" s="19">
        <f t="shared" si="11"/>
        <v>-5.992063492063493E-2</v>
      </c>
    </row>
    <row r="308" spans="2:12" hidden="1" outlineLevel="1" x14ac:dyDescent="0.3">
      <c r="B308" s="4">
        <v>45893</v>
      </c>
      <c r="C308" s="18">
        <f t="shared" si="1"/>
        <v>1.1941081914509599E-2</v>
      </c>
      <c r="D308" s="18">
        <f t="shared" si="3"/>
        <v>1.7305828603073614E-2</v>
      </c>
      <c r="E308" s="18">
        <f t="shared" si="4"/>
        <v>2.5229034531360162E-2</v>
      </c>
      <c r="F308" s="18">
        <f t="shared" si="5"/>
        <v>2.3556449296179283E-2</v>
      </c>
      <c r="G308" s="18">
        <f t="shared" si="6"/>
        <v>2.368225184383288E-3</v>
      </c>
      <c r="H308" s="18">
        <f t="shared" si="7"/>
        <v>-1.1933403907227413E-2</v>
      </c>
      <c r="I308" s="18">
        <f t="shared" si="8"/>
        <v>3.3807482462977489E-2</v>
      </c>
      <c r="J308" s="18">
        <f t="shared" si="9"/>
        <v>1.630434782608603E-3</v>
      </c>
      <c r="K308" s="18">
        <f t="shared" si="10"/>
        <v>-3.3602631014514328E-3</v>
      </c>
      <c r="L308" s="19">
        <f t="shared" si="11"/>
        <v>3.9799794970753144E-2</v>
      </c>
    </row>
    <row r="309" spans="2:12" hidden="1" outlineLevel="1" x14ac:dyDescent="0.3">
      <c r="B309" s="4">
        <v>45886</v>
      </c>
      <c r="C309" s="18">
        <f t="shared" si="1"/>
        <v>-9.9523454468829486E-3</v>
      </c>
      <c r="D309" s="18">
        <f t="shared" si="3"/>
        <v>1.2180185084376793E-2</v>
      </c>
      <c r="E309" s="18">
        <f t="shared" si="4"/>
        <v>7.9048666483365615E-3</v>
      </c>
      <c r="F309" s="18">
        <f t="shared" si="5"/>
        <v>-3.0872859949481191E-3</v>
      </c>
      <c r="G309" s="18">
        <f t="shared" si="6"/>
        <v>1.5930876198190891E-2</v>
      </c>
      <c r="H309" s="18">
        <f t="shared" si="7"/>
        <v>1.7726697185156404E-2</v>
      </c>
      <c r="I309" s="18">
        <f t="shared" si="8"/>
        <v>1.196871171425884E-2</v>
      </c>
      <c r="J309" s="18">
        <f t="shared" si="9"/>
        <v>3.985048531982871E-2</v>
      </c>
      <c r="K309" s="18">
        <f t="shared" si="10"/>
        <v>2.173601147776183E-2</v>
      </c>
      <c r="L309" s="19">
        <f t="shared" si="11"/>
        <v>1.3570724351910979E-2</v>
      </c>
    </row>
    <row r="310" spans="2:12" hidden="1" outlineLevel="1" x14ac:dyDescent="0.3">
      <c r="B310" s="4">
        <v>45879</v>
      </c>
      <c r="C310" s="18">
        <f t="shared" si="1"/>
        <v>-1.0379829731499646E-2</v>
      </c>
      <c r="D310" s="18">
        <f t="shared" si="3"/>
        <v>-2.6756302521008357E-2</v>
      </c>
      <c r="E310" s="18">
        <f t="shared" si="4"/>
        <v>1.6026733956216344E-2</v>
      </c>
      <c r="F310" s="18">
        <f t="shared" si="5"/>
        <v>-7.3600386100385329E-3</v>
      </c>
      <c r="G310" s="18">
        <f t="shared" si="6"/>
        <v>-1.2159468438538212E-2</v>
      </c>
      <c r="H310" s="18">
        <f t="shared" si="7"/>
        <v>-2.2298784572686414E-2</v>
      </c>
      <c r="I310" s="18">
        <f t="shared" si="8"/>
        <v>-1.4900353883404716E-2</v>
      </c>
      <c r="J310" s="18">
        <f t="shared" si="9"/>
        <v>-4.3483302411874147E-3</v>
      </c>
      <c r="K310" s="18">
        <f t="shared" si="10"/>
        <v>-4.5074773572983284E-2</v>
      </c>
      <c r="L310" s="19">
        <f t="shared" si="11"/>
        <v>-6.0479487326200121E-2</v>
      </c>
    </row>
    <row r="311" spans="2:12" hidden="1" outlineLevel="1" x14ac:dyDescent="0.3">
      <c r="B311" s="4">
        <v>45872</v>
      </c>
      <c r="C311" s="18">
        <f t="shared" si="1"/>
        <v>4.6653211130596173E-3</v>
      </c>
      <c r="D311" s="18">
        <f t="shared" si="3"/>
        <v>-1.6992470815776817E-2</v>
      </c>
      <c r="E311" s="18">
        <f t="shared" si="4"/>
        <v>-9.4643576318967915E-3</v>
      </c>
      <c r="F311" s="18">
        <f t="shared" si="5"/>
        <v>-3.1441189579028417E-2</v>
      </c>
      <c r="G311" s="18">
        <f t="shared" si="6"/>
        <v>-4.237573148584084E-3</v>
      </c>
      <c r="H311" s="18">
        <f t="shared" si="7"/>
        <v>-1.8794048551292075E-2</v>
      </c>
      <c r="I311" s="18">
        <f t="shared" si="8"/>
        <v>-3.4694649272074107E-2</v>
      </c>
      <c r="J311" s="18">
        <f t="shared" si="9"/>
        <v>-1.8925056775170312E-2</v>
      </c>
      <c r="K311" s="18">
        <f t="shared" si="10"/>
        <v>-8.9331666789205233E-3</v>
      </c>
      <c r="L311" s="19">
        <f t="shared" si="11"/>
        <v>-2.1437271619975662E-2</v>
      </c>
    </row>
    <row r="312" spans="2:12" hidden="1" outlineLevel="1" x14ac:dyDescent="0.3">
      <c r="B312" s="4">
        <v>45865</v>
      </c>
      <c r="C312" s="18">
        <f t="shared" si="1"/>
        <v>-1.0999868265050727E-2</v>
      </c>
      <c r="D312" s="18">
        <f t="shared" si="3"/>
        <v>3.2675145808446437E-2</v>
      </c>
      <c r="E312" s="18">
        <f t="shared" si="4"/>
        <v>-1.5992410381514E-2</v>
      </c>
      <c r="F312" s="18">
        <f t="shared" si="5"/>
        <v>1.547793348671811E-2</v>
      </c>
      <c r="G312" s="18">
        <f t="shared" si="6"/>
        <v>-2.8100513374763714E-2</v>
      </c>
      <c r="H312" s="18">
        <f t="shared" si="7"/>
        <v>1.0973663208300177E-3</v>
      </c>
      <c r="I312" s="18">
        <f t="shared" si="8"/>
        <v>-8.6181568896288585E-3</v>
      </c>
      <c r="J312" s="18">
        <f t="shared" si="9"/>
        <v>-5.401234567901203E-3</v>
      </c>
      <c r="K312" s="18">
        <f t="shared" si="10"/>
        <v>2.2812418858266348E-2</v>
      </c>
      <c r="L312" s="19">
        <f t="shared" si="11"/>
        <v>6.1924321633059609E-2</v>
      </c>
    </row>
    <row r="313" spans="2:12" hidden="1" outlineLevel="1" x14ac:dyDescent="0.3">
      <c r="B313" s="4">
        <v>45858</v>
      </c>
      <c r="C313" s="18">
        <f t="shared" si="1"/>
        <v>4.4222444222444368E-2</v>
      </c>
      <c r="D313" s="18">
        <f t="shared" si="3"/>
        <v>3.1369080021774742E-2</v>
      </c>
      <c r="E313" s="18">
        <f t="shared" si="4"/>
        <v>2.6168996625576701E-2</v>
      </c>
      <c r="F313" s="18">
        <f t="shared" si="5"/>
        <v>6.7765190525231667E-2</v>
      </c>
      <c r="G313" s="18">
        <f t="shared" si="6"/>
        <v>1.6055045871559814E-2</v>
      </c>
      <c r="H313" s="18">
        <f t="shared" si="7"/>
        <v>1.5645241654210329E-2</v>
      </c>
      <c r="I313" s="18">
        <f t="shared" si="8"/>
        <v>1.7583720241035161E-2</v>
      </c>
      <c r="J313" s="18">
        <f t="shared" si="9"/>
        <v>2.7510890970937618E-2</v>
      </c>
      <c r="K313" s="18">
        <f t="shared" si="10"/>
        <v>-4.8016247189381356E-2</v>
      </c>
      <c r="L313" s="19">
        <f t="shared" si="11"/>
        <v>-1.0256109711070716E-2</v>
      </c>
    </row>
    <row r="314" spans="2:12" hidden="1" outlineLevel="1" x14ac:dyDescent="0.3">
      <c r="B314" s="4">
        <v>45851</v>
      </c>
      <c r="C314" s="18">
        <f t="shared" si="1"/>
        <v>1.725237578927219E-2</v>
      </c>
      <c r="D314" s="18">
        <f t="shared" si="3"/>
        <v>4.6447186118624861E-2</v>
      </c>
      <c r="E314" s="18">
        <f t="shared" si="4"/>
        <v>3.9393329306757874E-2</v>
      </c>
      <c r="F314" s="18">
        <f t="shared" si="5"/>
        <v>2.9899691358024727E-2</v>
      </c>
      <c r="G314" s="18">
        <f t="shared" si="6"/>
        <v>5.9511594500307741E-2</v>
      </c>
      <c r="H314" s="18">
        <f t="shared" si="7"/>
        <v>5.494505494505475E-3</v>
      </c>
      <c r="I314" s="18">
        <f t="shared" si="8"/>
        <v>7.7079895155810041E-2</v>
      </c>
      <c r="J314" s="18">
        <f t="shared" si="9"/>
        <v>2.1082587989313506E-2</v>
      </c>
      <c r="K314" s="18">
        <f t="shared" si="10"/>
        <v>7.9123809523809374E-2</v>
      </c>
      <c r="L314" s="19">
        <f t="shared" si="11"/>
        <v>0.10095926101373753</v>
      </c>
    </row>
    <row r="315" spans="2:12" hidden="1" outlineLevel="1" x14ac:dyDescent="0.3">
      <c r="B315" s="4">
        <v>45844</v>
      </c>
      <c r="C315" s="18">
        <f t="shared" si="1"/>
        <v>2.3856547227185887E-2</v>
      </c>
      <c r="D315" s="18">
        <f t="shared" si="3"/>
        <v>5.5481999873905341E-3</v>
      </c>
      <c r="E315" s="18">
        <f t="shared" si="4"/>
        <v>5.7786673553718915E-2</v>
      </c>
      <c r="F315" s="18">
        <f t="shared" si="5"/>
        <v>-3.2403071736280098E-2</v>
      </c>
      <c r="G315" s="18">
        <f t="shared" si="6"/>
        <v>3.4605203692943398E-2</v>
      </c>
      <c r="H315" s="18">
        <f t="shared" si="7"/>
        <v>1.6003122560499516E-2</v>
      </c>
      <c r="I315" s="18">
        <f t="shared" si="8"/>
        <v>5.5881027489861346E-3</v>
      </c>
      <c r="J315" s="18">
        <f t="shared" si="9"/>
        <v>-1.7575792048233896E-2</v>
      </c>
      <c r="K315" s="18">
        <f t="shared" si="10"/>
        <v>2.153422529742155E-3</v>
      </c>
      <c r="L315" s="19">
        <f t="shared" si="11"/>
        <v>4.5716129726240951E-3</v>
      </c>
    </row>
    <row r="316" spans="2:12" hidden="1" outlineLevel="1" x14ac:dyDescent="0.3">
      <c r="B316" s="4">
        <v>45837</v>
      </c>
      <c r="C316" s="18">
        <f t="shared" si="1"/>
        <v>4.7091243110839009E-2</v>
      </c>
      <c r="D316" s="18">
        <f t="shared" si="3"/>
        <v>2.8716533951971934E-2</v>
      </c>
      <c r="E316" s="18">
        <f t="shared" si="4"/>
        <v>5.3470060428493005E-2</v>
      </c>
      <c r="F316" s="18">
        <f t="shared" si="5"/>
        <v>4.5489740611691865E-2</v>
      </c>
      <c r="G316" s="18">
        <f t="shared" si="6"/>
        <v>3.2886115444617836E-2</v>
      </c>
      <c r="H316" s="18">
        <f t="shared" si="7"/>
        <v>2.1129466000768371E-2</v>
      </c>
      <c r="I316" s="18">
        <f t="shared" si="8"/>
        <v>5.6914941292462107E-2</v>
      </c>
      <c r="J316" s="18">
        <f t="shared" si="9"/>
        <v>5.4770727188513169E-2</v>
      </c>
      <c r="K316" s="18">
        <f t="shared" si="10"/>
        <v>3.0083133718472377E-2</v>
      </c>
      <c r="L316" s="19">
        <f t="shared" si="11"/>
        <v>4.4330228075811107E-2</v>
      </c>
    </row>
    <row r="317" spans="2:12" hidden="1" outlineLevel="1" x14ac:dyDescent="0.3">
      <c r="B317" s="4">
        <v>45830</v>
      </c>
      <c r="C317" s="18">
        <f t="shared" si="1"/>
        <v>6.2284344113689993E-3</v>
      </c>
      <c r="D317" s="18">
        <f t="shared" si="3"/>
        <v>-1.9930517462058872E-2</v>
      </c>
      <c r="E317" s="18">
        <f t="shared" si="4"/>
        <v>-1.5064603974738189E-3</v>
      </c>
      <c r="F317" s="18">
        <f t="shared" si="5"/>
        <v>-1.8515089798185502E-2</v>
      </c>
      <c r="G317" s="18">
        <f t="shared" si="6"/>
        <v>1.1599806669888801E-2</v>
      </c>
      <c r="H317" s="18">
        <f t="shared" si="7"/>
        <v>-4.3265613243039791E-3</v>
      </c>
      <c r="I317" s="18">
        <f t="shared" si="8"/>
        <v>1.9419945725915877E-2</v>
      </c>
      <c r="J317" s="18">
        <f t="shared" si="9"/>
        <v>-1.2954221100010987E-2</v>
      </c>
      <c r="K317" s="18">
        <f t="shared" si="10"/>
        <v>-4.2473155050954059E-2</v>
      </c>
      <c r="L317" s="19">
        <f t="shared" si="11"/>
        <v>-2.6197067568953125E-2</v>
      </c>
    </row>
    <row r="318" spans="2:12" hidden="1" outlineLevel="1" x14ac:dyDescent="0.3">
      <c r="B318" s="4">
        <v>45823</v>
      </c>
      <c r="C318" s="18">
        <f t="shared" si="1"/>
        <v>-1.569265641800599E-3</v>
      </c>
      <c r="D318" s="18">
        <f t="shared" si="3"/>
        <v>9.2661691542288427E-3</v>
      </c>
      <c r="E318" s="18">
        <f t="shared" si="4"/>
        <v>9.6326814832008445E-3</v>
      </c>
      <c r="F318" s="18">
        <f t="shared" si="5"/>
        <v>5.6215808338049289E-3</v>
      </c>
      <c r="G318" s="18">
        <f t="shared" si="6"/>
        <v>1.295986622073575E-2</v>
      </c>
      <c r="H318" s="18">
        <f t="shared" si="7"/>
        <v>1.5775552616663413E-2</v>
      </c>
      <c r="I318" s="18">
        <f t="shared" si="8"/>
        <v>1.5972048914399739E-2</v>
      </c>
      <c r="J318" s="18">
        <f t="shared" si="9"/>
        <v>4.4989433878322771E-2</v>
      </c>
      <c r="K318" s="18">
        <f t="shared" si="10"/>
        <v>-3.7107142857142894E-2</v>
      </c>
      <c r="L318" s="19">
        <f t="shared" si="11"/>
        <v>-3.5535667280863437E-2</v>
      </c>
    </row>
    <row r="319" spans="2:12" hidden="1" outlineLevel="1" x14ac:dyDescent="0.3">
      <c r="B319" s="4">
        <v>45816</v>
      </c>
      <c r="C319" s="18">
        <f t="shared" si="1"/>
        <v>2.9106150129523112E-3</v>
      </c>
      <c r="D319" s="18">
        <f t="shared" si="3"/>
        <v>-1.2878181033951663E-2</v>
      </c>
      <c r="E319" s="18">
        <f t="shared" si="4"/>
        <v>-2.5633657106730379E-2</v>
      </c>
      <c r="F319" s="18">
        <f t="shared" si="5"/>
        <v>-2.3748780670818759E-2</v>
      </c>
      <c r="G319" s="18">
        <f t="shared" si="6"/>
        <v>-2.1873710276516634E-2</v>
      </c>
      <c r="H319" s="18">
        <f t="shared" si="7"/>
        <v>9.7647168232122272E-3</v>
      </c>
      <c r="I319" s="18">
        <f t="shared" si="8"/>
        <v>-3.668222385982145E-2</v>
      </c>
      <c r="J319" s="18">
        <f t="shared" si="9"/>
        <v>8.8340162843913994E-3</v>
      </c>
      <c r="K319" s="18">
        <f t="shared" si="10"/>
        <v>-1.9250027817959259E-2</v>
      </c>
      <c r="L319" s="19">
        <f t="shared" si="11"/>
        <v>-2.1561135371178985E-2</v>
      </c>
    </row>
    <row r="320" spans="2:12" hidden="1" outlineLevel="1" x14ac:dyDescent="0.3">
      <c r="B320" s="4">
        <v>45809</v>
      </c>
      <c r="C320" s="18">
        <f t="shared" si="1"/>
        <v>-1.7848332704530234E-2</v>
      </c>
      <c r="D320" s="18">
        <f t="shared" si="3"/>
        <v>-2.384519350811487E-2</v>
      </c>
      <c r="E320" s="18">
        <f t="shared" si="4"/>
        <v>-3.3976287382764037E-2</v>
      </c>
      <c r="F320" s="18">
        <f t="shared" si="5"/>
        <v>-4.4656239191422253E-2</v>
      </c>
      <c r="G320" s="18">
        <f t="shared" si="6"/>
        <v>-5.2983725135623883E-2</v>
      </c>
      <c r="H320" s="18">
        <f t="shared" si="7"/>
        <v>-4.144409651869585E-2</v>
      </c>
      <c r="I320" s="18">
        <f t="shared" si="8"/>
        <v>-3.5019124521886935E-2</v>
      </c>
      <c r="J320" s="18">
        <f t="shared" si="9"/>
        <v>-7.3060083346521032E-2</v>
      </c>
      <c r="K320" s="18">
        <f t="shared" si="10"/>
        <v>-3.744043567052413E-2</v>
      </c>
      <c r="L320" s="19">
        <f t="shared" si="11"/>
        <v>-9.4839609483960974E-3</v>
      </c>
    </row>
    <row r="321" spans="2:12" hidden="1" outlineLevel="1" x14ac:dyDescent="0.3">
      <c r="B321" s="4">
        <v>45802</v>
      </c>
      <c r="C321" s="18">
        <f t="shared" si="1"/>
        <v>2.3402872170675604E-2</v>
      </c>
      <c r="D321" s="18">
        <f t="shared" si="3"/>
        <v>-7.0341475892055083E-4</v>
      </c>
      <c r="E321" s="18">
        <f t="shared" si="4"/>
        <v>-6.7167368870990618E-4</v>
      </c>
      <c r="F321" s="18">
        <f t="shared" si="5"/>
        <v>4.3445029969024773E-3</v>
      </c>
      <c r="G321" s="18">
        <f t="shared" si="6"/>
        <v>1.7821908217174887E-3</v>
      </c>
      <c r="H321" s="18">
        <f t="shared" si="7"/>
        <v>-2.596079938508844E-2</v>
      </c>
      <c r="I321" s="18">
        <f t="shared" si="8"/>
        <v>-6.7823482779881816E-3</v>
      </c>
      <c r="J321" s="18">
        <f t="shared" si="9"/>
        <v>-3.6819940814932894E-2</v>
      </c>
      <c r="K321" s="18">
        <f t="shared" si="10"/>
        <v>5.3433914820055772E-3</v>
      </c>
      <c r="L321" s="19">
        <f t="shared" si="11"/>
        <v>-3.6834694452267058E-2</v>
      </c>
    </row>
    <row r="322" spans="2:12" hidden="1" outlineLevel="1" x14ac:dyDescent="0.3">
      <c r="B322" s="4">
        <v>45795</v>
      </c>
      <c r="C322" s="18">
        <f t="shared" si="1"/>
        <v>1.478316105560995E-2</v>
      </c>
      <c r="D322" s="18">
        <f t="shared" si="3"/>
        <v>1.34382799001731E-3</v>
      </c>
      <c r="E322" s="18">
        <f t="shared" si="4"/>
        <v>7.0878650861543324E-3</v>
      </c>
      <c r="F322" s="18">
        <f t="shared" si="5"/>
        <v>-9.2522129210557136E-3</v>
      </c>
      <c r="G322" s="18">
        <f t="shared" si="6"/>
        <v>4.066332041425591E-3</v>
      </c>
      <c r="H322" s="18">
        <f t="shared" si="7"/>
        <v>-4.5572017597504955E-3</v>
      </c>
      <c r="I322" s="18">
        <f t="shared" si="8"/>
        <v>4.256828662646317E-3</v>
      </c>
      <c r="J322" s="18">
        <f t="shared" si="9"/>
        <v>-1.1344165435745901E-2</v>
      </c>
      <c r="K322" s="18">
        <f t="shared" si="10"/>
        <v>-6.8000625293106465E-3</v>
      </c>
      <c r="L322" s="19">
        <f t="shared" si="11"/>
        <v>-2.6782059528682511E-2</v>
      </c>
    </row>
    <row r="323" spans="2:12" hidden="1" outlineLevel="1" x14ac:dyDescent="0.3">
      <c r="B323" s="4">
        <v>45788</v>
      </c>
      <c r="C323" s="18">
        <f t="shared" si="1"/>
        <v>1.328742957946849E-2</v>
      </c>
      <c r="D323" s="18">
        <f t="shared" si="3"/>
        <v>1.6040388548057338E-2</v>
      </c>
      <c r="E323" s="18">
        <f t="shared" si="4"/>
        <v>7.0986530760830391E-3</v>
      </c>
      <c r="F323" s="18">
        <f t="shared" si="5"/>
        <v>2.8096701164294968E-2</v>
      </c>
      <c r="G323" s="18">
        <f t="shared" si="6"/>
        <v>2.3223438587610001E-2</v>
      </c>
      <c r="H323" s="18">
        <f t="shared" si="7"/>
        <v>3.9636925760033748E-4</v>
      </c>
      <c r="I323" s="18">
        <f t="shared" si="8"/>
        <v>6.5347933592370122E-3</v>
      </c>
      <c r="J323" s="18">
        <f t="shared" si="9"/>
        <v>3.9443016793163199E-2</v>
      </c>
      <c r="K323" s="18">
        <f t="shared" si="10"/>
        <v>2.321555048398527E-2</v>
      </c>
      <c r="L323" s="19">
        <f t="shared" si="11"/>
        <v>1.2557832121612655E-2</v>
      </c>
    </row>
    <row r="324" spans="2:12" hidden="1" outlineLevel="1" x14ac:dyDescent="0.3">
      <c r="B324" s="4">
        <v>45781</v>
      </c>
      <c r="C324" s="18">
        <f t="shared" si="1"/>
        <v>-3.3976356948305364E-2</v>
      </c>
      <c r="D324" s="18">
        <f t="shared" si="3"/>
        <v>-5.1764261903264441E-2</v>
      </c>
      <c r="E324" s="18">
        <f t="shared" si="4"/>
        <v>-5.4521356708235436E-2</v>
      </c>
      <c r="F324" s="18">
        <f t="shared" si="5"/>
        <v>-4.8366167276159056E-2</v>
      </c>
      <c r="G324" s="18">
        <f t="shared" si="6"/>
        <v>-7.6252319109461952E-2</v>
      </c>
      <c r="H324" s="18">
        <f t="shared" si="7"/>
        <v>-8.4432822219580816E-2</v>
      </c>
      <c r="I324" s="18">
        <f t="shared" si="8"/>
        <v>-4.4920161431830197E-2</v>
      </c>
      <c r="J324" s="18">
        <f t="shared" si="9"/>
        <v>-8.0837118380957862E-2</v>
      </c>
      <c r="K324" s="18">
        <f t="shared" si="10"/>
        <v>-8.194893093370248E-2</v>
      </c>
      <c r="L324" s="19">
        <f t="shared" si="11"/>
        <v>-8.8416805126987907E-2</v>
      </c>
    </row>
    <row r="325" spans="2:12" hidden="1" outlineLevel="1" x14ac:dyDescent="0.3">
      <c r="B325" s="4">
        <v>45774</v>
      </c>
      <c r="C325" s="18">
        <f t="shared" si="1"/>
        <v>1.2789582303867064E-3</v>
      </c>
      <c r="D325" s="18">
        <f t="shared" si="3"/>
        <v>-5.3064473335096007E-4</v>
      </c>
      <c r="E325" s="18">
        <f t="shared" si="4"/>
        <v>4.524021919204646E-3</v>
      </c>
      <c r="F325" s="18">
        <f t="shared" si="5"/>
        <v>3.5535721664394782E-3</v>
      </c>
      <c r="G325" s="18">
        <f t="shared" si="6"/>
        <v>1.7406440382941035E-3</v>
      </c>
      <c r="H325" s="18">
        <f t="shared" si="7"/>
        <v>-9.0228492297041996E-3</v>
      </c>
      <c r="I325" s="18">
        <f t="shared" si="8"/>
        <v>-3.2151387102701268E-3</v>
      </c>
      <c r="J325" s="18">
        <f t="shared" si="9"/>
        <v>8.757115156064299E-2</v>
      </c>
      <c r="K325" s="18">
        <f t="shared" si="10"/>
        <v>3.0746031081137604E-2</v>
      </c>
      <c r="L325" s="19">
        <f t="shared" si="11"/>
        <v>-3.8927223017836243E-2</v>
      </c>
    </row>
    <row r="326" spans="2:12" hidden="1" outlineLevel="1" x14ac:dyDescent="0.3">
      <c r="B326" s="4">
        <v>45767</v>
      </c>
      <c r="C326" s="18">
        <f t="shared" si="1"/>
        <v>9.5799343919655833E-4</v>
      </c>
      <c r="D326" s="18">
        <f t="shared" si="3"/>
        <v>-1.7653305017255039E-2</v>
      </c>
      <c r="E326" s="18">
        <f t="shared" si="4"/>
        <v>1.0783380907073425E-3</v>
      </c>
      <c r="F326" s="18">
        <f t="shared" si="5"/>
        <v>-8.1113352822497209E-3</v>
      </c>
      <c r="G326" s="18">
        <f t="shared" si="6"/>
        <v>-2.2923210586112353E-2</v>
      </c>
      <c r="H326" s="18">
        <f t="shared" si="7"/>
        <v>-1.7816982903556711E-2</v>
      </c>
      <c r="I326" s="18">
        <f t="shared" si="8"/>
        <v>-2.8015851073633802E-2</v>
      </c>
      <c r="J326" s="18">
        <f t="shared" si="9"/>
        <v>-1.0295048024386078E-2</v>
      </c>
      <c r="K326" s="18">
        <f t="shared" si="10"/>
        <v>3.1657658389889098E-2</v>
      </c>
      <c r="L326" s="19">
        <f t="shared" si="11"/>
        <v>1.0837171498239151E-3</v>
      </c>
    </row>
    <row r="327" spans="2:12" hidden="1" outlineLevel="1" x14ac:dyDescent="0.3">
      <c r="B327" s="4">
        <v>45760</v>
      </c>
      <c r="C327" s="18">
        <f t="shared" si="1"/>
        <v>-4.3242459396751753E-2</v>
      </c>
      <c r="D327" s="18">
        <f t="shared" si="3"/>
        <v>-4.1007971895689832E-2</v>
      </c>
      <c r="E327" s="18">
        <f t="shared" si="4"/>
        <v>-8.8835382080851621E-2</v>
      </c>
      <c r="F327" s="18">
        <f t="shared" si="5"/>
        <v>-1.6604400166044031E-2</v>
      </c>
      <c r="G327" s="18">
        <f t="shared" si="6"/>
        <v>-0.10615595075239403</v>
      </c>
      <c r="H327" s="18">
        <f t="shared" si="7"/>
        <v>-6.81146210790744E-2</v>
      </c>
      <c r="I327" s="18">
        <f t="shared" si="8"/>
        <v>-8.2961979709870071E-2</v>
      </c>
      <c r="J327" s="18">
        <f t="shared" si="9"/>
        <v>-7.6011157601115764E-2</v>
      </c>
      <c r="K327" s="18">
        <f t="shared" si="10"/>
        <v>-0.10434885369888924</v>
      </c>
      <c r="L327" s="19">
        <f t="shared" si="11"/>
        <v>-0.10690121786197559</v>
      </c>
    </row>
    <row r="328" spans="2:12" hidden="1" outlineLevel="1" x14ac:dyDescent="0.3">
      <c r="B328" s="4">
        <v>45753</v>
      </c>
      <c r="C328" s="18">
        <f t="shared" si="1"/>
        <v>-2.0431052775167546E-2</v>
      </c>
      <c r="D328" s="18">
        <f t="shared" si="3"/>
        <v>-7.079957731595643E-3</v>
      </c>
      <c r="E328" s="18">
        <f t="shared" si="4"/>
        <v>-3.2997218358831737E-2</v>
      </c>
      <c r="F328" s="18">
        <f t="shared" si="5"/>
        <v>1.2030392570704818E-2</v>
      </c>
      <c r="G328" s="18">
        <f t="shared" si="6"/>
        <v>-1.8786348331802816E-2</v>
      </c>
      <c r="H328" s="18">
        <f t="shared" si="7"/>
        <v>1.1665354612466983E-2</v>
      </c>
      <c r="I328" s="18">
        <f t="shared" si="8"/>
        <v>-6.0256410256410153E-2</v>
      </c>
      <c r="J328" s="18">
        <f t="shared" si="9"/>
        <v>-4.6559748427672965E-2</v>
      </c>
      <c r="K328" s="18">
        <f t="shared" si="10"/>
        <v>-4.9764700708096798E-2</v>
      </c>
      <c r="L328" s="19">
        <f t="shared" si="11"/>
        <v>-4.2931818181818238E-2</v>
      </c>
    </row>
    <row r="329" spans="2:12" hidden="1" outlineLevel="1" x14ac:dyDescent="0.3">
      <c r="B329" s="4">
        <v>45746</v>
      </c>
      <c r="C329" s="18">
        <f t="shared" si="1"/>
        <v>2.1011913971839657E-2</v>
      </c>
      <c r="D329" s="18">
        <f t="shared" si="3"/>
        <v>2.9940757032885124E-2</v>
      </c>
      <c r="E329" s="18">
        <f t="shared" si="4"/>
        <v>2.2688864118514118E-2</v>
      </c>
      <c r="F329" s="18">
        <f t="shared" si="5"/>
        <v>2.7320125130344097E-2</v>
      </c>
      <c r="G329" s="18">
        <f t="shared" si="6"/>
        <v>3.0181321895106361E-2</v>
      </c>
      <c r="H329" s="18">
        <f t="shared" si="7"/>
        <v>-2.4653367289190764E-2</v>
      </c>
      <c r="I329" s="18">
        <f t="shared" si="8"/>
        <v>1.4379703384236109E-2</v>
      </c>
      <c r="J329" s="18">
        <f t="shared" si="9"/>
        <v>-7.6914450813670987E-3</v>
      </c>
      <c r="K329" s="18">
        <f t="shared" si="10"/>
        <v>3.1774316724907825E-2</v>
      </c>
      <c r="L329" s="19">
        <f t="shared" si="11"/>
        <v>4.6108301077311564E-2</v>
      </c>
    </row>
    <row r="330" spans="2:12" hidden="1" outlineLevel="1" x14ac:dyDescent="0.3">
      <c r="B330" s="4">
        <v>45739</v>
      </c>
      <c r="C330" s="18">
        <f t="shared" si="1"/>
        <v>9.2971449354428026E-2</v>
      </c>
      <c r="D330" s="18">
        <f t="shared" si="3"/>
        <v>8.1975682843660636E-2</v>
      </c>
      <c r="E330" s="18">
        <f t="shared" si="4"/>
        <v>0.11982279727164058</v>
      </c>
      <c r="F330" s="18">
        <f t="shared" si="5"/>
        <v>6.4758424685342986E-2</v>
      </c>
      <c r="G330" s="18">
        <f t="shared" si="6"/>
        <v>7.3659108974601484E-2</v>
      </c>
      <c r="H330" s="18">
        <f t="shared" si="7"/>
        <v>8.5850710184345758E-2</v>
      </c>
      <c r="I330" s="18">
        <f t="shared" si="8"/>
        <v>0.19605418713868916</v>
      </c>
      <c r="J330" s="18">
        <f t="shared" si="9"/>
        <v>4.3787517200576831E-2</v>
      </c>
      <c r="K330" s="18">
        <f t="shared" si="10"/>
        <v>0.12156827561457018</v>
      </c>
      <c r="L330" s="19">
        <f t="shared" si="11"/>
        <v>0.22719774814994165</v>
      </c>
    </row>
    <row r="331" spans="2:12" hidden="1" outlineLevel="1" x14ac:dyDescent="0.3">
      <c r="B331" s="4">
        <v>45732</v>
      </c>
      <c r="C331" s="18">
        <f t="shared" si="1"/>
        <v>-7.7783786032195046E-3</v>
      </c>
      <c r="D331" s="18">
        <f t="shared" si="3"/>
        <v>1.3943271893801734E-2</v>
      </c>
      <c r="E331" s="18">
        <f t="shared" si="4"/>
        <v>-1.6200941915227585E-2</v>
      </c>
      <c r="F331" s="18">
        <f t="shared" si="5"/>
        <v>7.8169685414681833E-3</v>
      </c>
      <c r="G331" s="18">
        <f t="shared" si="6"/>
        <v>-6.3458487572712885E-3</v>
      </c>
      <c r="H331" s="18">
        <f t="shared" si="7"/>
        <v>6.4345909359100339E-3</v>
      </c>
      <c r="I331" s="18">
        <f t="shared" si="8"/>
        <v>-4.3201088188619341E-2</v>
      </c>
      <c r="J331" s="18">
        <f t="shared" si="9"/>
        <v>-2.6302716885962085E-2</v>
      </c>
      <c r="K331" s="18">
        <f t="shared" si="10"/>
        <v>-2.8097752179825575E-2</v>
      </c>
      <c r="L331" s="19">
        <f t="shared" si="11"/>
        <v>-4.4689981749124419E-2</v>
      </c>
    </row>
    <row r="332" spans="2:12" hidden="1" outlineLevel="1" x14ac:dyDescent="0.3">
      <c r="B332" s="4">
        <v>45725</v>
      </c>
      <c r="C332" s="18">
        <f t="shared" si="1"/>
        <v>-1.8738995556300764E-2</v>
      </c>
      <c r="D332" s="18">
        <f t="shared" si="3"/>
        <v>-7.9746318796898308E-3</v>
      </c>
      <c r="E332" s="18">
        <f t="shared" si="4"/>
        <v>-2.039318312376337E-2</v>
      </c>
      <c r="F332" s="18">
        <f t="shared" si="5"/>
        <v>-1.1350737797957144E-3</v>
      </c>
      <c r="G332" s="18">
        <f t="shared" si="6"/>
        <v>2.228135533084985E-2</v>
      </c>
      <c r="H332" s="18">
        <f t="shared" si="7"/>
        <v>-1.1769260549748362E-2</v>
      </c>
      <c r="I332" s="18">
        <f t="shared" si="8"/>
        <v>-2.8395143634313058E-2</v>
      </c>
      <c r="J332" s="18">
        <f t="shared" si="9"/>
        <v>-4.1389775521950667E-2</v>
      </c>
      <c r="K332" s="18">
        <f t="shared" si="10"/>
        <v>-9.2512191608880689E-2</v>
      </c>
      <c r="L332" s="19">
        <f t="shared" si="11"/>
        <v>-5.8675840346981922E-2</v>
      </c>
    </row>
    <row r="333" spans="2:12" hidden="1" outlineLevel="1" x14ac:dyDescent="0.3">
      <c r="B333" s="4">
        <v>45718</v>
      </c>
      <c r="C333" s="18">
        <f t="shared" si="1"/>
        <v>2.8524230643254711E-2</v>
      </c>
      <c r="D333" s="18">
        <f t="shared" si="3"/>
        <v>6.7189923093964765E-2</v>
      </c>
      <c r="E333" s="18">
        <f t="shared" si="4"/>
        <v>1.5116468480208534E-2</v>
      </c>
      <c r="F333" s="18">
        <f t="shared" si="5"/>
        <v>7.8787878787878851E-2</v>
      </c>
      <c r="G333" s="18">
        <f t="shared" si="6"/>
        <v>3.5886578974768213E-2</v>
      </c>
      <c r="H333" s="18">
        <f t="shared" si="7"/>
        <v>5.7062267044246218E-2</v>
      </c>
      <c r="I333" s="18">
        <f t="shared" si="8"/>
        <v>2.9859045017802233E-2</v>
      </c>
      <c r="J333" s="18">
        <f t="shared" si="9"/>
        <v>3.2901200873362457E-2</v>
      </c>
      <c r="K333" s="18">
        <f t="shared" si="10"/>
        <v>4.4033285717524739E-2</v>
      </c>
      <c r="L333" s="19">
        <f t="shared" si="11"/>
        <v>5.6909732935650936E-2</v>
      </c>
    </row>
    <row r="334" spans="2:12" hidden="1" outlineLevel="1" x14ac:dyDescent="0.3">
      <c r="B334" s="4">
        <v>45711</v>
      </c>
      <c r="C334" s="18">
        <f t="shared" si="1"/>
        <v>-3.5431435533894495E-2</v>
      </c>
      <c r="D334" s="18">
        <f t="shared" si="3"/>
        <v>1.0083036773429477E-3</v>
      </c>
      <c r="E334" s="18">
        <f t="shared" si="4"/>
        <v>1.0975962001347872E-2</v>
      </c>
      <c r="F334" s="18">
        <f t="shared" si="5"/>
        <v>-2.5105337078651813E-2</v>
      </c>
      <c r="G334" s="18">
        <f t="shared" si="6"/>
        <v>-3.0153784299929987E-3</v>
      </c>
      <c r="H334" s="18">
        <f t="shared" si="7"/>
        <v>-1.1859507195120633E-2</v>
      </c>
      <c r="I334" s="18">
        <f t="shared" si="8"/>
        <v>4.754868530726597E-3</v>
      </c>
      <c r="J334" s="18">
        <f t="shared" si="9"/>
        <v>2.5736216987488403E-2</v>
      </c>
      <c r="K334" s="18">
        <f t="shared" si="10"/>
        <v>-2.3889673145835566E-2</v>
      </c>
      <c r="L334" s="19">
        <f t="shared" si="11"/>
        <v>-4.4776022576145769E-2</v>
      </c>
    </row>
    <row r="335" spans="2:12" hidden="1" outlineLevel="1" x14ac:dyDescent="0.3">
      <c r="B335" s="4">
        <v>45704</v>
      </c>
      <c r="C335" s="18">
        <f t="shared" si="1"/>
        <v>8.6915954927151429E-2</v>
      </c>
      <c r="D335" s="18">
        <f t="shared" si="3"/>
        <v>7.5428097410677131E-2</v>
      </c>
      <c r="E335" s="18">
        <f t="shared" si="4"/>
        <v>7.977524523031021E-2</v>
      </c>
      <c r="F335" s="18">
        <f t="shared" si="5"/>
        <v>0.10336754907257362</v>
      </c>
      <c r="G335" s="18">
        <f t="shared" si="6"/>
        <v>0.10864670497698037</v>
      </c>
      <c r="H335" s="18">
        <f t="shared" si="7"/>
        <v>0.13556724782734486</v>
      </c>
      <c r="I335" s="18">
        <f t="shared" si="8"/>
        <v>7.6622862421991567E-2</v>
      </c>
      <c r="J335" s="18">
        <f t="shared" si="9"/>
        <v>8.2574479320959959E-2</v>
      </c>
      <c r="K335" s="18">
        <f t="shared" si="10"/>
        <v>0.14252975859383699</v>
      </c>
      <c r="L335" s="19">
        <f t="shared" si="11"/>
        <v>1.8207996305427132E-2</v>
      </c>
    </row>
    <row r="336" spans="2:12" hidden="1" outlineLevel="1" x14ac:dyDescent="0.3">
      <c r="B336" s="4">
        <v>45697</v>
      </c>
      <c r="C336" s="18">
        <f t="shared" si="1"/>
        <v>3.9315900686740513E-2</v>
      </c>
      <c r="D336" s="18">
        <f t="shared" si="3"/>
        <v>2.2809917355371967E-2</v>
      </c>
      <c r="E336" s="18">
        <f t="shared" si="4"/>
        <v>6.2033280413946734E-3</v>
      </c>
      <c r="F336" s="18">
        <f t="shared" si="5"/>
        <v>5.7124204341438833E-3</v>
      </c>
      <c r="G336" s="18">
        <f t="shared" si="6"/>
        <v>5.8199454380114535E-3</v>
      </c>
      <c r="H336" s="18">
        <f t="shared" si="7"/>
        <v>4.0218929885816879E-2</v>
      </c>
      <c r="I336" s="18">
        <f t="shared" si="8"/>
        <v>-2.5848029000227757E-2</v>
      </c>
      <c r="J336" s="18">
        <f t="shared" si="9"/>
        <v>6.638310529446767E-2</v>
      </c>
      <c r="K336" s="18">
        <f t="shared" si="10"/>
        <v>-5.1800354423477968E-3</v>
      </c>
      <c r="L336" s="19">
        <f t="shared" si="11"/>
        <v>3.9640084309383372E-2</v>
      </c>
    </row>
    <row r="337" spans="2:12" hidden="1" outlineLevel="1" x14ac:dyDescent="0.3">
      <c r="B337" s="4">
        <v>45690</v>
      </c>
      <c r="C337" s="18">
        <f t="shared" si="1"/>
        <v>2.4028870223769649E-2</v>
      </c>
      <c r="D337" s="18">
        <f t="shared" si="3"/>
        <v>2.5452488687782715E-2</v>
      </c>
      <c r="E337" s="18">
        <f t="shared" si="4"/>
        <v>8.4149013878744849E-3</v>
      </c>
      <c r="F337" s="18">
        <f t="shared" si="5"/>
        <v>3.2132424537487658E-2</v>
      </c>
      <c r="G337" s="18">
        <f t="shared" si="6"/>
        <v>1.989030197094821E-2</v>
      </c>
      <c r="H337" s="18">
        <f t="shared" si="7"/>
        <v>8.073880542855072E-2</v>
      </c>
      <c r="I337" s="18">
        <f t="shared" si="8"/>
        <v>0.12429216028187762</v>
      </c>
      <c r="J337" s="18">
        <f t="shared" si="9"/>
        <v>5.4641607952738758E-2</v>
      </c>
      <c r="K337" s="18">
        <f t="shared" si="10"/>
        <v>0.12303024371146121</v>
      </c>
      <c r="L337" s="19">
        <f t="shared" si="11"/>
        <v>9.5273534487736233E-2</v>
      </c>
    </row>
    <row r="338" spans="2:12" hidden="1" outlineLevel="1" x14ac:dyDescent="0.3">
      <c r="B338" s="4">
        <v>45683</v>
      </c>
      <c r="C338" s="18">
        <f t="shared" si="1"/>
        <v>2.0598600287883961E-2</v>
      </c>
      <c r="D338" s="18">
        <f t="shared" si="3"/>
        <v>-1.2528563548971805E-2</v>
      </c>
      <c r="E338" s="18">
        <f t="shared" si="4"/>
        <v>-1.1589835714076457E-4</v>
      </c>
      <c r="F338" s="18">
        <f t="shared" si="5"/>
        <v>-1.9182389937106969E-2</v>
      </c>
      <c r="G338" s="18">
        <f t="shared" si="6"/>
        <v>-1.043082560132369E-2</v>
      </c>
      <c r="H338" s="18">
        <f t="shared" si="7"/>
        <v>-7.1265487022799112E-3</v>
      </c>
      <c r="I338" s="18">
        <f t="shared" si="8"/>
        <v>-3.5416766601109706E-2</v>
      </c>
      <c r="J338" s="18">
        <f t="shared" si="9"/>
        <v>-3.4979423868312876E-2</v>
      </c>
      <c r="K338" s="18">
        <f t="shared" si="10"/>
        <v>-1.9173784207782152E-4</v>
      </c>
      <c r="L338" s="19">
        <f t="shared" si="11"/>
        <v>-3.1865602136869842E-2</v>
      </c>
    </row>
    <row r="339" spans="2:12" hidden="1" outlineLevel="1" x14ac:dyDescent="0.3">
      <c r="B339" s="4">
        <v>45676</v>
      </c>
      <c r="C339" s="18">
        <f t="shared" si="1"/>
        <v>9.7145219336642885E-3</v>
      </c>
      <c r="D339" s="18">
        <f t="shared" si="3"/>
        <v>-2.3140759655282395E-3</v>
      </c>
      <c r="E339" s="18">
        <f t="shared" si="4"/>
        <v>3.9062273609782983E-2</v>
      </c>
      <c r="F339" s="18">
        <f t="shared" si="5"/>
        <v>2.6290477717217264E-2</v>
      </c>
      <c r="G339" s="18">
        <f t="shared" si="6"/>
        <v>2.9024455791453851E-2</v>
      </c>
      <c r="H339" s="18">
        <f t="shared" si="7"/>
        <v>1.4203224470126674E-2</v>
      </c>
      <c r="I339" s="18">
        <f t="shared" si="8"/>
        <v>5.4379537844378767E-2</v>
      </c>
      <c r="J339" s="18">
        <f t="shared" si="9"/>
        <v>7.4939295443458454E-2</v>
      </c>
      <c r="K339" s="18">
        <f t="shared" si="10"/>
        <v>4.9286075419725073E-2</v>
      </c>
      <c r="L339" s="19">
        <f t="shared" si="11"/>
        <v>0.11746946036048578</v>
      </c>
    </row>
    <row r="340" spans="2:12" hidden="1" outlineLevel="1" x14ac:dyDescent="0.3">
      <c r="B340" s="4">
        <v>45669</v>
      </c>
      <c r="C340" s="18">
        <f t="shared" si="1"/>
        <v>-6.7552109046684627E-3</v>
      </c>
      <c r="D340" s="18">
        <f t="shared" si="3"/>
        <v>-3.1992321842757687E-2</v>
      </c>
      <c r="E340" s="18">
        <f t="shared" si="4"/>
        <v>-2.203196028669363E-3</v>
      </c>
      <c r="F340" s="18">
        <f t="shared" si="5"/>
        <v>-0.11918150577944397</v>
      </c>
      <c r="G340" s="18">
        <f t="shared" si="6"/>
        <v>-3.6417979745219209E-2</v>
      </c>
      <c r="H340" s="18">
        <f t="shared" si="7"/>
        <v>-1.7980544001066856E-2</v>
      </c>
      <c r="I340" s="18">
        <f t="shared" si="8"/>
        <v>-6.2800185515631268E-2</v>
      </c>
      <c r="J340" s="18">
        <f t="shared" si="9"/>
        <v>2.2589017556204904E-2</v>
      </c>
      <c r="K340" s="18">
        <f t="shared" si="10"/>
        <v>-6.3835443458611807E-2</v>
      </c>
      <c r="L340" s="19">
        <f t="shared" si="11"/>
        <v>-6.4220431854113968E-2</v>
      </c>
    </row>
    <row r="341" spans="2:12" hidden="1" outlineLevel="1" x14ac:dyDescent="0.3">
      <c r="B341" s="4">
        <v>45662</v>
      </c>
      <c r="C341" s="18">
        <f t="shared" si="1"/>
        <v>1.8044274179860764E-2</v>
      </c>
      <c r="D341" s="18">
        <f t="shared" si="3"/>
        <v>8.3450384202263805E-2</v>
      </c>
      <c r="E341" s="18">
        <f t="shared" si="4"/>
        <v>0.11153222650790995</v>
      </c>
      <c r="F341" s="18">
        <f t="shared" si="5"/>
        <v>6.5969143465153479E-2</v>
      </c>
      <c r="G341" s="18">
        <f t="shared" si="6"/>
        <v>2.7284225742335799E-2</v>
      </c>
      <c r="H341" s="18">
        <f t="shared" si="7"/>
        <v>3.9743306792523247E-2</v>
      </c>
      <c r="I341" s="18">
        <f t="shared" si="8"/>
        <v>6.0130510635442391E-2</v>
      </c>
      <c r="J341" s="18">
        <f t="shared" si="9"/>
        <v>0.14203437666734819</v>
      </c>
      <c r="K341" s="18">
        <f t="shared" si="10"/>
        <v>3.4715320176061493E-2</v>
      </c>
      <c r="L341" s="19">
        <f t="shared" si="11"/>
        <v>8.8248057350822418E-2</v>
      </c>
    </row>
    <row r="342" spans="2:12" hidden="1" outlineLevel="1" x14ac:dyDescent="0.3">
      <c r="B342" s="4">
        <v>45655</v>
      </c>
      <c r="C342" s="18">
        <f t="shared" si="1"/>
        <v>-3.8857080253029475E-2</v>
      </c>
      <c r="D342" s="18">
        <f t="shared" si="3"/>
        <v>-1.4336917562724039E-2</v>
      </c>
      <c r="E342" s="18">
        <f t="shared" si="4"/>
        <v>-2.4285613703342368E-2</v>
      </c>
      <c r="F342" s="18">
        <f t="shared" si="5"/>
        <v>-2.0296123773082764E-2</v>
      </c>
      <c r="G342" s="18">
        <f t="shared" si="6"/>
        <v>-9.468808630393899E-3</v>
      </c>
      <c r="H342" s="18">
        <f t="shared" si="7"/>
        <v>-6.3842988700933967E-2</v>
      </c>
      <c r="I342" s="18">
        <f t="shared" si="8"/>
        <v>1.3655819546968706E-2</v>
      </c>
      <c r="J342" s="18">
        <f t="shared" si="9"/>
        <v>9.3150589231837166E-2</v>
      </c>
      <c r="K342" s="18">
        <f t="shared" si="10"/>
        <v>-1.5694682675814753E-2</v>
      </c>
      <c r="L342" s="19">
        <f t="shared" si="11"/>
        <v>2.8232216627765538E-2</v>
      </c>
    </row>
    <row r="343" spans="2:12" hidden="1" outlineLevel="1" x14ac:dyDescent="0.3">
      <c r="B343" s="4">
        <v>45648</v>
      </c>
      <c r="C343" s="18">
        <f t="shared" si="1"/>
        <v>1.5841628320163004E-2</v>
      </c>
      <c r="D343" s="18">
        <f t="shared" si="3"/>
        <v>-1.134751773049647E-2</v>
      </c>
      <c r="E343" s="18">
        <f t="shared" si="4"/>
        <v>-2.8070283950044628E-2</v>
      </c>
      <c r="F343" s="18">
        <f t="shared" si="5"/>
        <v>4.9753778230599455E-2</v>
      </c>
      <c r="G343" s="18">
        <f t="shared" si="6"/>
        <v>1.3140371126697969E-2</v>
      </c>
      <c r="H343" s="18">
        <f t="shared" si="7"/>
        <v>-9.662678340949471E-3</v>
      </c>
      <c r="I343" s="18">
        <f t="shared" si="8"/>
        <v>-1.9278951599683847E-3</v>
      </c>
      <c r="J343" s="18">
        <f t="shared" si="9"/>
        <v>1.0269171316618975E-2</v>
      </c>
      <c r="K343" s="18">
        <f t="shared" si="10"/>
        <v>5.1232900583775276E-3</v>
      </c>
      <c r="L343" s="19">
        <f t="shared" si="11"/>
        <v>-2.2601645354278666E-2</v>
      </c>
    </row>
    <row r="344" spans="2:12" hidden="1" outlineLevel="1" x14ac:dyDescent="0.3">
      <c r="B344" s="4">
        <v>45641</v>
      </c>
      <c r="C344" s="18">
        <f t="shared" si="1"/>
        <v>1.3074765215268513E-3</v>
      </c>
      <c r="D344" s="18">
        <f t="shared" si="3"/>
        <v>2.8172688143994762E-3</v>
      </c>
      <c r="E344" s="18">
        <f t="shared" si="4"/>
        <v>1.0224482544665792E-2</v>
      </c>
      <c r="F344" s="18">
        <f t="shared" si="5"/>
        <v>-1.2617275962471752E-2</v>
      </c>
      <c r="G344" s="18">
        <f t="shared" si="6"/>
        <v>-1.4956328688692233E-2</v>
      </c>
      <c r="H344" s="18">
        <f t="shared" si="7"/>
        <v>2.5766114829165243E-2</v>
      </c>
      <c r="I344" s="18">
        <f t="shared" si="8"/>
        <v>-3.8945195195195792E-3</v>
      </c>
      <c r="J344" s="18">
        <f t="shared" si="9"/>
        <v>-3.155393544509999E-2</v>
      </c>
      <c r="K344" s="18">
        <f t="shared" si="10"/>
        <v>2.3110664193207286E-2</v>
      </c>
      <c r="L344" s="19">
        <f t="shared" si="11"/>
        <v>-8.5333982287776333E-3</v>
      </c>
    </row>
    <row r="345" spans="2:12" hidden="1" outlineLevel="1" x14ac:dyDescent="0.3">
      <c r="B345" s="4">
        <v>45634</v>
      </c>
      <c r="C345" s="18">
        <f t="shared" ref="C345:C408" si="12">E76/E75-1</f>
        <v>7.2801508455830444E-2</v>
      </c>
      <c r="D345" s="18">
        <f t="shared" si="3"/>
        <v>4.0345446505215543E-2</v>
      </c>
      <c r="E345" s="18">
        <f t="shared" si="4"/>
        <v>3.0058531719992621E-2</v>
      </c>
      <c r="F345" s="18">
        <f t="shared" si="5"/>
        <v>1.5563564875491487E-2</v>
      </c>
      <c r="G345" s="18">
        <f t="shared" si="6"/>
        <v>6.5448830105868883E-2</v>
      </c>
      <c r="H345" s="18">
        <f t="shared" si="7"/>
        <v>0.15283381693937459</v>
      </c>
      <c r="I345" s="18">
        <f t="shared" si="8"/>
        <v>1.7107101920329049E-2</v>
      </c>
      <c r="J345" s="18">
        <f t="shared" si="9"/>
        <v>2.9597756285950627E-3</v>
      </c>
      <c r="K345" s="18">
        <f t="shared" si="10"/>
        <v>8.2966176370907752E-2</v>
      </c>
      <c r="L345" s="19">
        <f t="shared" si="11"/>
        <v>-7.4382767102966207E-3</v>
      </c>
    </row>
    <row r="346" spans="2:12" hidden="1" outlineLevel="1" x14ac:dyDescent="0.3">
      <c r="B346" s="4">
        <v>45627</v>
      </c>
      <c r="C346" s="18">
        <f t="shared" si="12"/>
        <v>-6.3469355314847986E-3</v>
      </c>
      <c r="D346" s="18">
        <f t="shared" ref="D346:D409" si="13">F77/F76-1</f>
        <v>-3.8655798369755412E-2</v>
      </c>
      <c r="E346" s="18">
        <f t="shared" ref="E346:E409" si="14">G77/G76-1</f>
        <v>-2.3417473155268875E-2</v>
      </c>
      <c r="F346" s="18">
        <f t="shared" ref="F346:F409" si="15">H77/H76-1</f>
        <v>-4.0651718019035221E-2</v>
      </c>
      <c r="G346" s="18">
        <f t="shared" ref="G346:G409" si="16">I77/I76-1</f>
        <v>-7.5706969494545584E-3</v>
      </c>
      <c r="H346" s="18">
        <f t="shared" ref="H346:H409" si="17">J77/J76-1</f>
        <v>-4.9974309139244499E-2</v>
      </c>
      <c r="I346" s="18">
        <f t="shared" ref="I346:I409" si="18">K77/K76-1</f>
        <v>-4.6837973647850584E-2</v>
      </c>
      <c r="J346" s="18">
        <f t="shared" ref="J346:J409" si="19">L77/L76-1</f>
        <v>2.4072355460036832E-2</v>
      </c>
      <c r="K346" s="18">
        <f t="shared" ref="K346:K409" si="20">M77/M76-1</f>
        <v>-4.4266758465293932E-2</v>
      </c>
      <c r="L346" s="19">
        <f t="shared" ref="L346:L409" si="21">N77/N76-1</f>
        <v>-4.2932021611160498E-2</v>
      </c>
    </row>
    <row r="347" spans="2:12" hidden="1" outlineLevel="1" x14ac:dyDescent="0.3">
      <c r="B347" s="4">
        <v>45620</v>
      </c>
      <c r="C347" s="18">
        <f t="shared" si="12"/>
        <v>-3.9286979374964281E-2</v>
      </c>
      <c r="D347" s="18">
        <f t="shared" si="13"/>
        <v>-3.3577819392426211E-2</v>
      </c>
      <c r="E347" s="18">
        <f t="shared" si="14"/>
        <v>-3.8825629089998315E-2</v>
      </c>
      <c r="F347" s="18">
        <f t="shared" si="15"/>
        <v>-2.835042878762406E-2</v>
      </c>
      <c r="G347" s="18">
        <f t="shared" si="16"/>
        <v>-3.9544536683868037E-2</v>
      </c>
      <c r="H347" s="18">
        <f t="shared" si="17"/>
        <v>-3.237235259997806E-2</v>
      </c>
      <c r="I347" s="18">
        <f t="shared" si="18"/>
        <v>-4.3503259505203173E-2</v>
      </c>
      <c r="J347" s="18">
        <f t="shared" si="19"/>
        <v>-7.0197543622560477E-2</v>
      </c>
      <c r="K347" s="18">
        <f t="shared" si="20"/>
        <v>-2.5999115899081437E-2</v>
      </c>
      <c r="L347" s="19">
        <f t="shared" si="21"/>
        <v>-2.4220773020125819E-2</v>
      </c>
    </row>
    <row r="348" spans="2:12" hidden="1" outlineLevel="1" x14ac:dyDescent="0.3">
      <c r="B348" s="4">
        <v>45613</v>
      </c>
      <c r="C348" s="18">
        <f t="shared" si="12"/>
        <v>-6.1467610565578701E-3</v>
      </c>
      <c r="D348" s="18">
        <f t="shared" si="13"/>
        <v>2.389859245902537E-2</v>
      </c>
      <c r="E348" s="18">
        <f t="shared" si="14"/>
        <v>2.7244198799040165E-2</v>
      </c>
      <c r="F348" s="18">
        <f t="shared" si="15"/>
        <v>-1.0695002076699489E-2</v>
      </c>
      <c r="G348" s="18">
        <f t="shared" si="16"/>
        <v>2.0527944869473957E-2</v>
      </c>
      <c r="H348" s="18">
        <f t="shared" si="17"/>
        <v>-6.2698464130646059E-3</v>
      </c>
      <c r="I348" s="18">
        <f t="shared" si="18"/>
        <v>-1.8524633190249995E-2</v>
      </c>
      <c r="J348" s="18">
        <f t="shared" si="19"/>
        <v>-1.5393559584318428E-2</v>
      </c>
      <c r="K348" s="18">
        <f t="shared" si="20"/>
        <v>-3.0592862785967623E-2</v>
      </c>
      <c r="L348" s="19">
        <f t="shared" si="21"/>
        <v>-4.1256756678966444E-2</v>
      </c>
    </row>
    <row r="349" spans="2:12" hidden="1" outlineLevel="1" x14ac:dyDescent="0.3">
      <c r="B349" s="4">
        <v>45606</v>
      </c>
      <c r="C349" s="18">
        <f t="shared" si="12"/>
        <v>-2.3252752513164165E-2</v>
      </c>
      <c r="D349" s="18">
        <f t="shared" si="13"/>
        <v>-1.9818635825995523E-2</v>
      </c>
      <c r="E349" s="18">
        <f t="shared" si="14"/>
        <v>-2.077651635271982E-2</v>
      </c>
      <c r="F349" s="18">
        <f t="shared" si="15"/>
        <v>-8.6764860231605123E-3</v>
      </c>
      <c r="G349" s="18">
        <f t="shared" si="16"/>
        <v>-3.4307133251309074E-2</v>
      </c>
      <c r="H349" s="18">
        <f t="shared" si="17"/>
        <v>-2.266984038997677E-2</v>
      </c>
      <c r="I349" s="18">
        <f t="shared" si="18"/>
        <v>-1.4224714254906123E-2</v>
      </c>
      <c r="J349" s="18">
        <f t="shared" si="19"/>
        <v>2.1894862978014018E-2</v>
      </c>
      <c r="K349" s="18">
        <f t="shared" si="20"/>
        <v>-1.5345667666591511E-2</v>
      </c>
      <c r="L349" s="19">
        <f t="shared" si="21"/>
        <v>-3.0441308916241416E-2</v>
      </c>
    </row>
    <row r="350" spans="2:12" hidden="1" outlineLevel="1" x14ac:dyDescent="0.3">
      <c r="B350" s="4">
        <v>45599</v>
      </c>
      <c r="C350" s="18">
        <f t="shared" si="12"/>
        <v>2.6465074678072575E-4</v>
      </c>
      <c r="D350" s="18">
        <f t="shared" si="13"/>
        <v>-1.855675632190068E-2</v>
      </c>
      <c r="E350" s="18">
        <f t="shared" si="14"/>
        <v>-1.1539727861048399E-2</v>
      </c>
      <c r="F350" s="18">
        <f t="shared" si="15"/>
        <v>4.0585847891299043E-3</v>
      </c>
      <c r="G350" s="18">
        <f t="shared" si="16"/>
        <v>-3.6444444444444501E-3</v>
      </c>
      <c r="H350" s="18">
        <f t="shared" si="17"/>
        <v>-1.1293403284595382E-2</v>
      </c>
      <c r="I350" s="18">
        <f t="shared" si="18"/>
        <v>-7.8931709195282362E-3</v>
      </c>
      <c r="J350" s="18">
        <f t="shared" si="19"/>
        <v>-2.1277047724655884E-2</v>
      </c>
      <c r="K350" s="18">
        <f t="shared" si="20"/>
        <v>6.7094002042755729E-3</v>
      </c>
      <c r="L350" s="19">
        <f t="shared" si="21"/>
        <v>-1.4887292543968256E-2</v>
      </c>
    </row>
    <row r="351" spans="2:12" hidden="1" outlineLevel="1" x14ac:dyDescent="0.3">
      <c r="B351" s="4">
        <v>45592</v>
      </c>
      <c r="C351" s="18">
        <f t="shared" si="12"/>
        <v>-3.9258390026286616E-2</v>
      </c>
      <c r="D351" s="18">
        <f t="shared" si="13"/>
        <v>-3.7760594551763838E-2</v>
      </c>
      <c r="E351" s="18">
        <f t="shared" si="14"/>
        <v>-4.3590793676795747E-2</v>
      </c>
      <c r="F351" s="18">
        <f t="shared" si="15"/>
        <v>-3.1036906854129964E-2</v>
      </c>
      <c r="G351" s="18">
        <f t="shared" si="16"/>
        <v>-4.6212864662324771E-2</v>
      </c>
      <c r="H351" s="18">
        <f t="shared" si="17"/>
        <v>-3.2959616666244806E-2</v>
      </c>
      <c r="I351" s="18">
        <f t="shared" si="18"/>
        <v>-4.9341118775027781E-2</v>
      </c>
      <c r="J351" s="18">
        <f t="shared" si="19"/>
        <v>-6.0409006654714492E-2</v>
      </c>
      <c r="K351" s="18">
        <f t="shared" si="20"/>
        <v>1.2524708310738708E-2</v>
      </c>
      <c r="L351" s="19">
        <f t="shared" si="21"/>
        <v>-5.0428725892026516E-2</v>
      </c>
    </row>
    <row r="352" spans="2:12" hidden="1" outlineLevel="1" x14ac:dyDescent="0.3">
      <c r="B352" s="4">
        <v>45585</v>
      </c>
      <c r="C352" s="18">
        <f t="shared" si="12"/>
        <v>1.8410477142449144E-2</v>
      </c>
      <c r="D352" s="18">
        <f t="shared" si="13"/>
        <v>5.7472243518755128E-2</v>
      </c>
      <c r="E352" s="18">
        <f t="shared" si="14"/>
        <v>5.4027359093815619E-2</v>
      </c>
      <c r="F352" s="18">
        <f t="shared" si="15"/>
        <v>-1.4292451119091609E-2</v>
      </c>
      <c r="G352" s="18">
        <f t="shared" si="16"/>
        <v>7.0339537929099194E-2</v>
      </c>
      <c r="H352" s="18">
        <f t="shared" si="17"/>
        <v>2.9939283969572017E-2</v>
      </c>
      <c r="I352" s="18">
        <f t="shared" si="18"/>
        <v>5.2310261644089806E-2</v>
      </c>
      <c r="J352" s="18">
        <f t="shared" si="19"/>
        <v>6.070770211645149E-3</v>
      </c>
      <c r="K352" s="18">
        <f t="shared" si="20"/>
        <v>5.0757562669523137E-2</v>
      </c>
      <c r="L352" s="19">
        <f t="shared" si="21"/>
        <v>2.4779218027989991E-2</v>
      </c>
    </row>
    <row r="353" spans="2:12" hidden="1" outlineLevel="1" x14ac:dyDescent="0.3">
      <c r="B353" s="4">
        <v>45578</v>
      </c>
      <c r="C353" s="18">
        <f t="shared" si="12"/>
        <v>1.61421975622702E-2</v>
      </c>
      <c r="D353" s="18">
        <f t="shared" si="13"/>
        <v>9.4250959963479986E-3</v>
      </c>
      <c r="E353" s="18">
        <f t="shared" si="14"/>
        <v>2.8870893481027782E-3</v>
      </c>
      <c r="F353" s="18">
        <f t="shared" si="15"/>
        <v>9.5683214956021612E-3</v>
      </c>
      <c r="G353" s="18">
        <f t="shared" si="16"/>
        <v>-1.6633167292959272E-2</v>
      </c>
      <c r="H353" s="18">
        <f t="shared" si="17"/>
        <v>1.4991868816912834E-2</v>
      </c>
      <c r="I353" s="18">
        <f t="shared" si="18"/>
        <v>-2.9051825988820168E-2</v>
      </c>
      <c r="J353" s="18">
        <f t="shared" si="19"/>
        <v>6.3881962334853437E-2</v>
      </c>
      <c r="K353" s="18">
        <f t="shared" si="20"/>
        <v>1.7987208365531471E-2</v>
      </c>
      <c r="L353" s="19">
        <f t="shared" si="21"/>
        <v>-6.8405718457076103E-2</v>
      </c>
    </row>
    <row r="354" spans="2:12" hidden="1" outlineLevel="1" x14ac:dyDescent="0.3">
      <c r="B354" s="4">
        <v>45571</v>
      </c>
      <c r="C354" s="18">
        <f t="shared" si="12"/>
        <v>6.3424790863282343E-3</v>
      </c>
      <c r="D354" s="18">
        <f t="shared" si="13"/>
        <v>2.9527559055118058E-2</v>
      </c>
      <c r="E354" s="18">
        <f t="shared" si="14"/>
        <v>-9.7165510834575919E-3</v>
      </c>
      <c r="F354" s="18">
        <f t="shared" si="15"/>
        <v>-3.7108591841942262E-2</v>
      </c>
      <c r="G354" s="18">
        <f t="shared" si="16"/>
        <v>-2.4201670715089829E-2</v>
      </c>
      <c r="H354" s="18">
        <f t="shared" si="17"/>
        <v>6.9971794315469626E-2</v>
      </c>
      <c r="I354" s="18">
        <f t="shared" si="18"/>
        <v>-6.6471127738981783E-3</v>
      </c>
      <c r="J354" s="18">
        <f t="shared" si="19"/>
        <v>-2.3481473807798192E-3</v>
      </c>
      <c r="K354" s="18">
        <f t="shared" si="20"/>
        <v>-7.087135589114113E-2</v>
      </c>
      <c r="L354" s="19">
        <f t="shared" si="21"/>
        <v>2.3604793076666963E-2</v>
      </c>
    </row>
    <row r="355" spans="2:12" hidden="1" outlineLevel="1" x14ac:dyDescent="0.3">
      <c r="B355" s="4">
        <v>45564</v>
      </c>
      <c r="C355" s="18">
        <f t="shared" si="12"/>
        <v>2.4837846374590189E-2</v>
      </c>
      <c r="D355" s="18">
        <f t="shared" si="13"/>
        <v>-8.7592372487208525E-3</v>
      </c>
      <c r="E355" s="18">
        <f t="shared" si="14"/>
        <v>-3.4273434815570214E-2</v>
      </c>
      <c r="F355" s="18">
        <f t="shared" si="15"/>
        <v>9.9186068521672777E-3</v>
      </c>
      <c r="G355" s="18">
        <f t="shared" si="16"/>
        <v>-1.857867095716581E-2</v>
      </c>
      <c r="H355" s="18">
        <f t="shared" si="17"/>
        <v>-4.6303589951567137E-2</v>
      </c>
      <c r="I355" s="18">
        <f t="shared" si="18"/>
        <v>-6.0014077940598431E-2</v>
      </c>
      <c r="J355" s="18">
        <f t="shared" si="19"/>
        <v>-5.2369249939427376E-2</v>
      </c>
      <c r="K355" s="18">
        <f t="shared" si="20"/>
        <v>-1.0342969388287271E-2</v>
      </c>
      <c r="L355" s="19">
        <f t="shared" si="21"/>
        <v>-3.455681109936859E-2</v>
      </c>
    </row>
    <row r="356" spans="2:12" hidden="1" outlineLevel="1" x14ac:dyDescent="0.3">
      <c r="B356" s="4">
        <v>45557</v>
      </c>
      <c r="C356" s="18">
        <f t="shared" si="12"/>
        <v>1.3274304568358319E-2</v>
      </c>
      <c r="D356" s="18">
        <f t="shared" si="13"/>
        <v>-5.9432265464119949E-3</v>
      </c>
      <c r="E356" s="18">
        <f t="shared" si="14"/>
        <v>1.7897382317227928E-2</v>
      </c>
      <c r="F356" s="18">
        <f t="shared" si="15"/>
        <v>1.5481500918394175E-2</v>
      </c>
      <c r="G356" s="18">
        <f t="shared" si="16"/>
        <v>-4.4542052027591872E-3</v>
      </c>
      <c r="H356" s="18">
        <f t="shared" si="17"/>
        <v>3.598240133461994E-3</v>
      </c>
      <c r="I356" s="18">
        <f t="shared" si="18"/>
        <v>5.7514636376013728E-2</v>
      </c>
      <c r="J356" s="18">
        <f t="shared" si="19"/>
        <v>4.032434801665552E-2</v>
      </c>
      <c r="K356" s="18">
        <f t="shared" si="20"/>
        <v>8.2905922855336156E-2</v>
      </c>
      <c r="L356" s="19">
        <f t="shared" si="21"/>
        <v>-2.6692676354807654E-2</v>
      </c>
    </row>
    <row r="357" spans="2:12" hidden="1" outlineLevel="1" x14ac:dyDescent="0.3">
      <c r="B357" s="4">
        <v>45550</v>
      </c>
      <c r="C357" s="18">
        <f t="shared" si="12"/>
        <v>-5.522165292413006E-3</v>
      </c>
      <c r="D357" s="18">
        <f t="shared" si="13"/>
        <v>-5.2445260259603721E-4</v>
      </c>
      <c r="E357" s="18">
        <f t="shared" si="14"/>
        <v>-2.6731915176936516E-2</v>
      </c>
      <c r="F357" s="18">
        <f t="shared" si="15"/>
        <v>-4.983388704318803E-3</v>
      </c>
      <c r="G357" s="18">
        <f t="shared" si="16"/>
        <v>7.9540158458908383E-3</v>
      </c>
      <c r="H357" s="18">
        <f t="shared" si="17"/>
        <v>3.8623881618617739E-2</v>
      </c>
      <c r="I357" s="18">
        <f t="shared" si="18"/>
        <v>-1.5072650358653683E-2</v>
      </c>
      <c r="J357" s="18">
        <f t="shared" si="19"/>
        <v>-1.8608243803103219E-3</v>
      </c>
      <c r="K357" s="18">
        <f t="shared" si="20"/>
        <v>-1.7598780250437929E-2</v>
      </c>
      <c r="L357" s="19">
        <f t="shared" si="21"/>
        <v>1.4418882969136071E-3</v>
      </c>
    </row>
    <row r="358" spans="2:12" hidden="1" outlineLevel="1" x14ac:dyDescent="0.3">
      <c r="B358" s="4">
        <v>45543</v>
      </c>
      <c r="C358" s="18">
        <f t="shared" si="12"/>
        <v>5.5473756837306043E-2</v>
      </c>
      <c r="D358" s="18">
        <f t="shared" si="13"/>
        <v>2.0123311032401947E-2</v>
      </c>
      <c r="E358" s="18">
        <f t="shared" si="14"/>
        <v>2.9968759976285009E-2</v>
      </c>
      <c r="F358" s="18">
        <f t="shared" si="15"/>
        <v>2.1331849378593892E-2</v>
      </c>
      <c r="G358" s="18">
        <f t="shared" si="16"/>
        <v>2.0961129434974302E-2</v>
      </c>
      <c r="H358" s="18">
        <f t="shared" si="17"/>
        <v>6.7627998933015299E-3</v>
      </c>
      <c r="I358" s="18">
        <f t="shared" si="18"/>
        <v>9.0568715511518683E-4</v>
      </c>
      <c r="J358" s="18">
        <f t="shared" si="19"/>
        <v>7.8291533293467941E-2</v>
      </c>
      <c r="K358" s="18">
        <f t="shared" si="20"/>
        <v>3.8899070450905571E-2</v>
      </c>
      <c r="L358" s="19">
        <f t="shared" si="21"/>
        <v>9.8483157796223075E-3</v>
      </c>
    </row>
    <row r="359" spans="2:12" hidden="1" outlineLevel="1" x14ac:dyDescent="0.3">
      <c r="B359" s="4">
        <v>45536</v>
      </c>
      <c r="C359" s="18">
        <f t="shared" si="12"/>
        <v>-1.4560925861031082E-2</v>
      </c>
      <c r="D359" s="18">
        <f t="shared" si="13"/>
        <v>-2.1732421171750449E-2</v>
      </c>
      <c r="E359" s="18">
        <f t="shared" si="14"/>
        <v>-3.1277501342203862E-2</v>
      </c>
      <c r="F359" s="18">
        <f t="shared" si="15"/>
        <v>-5.4486015256084319E-2</v>
      </c>
      <c r="G359" s="18">
        <f t="shared" si="16"/>
        <v>-1.9806165272787668E-2</v>
      </c>
      <c r="H359" s="18">
        <f t="shared" si="17"/>
        <v>-3.908855708986636E-2</v>
      </c>
      <c r="I359" s="18">
        <f t="shared" si="18"/>
        <v>-3.1707681113453567E-2</v>
      </c>
      <c r="J359" s="18">
        <f t="shared" si="19"/>
        <v>-0.11532470498046798</v>
      </c>
      <c r="K359" s="18">
        <f t="shared" si="20"/>
        <v>-3.0084388856221111E-2</v>
      </c>
      <c r="L359" s="19">
        <f t="shared" si="21"/>
        <v>-5.5476742113705124E-2</v>
      </c>
    </row>
    <row r="360" spans="2:12" hidden="1" outlineLevel="1" x14ac:dyDescent="0.3">
      <c r="B360" s="4">
        <v>45529</v>
      </c>
      <c r="C360" s="18">
        <f t="shared" si="12"/>
        <v>2.1765196657259844E-2</v>
      </c>
      <c r="D360" s="18">
        <f t="shared" si="13"/>
        <v>2.2004889975550279E-2</v>
      </c>
      <c r="E360" s="18">
        <f t="shared" si="14"/>
        <v>-1.6226531521751353E-3</v>
      </c>
      <c r="F360" s="18">
        <f t="shared" si="15"/>
        <v>3.4191317710334124E-2</v>
      </c>
      <c r="G360" s="18">
        <f t="shared" si="16"/>
        <v>8.1626366856615284E-3</v>
      </c>
      <c r="H360" s="18">
        <f t="shared" si="17"/>
        <v>-1.5165277192070725E-3</v>
      </c>
      <c r="I360" s="18">
        <f t="shared" si="18"/>
        <v>-3.680189597202177E-3</v>
      </c>
      <c r="J360" s="18">
        <f t="shared" si="19"/>
        <v>1.2988808790722617E-2</v>
      </c>
      <c r="K360" s="18">
        <f t="shared" si="20"/>
        <v>1.7515975749631263E-2</v>
      </c>
      <c r="L360" s="19">
        <f t="shared" si="21"/>
        <v>-4.2356954707041261E-2</v>
      </c>
    </row>
    <row r="361" spans="2:12" hidden="1" outlineLevel="1" x14ac:dyDescent="0.3">
      <c r="B361" s="4">
        <v>45522</v>
      </c>
      <c r="C361" s="18">
        <f t="shared" si="12"/>
        <v>-1.9730941704035998E-2</v>
      </c>
      <c r="D361" s="18">
        <f t="shared" si="13"/>
        <v>-4.1981787312856955E-2</v>
      </c>
      <c r="E361" s="18">
        <f t="shared" si="14"/>
        <v>-5.2358387986585653E-2</v>
      </c>
      <c r="F361" s="18">
        <f t="shared" si="15"/>
        <v>-4.8291233283803914E-2</v>
      </c>
      <c r="G361" s="18">
        <f t="shared" si="16"/>
        <v>-2.3281393217231883E-2</v>
      </c>
      <c r="H361" s="18">
        <f t="shared" si="17"/>
        <v>-8.3568197139399447E-2</v>
      </c>
      <c r="I361" s="18">
        <f t="shared" si="18"/>
        <v>-5.5764526141736881E-2</v>
      </c>
      <c r="J361" s="18">
        <f t="shared" si="19"/>
        <v>-5.2053473113289339E-3</v>
      </c>
      <c r="K361" s="18">
        <f t="shared" si="20"/>
        <v>-3.4557722346575503E-2</v>
      </c>
      <c r="L361" s="19">
        <f t="shared" si="21"/>
        <v>-5.072469479275854E-2</v>
      </c>
    </row>
    <row r="362" spans="2:12" hidden="1" outlineLevel="1" x14ac:dyDescent="0.3">
      <c r="B362" s="4">
        <v>45515</v>
      </c>
      <c r="C362" s="18">
        <f t="shared" si="12"/>
        <v>-1.0719504035176186E-2</v>
      </c>
      <c r="D362" s="18">
        <f t="shared" si="13"/>
        <v>-1.6916384726920475E-3</v>
      </c>
      <c r="E362" s="18">
        <f t="shared" si="14"/>
        <v>4.0944748745388448E-3</v>
      </c>
      <c r="F362" s="18">
        <f t="shared" si="15"/>
        <v>7.5331772053084389E-3</v>
      </c>
      <c r="G362" s="18">
        <f t="shared" si="16"/>
        <v>-8.1956956956957816E-3</v>
      </c>
      <c r="H362" s="18">
        <f t="shared" si="17"/>
        <v>-1.3799276800907645E-2</v>
      </c>
      <c r="I362" s="18">
        <f t="shared" si="18"/>
        <v>-5.1920122887865183E-3</v>
      </c>
      <c r="J362" s="18">
        <f t="shared" si="19"/>
        <v>-3.0233728216620959E-3</v>
      </c>
      <c r="K362" s="18">
        <f t="shared" si="20"/>
        <v>-2.892265608059652E-2</v>
      </c>
      <c r="L362" s="19">
        <f t="shared" si="21"/>
        <v>9.0912864793060155E-3</v>
      </c>
    </row>
    <row r="363" spans="2:12" hidden="1" outlineLevel="1" x14ac:dyDescent="0.3">
      <c r="B363" s="4">
        <v>45508</v>
      </c>
      <c r="C363" s="18">
        <f t="shared" si="12"/>
        <v>-4.2413199716570649E-2</v>
      </c>
      <c r="D363" s="18">
        <f t="shared" si="13"/>
        <v>-4.7446138949406969E-2</v>
      </c>
      <c r="E363" s="18">
        <f t="shared" si="14"/>
        <v>-4.6936553856147034E-2</v>
      </c>
      <c r="F363" s="18">
        <f t="shared" si="15"/>
        <v>-4.834773176306506E-2</v>
      </c>
      <c r="G363" s="18">
        <f t="shared" si="16"/>
        <v>-4.9580521037027592E-2</v>
      </c>
      <c r="H363" s="18">
        <f t="shared" si="17"/>
        <v>-3.41855762749943E-2</v>
      </c>
      <c r="I363" s="18">
        <f t="shared" si="18"/>
        <v>-3.2549952132423177E-2</v>
      </c>
      <c r="J363" s="18">
        <f t="shared" si="19"/>
        <v>-3.0678674490409175E-2</v>
      </c>
      <c r="K363" s="18">
        <f t="shared" si="20"/>
        <v>-6.542537659526948E-2</v>
      </c>
      <c r="L363" s="19">
        <f t="shared" si="21"/>
        <v>-3.2680598979759723E-2</v>
      </c>
    </row>
    <row r="364" spans="2:12" hidden="1" outlineLevel="1" x14ac:dyDescent="0.3">
      <c r="B364" s="4">
        <v>45501</v>
      </c>
      <c r="C364" s="18">
        <f t="shared" si="12"/>
        <v>1.2841149336921154E-2</v>
      </c>
      <c r="D364" s="18">
        <f t="shared" si="13"/>
        <v>2.8490752506000305E-2</v>
      </c>
      <c r="E364" s="18">
        <f t="shared" si="14"/>
        <v>1.2166878072483733E-2</v>
      </c>
      <c r="F364" s="18">
        <f t="shared" si="15"/>
        <v>2.2063912070018343E-2</v>
      </c>
      <c r="G364" s="18">
        <f t="shared" si="16"/>
        <v>6.637021304838342E-4</v>
      </c>
      <c r="H364" s="18">
        <f t="shared" si="17"/>
        <v>2.5374287016962649E-2</v>
      </c>
      <c r="I364" s="18">
        <f t="shared" si="18"/>
        <v>-1.3343122546046526E-2</v>
      </c>
      <c r="J364" s="18">
        <f t="shared" si="19"/>
        <v>-1.6518207892768921E-2</v>
      </c>
      <c r="K364" s="18">
        <f t="shared" si="20"/>
        <v>2.0143356000735135E-2</v>
      </c>
      <c r="L364" s="19">
        <f t="shared" si="21"/>
        <v>3.4295046271094032E-2</v>
      </c>
    </row>
    <row r="365" spans="2:12" hidden="1" outlineLevel="1" x14ac:dyDescent="0.3">
      <c r="B365" s="4">
        <v>45494</v>
      </c>
      <c r="C365" s="18">
        <f t="shared" si="12"/>
        <v>2.4467189297531888E-2</v>
      </c>
      <c r="D365" s="18">
        <f t="shared" si="13"/>
        <v>3.1682407204041363E-2</v>
      </c>
      <c r="E365" s="18">
        <f t="shared" si="14"/>
        <v>1.6191681578143324E-2</v>
      </c>
      <c r="F365" s="18">
        <f t="shared" si="15"/>
        <v>4.5126857051818181E-2</v>
      </c>
      <c r="G365" s="18">
        <f t="shared" si="16"/>
        <v>2.218611129535053E-2</v>
      </c>
      <c r="H365" s="18">
        <f t="shared" si="17"/>
        <v>5.0554456523711933E-2</v>
      </c>
      <c r="I365" s="18">
        <f t="shared" si="18"/>
        <v>2.9462831753426677E-2</v>
      </c>
      <c r="J365" s="18">
        <f t="shared" si="19"/>
        <v>6.7764880264880256E-2</v>
      </c>
      <c r="K365" s="18">
        <f t="shared" si="20"/>
        <v>9.1701798003819501E-2</v>
      </c>
      <c r="L365" s="19">
        <f t="shared" si="21"/>
        <v>4.3371710526315832E-2</v>
      </c>
    </row>
    <row r="366" spans="2:12" hidden="1" outlineLevel="1" x14ac:dyDescent="0.3">
      <c r="B366" s="4">
        <v>45487</v>
      </c>
      <c r="C366" s="18">
        <f t="shared" si="12"/>
        <v>-1.9474415373929022E-2</v>
      </c>
      <c r="D366" s="18">
        <f t="shared" si="13"/>
        <v>-4.5744850710522145E-2</v>
      </c>
      <c r="E366" s="18">
        <f t="shared" si="14"/>
        <v>-2.4952757258203118E-2</v>
      </c>
      <c r="F366" s="18">
        <f t="shared" si="15"/>
        <v>6.173780487804903E-2</v>
      </c>
      <c r="G366" s="18">
        <f t="shared" si="16"/>
        <v>-3.2281088797326718E-2</v>
      </c>
      <c r="H366" s="18">
        <f t="shared" si="17"/>
        <v>-4.4398759598855975E-3</v>
      </c>
      <c r="I366" s="18">
        <f t="shared" si="18"/>
        <v>-3.9702909102337092E-2</v>
      </c>
      <c r="J366" s="18">
        <f t="shared" si="19"/>
        <v>-2.4459938793814473E-2</v>
      </c>
      <c r="K366" s="18">
        <f t="shared" si="20"/>
        <v>-5.1571060796092194E-2</v>
      </c>
      <c r="L366" s="19">
        <f t="shared" si="21"/>
        <v>-5.6741333921843773E-2</v>
      </c>
    </row>
    <row r="367" spans="2:12" hidden="1" outlineLevel="1" x14ac:dyDescent="0.3">
      <c r="B367" s="4">
        <v>45480</v>
      </c>
      <c r="C367" s="18">
        <f t="shared" si="12"/>
        <v>-2.7530821343647705E-2</v>
      </c>
      <c r="D367" s="18">
        <f t="shared" si="13"/>
        <v>-4.528849103432897E-2</v>
      </c>
      <c r="E367" s="18">
        <f t="shared" si="14"/>
        <v>-2.1539003655904554E-2</v>
      </c>
      <c r="F367" s="18">
        <f t="shared" si="15"/>
        <v>5.3122756640342494E-3</v>
      </c>
      <c r="G367" s="18">
        <f t="shared" si="16"/>
        <v>9.1524741853290514E-3</v>
      </c>
      <c r="H367" s="18">
        <f t="shared" si="17"/>
        <v>-3.2987722875363334E-2</v>
      </c>
      <c r="I367" s="18">
        <f t="shared" si="18"/>
        <v>4.9100568349169427E-2</v>
      </c>
      <c r="J367" s="18">
        <f t="shared" si="19"/>
        <v>-2.4528057806565973E-2</v>
      </c>
      <c r="K367" s="18">
        <f t="shared" si="20"/>
        <v>-6.3632092707626597E-2</v>
      </c>
      <c r="L367" s="19">
        <f t="shared" si="21"/>
        <v>-1.0194276164612326E-3</v>
      </c>
    </row>
    <row r="368" spans="2:12" hidden="1" outlineLevel="1" x14ac:dyDescent="0.3">
      <c r="B368" s="4">
        <v>45473</v>
      </c>
      <c r="C368" s="18">
        <f t="shared" si="12"/>
        <v>-4.1145618337663614E-2</v>
      </c>
      <c r="D368" s="18">
        <f t="shared" si="13"/>
        <v>-3.7563896597049728E-2</v>
      </c>
      <c r="E368" s="18">
        <f t="shared" si="14"/>
        <v>-2.6154677230575407E-2</v>
      </c>
      <c r="F368" s="18">
        <f t="shared" si="15"/>
        <v>-4.4737217937731999E-2</v>
      </c>
      <c r="G368" s="18">
        <f t="shared" si="16"/>
        <v>-2.9035580213282008E-2</v>
      </c>
      <c r="H368" s="18">
        <f t="shared" si="17"/>
        <v>-2.7087651296959225E-2</v>
      </c>
      <c r="I368" s="18">
        <f t="shared" si="18"/>
        <v>-7.746698554642828E-3</v>
      </c>
      <c r="J368" s="18">
        <f t="shared" si="19"/>
        <v>-1.2446894670285147E-2</v>
      </c>
      <c r="K368" s="18">
        <f t="shared" si="20"/>
        <v>-2.2968000891961049E-2</v>
      </c>
      <c r="L368" s="19">
        <f t="shared" si="21"/>
        <v>-1.7983655784463815E-2</v>
      </c>
    </row>
    <row r="369" spans="2:12" hidden="1" outlineLevel="1" x14ac:dyDescent="0.3">
      <c r="B369" s="4">
        <v>45466</v>
      </c>
      <c r="C369" s="18">
        <f t="shared" si="12"/>
        <v>-2.6833128632386627E-2</v>
      </c>
      <c r="D369" s="18">
        <f t="shared" si="13"/>
        <v>-4.8984794682691457E-2</v>
      </c>
      <c r="E369" s="18">
        <f t="shared" si="14"/>
        <v>-3.9357859355085734E-2</v>
      </c>
      <c r="F369" s="18">
        <f t="shared" si="15"/>
        <v>-3.7862081853859086E-2</v>
      </c>
      <c r="G369" s="18">
        <f t="shared" si="16"/>
        <v>-2.1213261710062659E-2</v>
      </c>
      <c r="H369" s="18">
        <f t="shared" si="17"/>
        <v>-6.7598723647563919E-3</v>
      </c>
      <c r="I369" s="18">
        <f t="shared" si="18"/>
        <v>-0.11104008383547292</v>
      </c>
      <c r="J369" s="18">
        <f t="shared" si="19"/>
        <v>-5.2103266525665659E-2</v>
      </c>
      <c r="K369" s="18">
        <f t="shared" si="20"/>
        <v>-6.5559739815131746E-2</v>
      </c>
      <c r="L369" s="19">
        <f t="shared" si="21"/>
        <v>-7.0074870318475702E-2</v>
      </c>
    </row>
    <row r="370" spans="2:12" hidden="1" outlineLevel="1" x14ac:dyDescent="0.3">
      <c r="B370" s="4">
        <v>45459</v>
      </c>
      <c r="C370" s="18">
        <f t="shared" si="12"/>
        <v>-2.3922100294309745E-2</v>
      </c>
      <c r="D370" s="18">
        <f t="shared" si="13"/>
        <v>-2.1732886548587849E-2</v>
      </c>
      <c r="E370" s="18">
        <f t="shared" si="14"/>
        <v>-8.0497143760612788E-3</v>
      </c>
      <c r="F370" s="18">
        <f t="shared" si="15"/>
        <v>-4.7199129826742348E-2</v>
      </c>
      <c r="G370" s="18">
        <f t="shared" si="16"/>
        <v>-2.1358408781067539E-2</v>
      </c>
      <c r="H370" s="18">
        <f t="shared" si="17"/>
        <v>-4.820753753447049E-2</v>
      </c>
      <c r="I370" s="18">
        <f t="shared" si="18"/>
        <v>-7.0023223190182615E-2</v>
      </c>
      <c r="J370" s="18">
        <f t="shared" si="19"/>
        <v>-1.4505805864049259E-2</v>
      </c>
      <c r="K370" s="18">
        <f t="shared" si="20"/>
        <v>-1.0909609004498222E-2</v>
      </c>
      <c r="L370" s="19">
        <f t="shared" si="21"/>
        <v>-1.3812559536894531E-2</v>
      </c>
    </row>
    <row r="371" spans="2:12" hidden="1" outlineLevel="1" x14ac:dyDescent="0.3">
      <c r="B371" s="4">
        <v>45452</v>
      </c>
      <c r="C371" s="18">
        <f t="shared" si="12"/>
        <v>5.5879028302088241E-3</v>
      </c>
      <c r="D371" s="18">
        <f t="shared" si="13"/>
        <v>-2.8577020943433173E-2</v>
      </c>
      <c r="E371" s="18">
        <f t="shared" si="14"/>
        <v>-1.1600831600831585E-2</v>
      </c>
      <c r="F371" s="18">
        <f t="shared" si="15"/>
        <v>-2.6582949402699119E-2</v>
      </c>
      <c r="G371" s="18">
        <f t="shared" si="16"/>
        <v>-2.0252893270467198E-2</v>
      </c>
      <c r="H371" s="18">
        <f t="shared" si="17"/>
        <v>-1.8125237783999437E-2</v>
      </c>
      <c r="I371" s="18">
        <f t="shared" si="18"/>
        <v>-4.3516840117126532E-2</v>
      </c>
      <c r="J371" s="18">
        <f t="shared" si="19"/>
        <v>-2.343180441322934E-2</v>
      </c>
      <c r="K371" s="18">
        <f t="shared" si="20"/>
        <v>-8.6017079946496544E-3</v>
      </c>
      <c r="L371" s="19">
        <f t="shared" si="21"/>
        <v>-3.3742616190511665E-2</v>
      </c>
    </row>
    <row r="372" spans="2:12" hidden="1" outlineLevel="1" x14ac:dyDescent="0.3">
      <c r="B372" s="4">
        <v>45445</v>
      </c>
      <c r="C372" s="18">
        <f t="shared" si="12"/>
        <v>1.6153576958154003E-2</v>
      </c>
      <c r="D372" s="18">
        <f t="shared" si="13"/>
        <v>3.002216401370128E-2</v>
      </c>
      <c r="E372" s="18">
        <f t="shared" si="14"/>
        <v>3.1551049598244063E-4</v>
      </c>
      <c r="F372" s="18">
        <f t="shared" si="15"/>
        <v>1.4743455497382207E-2</v>
      </c>
      <c r="G372" s="18">
        <f t="shared" si="16"/>
        <v>4.4843049327352169E-3</v>
      </c>
      <c r="H372" s="18">
        <f t="shared" si="17"/>
        <v>-1.0998400413309461E-2</v>
      </c>
      <c r="I372" s="18">
        <f t="shared" si="18"/>
        <v>2.0528519932145883E-2</v>
      </c>
      <c r="J372" s="18">
        <f t="shared" si="19"/>
        <v>-0.11612184171512097</v>
      </c>
      <c r="K372" s="18">
        <f t="shared" si="20"/>
        <v>2.6195072337422465E-2</v>
      </c>
      <c r="L372" s="19">
        <f t="shared" si="21"/>
        <v>4.4090930936704131E-2</v>
      </c>
    </row>
    <row r="373" spans="2:12" hidden="1" outlineLevel="1" x14ac:dyDescent="0.3">
      <c r="B373" s="4">
        <v>45438</v>
      </c>
      <c r="C373" s="18">
        <f t="shared" si="12"/>
        <v>-5.7268090324432253E-2</v>
      </c>
      <c r="D373" s="18">
        <f t="shared" si="13"/>
        <v>-8.2616066770996199E-2</v>
      </c>
      <c r="E373" s="18">
        <f t="shared" si="14"/>
        <v>-7.5025758563408096E-2</v>
      </c>
      <c r="F373" s="18">
        <f t="shared" si="15"/>
        <v>-9.5637099104305179E-2</v>
      </c>
      <c r="G373" s="18">
        <f t="shared" si="16"/>
        <v>-0.10826800232288025</v>
      </c>
      <c r="H373" s="18">
        <f t="shared" si="17"/>
        <v>-5.5312223740255573E-2</v>
      </c>
      <c r="I373" s="18">
        <f t="shared" si="18"/>
        <v>-0.11421336276865135</v>
      </c>
      <c r="J373" s="18">
        <f t="shared" si="19"/>
        <v>-0.11317107407539573</v>
      </c>
      <c r="K373" s="18">
        <f t="shared" si="20"/>
        <v>-7.5992637391532947E-2</v>
      </c>
      <c r="L373" s="19">
        <f t="shared" si="21"/>
        <v>-8.4715803428403014E-2</v>
      </c>
    </row>
    <row r="374" spans="2:12" hidden="1" outlineLevel="1" x14ac:dyDescent="0.3">
      <c r="B374" s="4">
        <v>45431</v>
      </c>
      <c r="C374" s="18">
        <f t="shared" si="12"/>
        <v>4.8639074543014083E-2</v>
      </c>
      <c r="D374" s="18">
        <f t="shared" si="13"/>
        <v>3.5532020754851068E-2</v>
      </c>
      <c r="E374" s="18">
        <f t="shared" si="14"/>
        <v>1.593580213235124E-2</v>
      </c>
      <c r="F374" s="18">
        <f t="shared" si="15"/>
        <v>5.8055682336832559E-2</v>
      </c>
      <c r="G374" s="18">
        <f t="shared" si="16"/>
        <v>7.5949367088607556E-2</v>
      </c>
      <c r="H374" s="18">
        <f t="shared" si="17"/>
        <v>2.9317935302749953E-2</v>
      </c>
      <c r="I374" s="18">
        <f t="shared" si="18"/>
        <v>4.2427796510775551E-2</v>
      </c>
      <c r="J374" s="18">
        <f t="shared" si="19"/>
        <v>1.1730460968886414E-2</v>
      </c>
      <c r="K374" s="18">
        <f t="shared" si="20"/>
        <v>4.6779913313777843E-2</v>
      </c>
      <c r="L374" s="19">
        <f t="shared" si="21"/>
        <v>2.704687185676935E-2</v>
      </c>
    </row>
    <row r="375" spans="2:12" hidden="1" outlineLevel="1" x14ac:dyDescent="0.3">
      <c r="B375" s="4">
        <v>45424</v>
      </c>
      <c r="C375" s="18">
        <f t="shared" si="12"/>
        <v>-4.0009500936897258E-3</v>
      </c>
      <c r="D375" s="18">
        <f t="shared" si="13"/>
        <v>-1.4194620046812045E-2</v>
      </c>
      <c r="E375" s="18">
        <f t="shared" si="14"/>
        <v>-8.9207130603415896E-3</v>
      </c>
      <c r="F375" s="18">
        <f t="shared" si="15"/>
        <v>-5.6940729876627794E-3</v>
      </c>
      <c r="G375" s="18">
        <f t="shared" si="16"/>
        <v>-1.2369964062795447E-2</v>
      </c>
      <c r="H375" s="18">
        <f t="shared" si="17"/>
        <v>-1.5589648225631469E-2</v>
      </c>
      <c r="I375" s="18">
        <f t="shared" si="18"/>
        <v>-4.2332358235822598E-3</v>
      </c>
      <c r="J375" s="18">
        <f t="shared" si="19"/>
        <v>3.2297411964361533E-2</v>
      </c>
      <c r="K375" s="18">
        <f t="shared" si="20"/>
        <v>-3.3187645078316064E-2</v>
      </c>
      <c r="L375" s="19">
        <f t="shared" si="21"/>
        <v>-7.6947183891723614E-2</v>
      </c>
    </row>
    <row r="376" spans="2:12" hidden="1" outlineLevel="1" x14ac:dyDescent="0.3">
      <c r="B376" s="4">
        <v>45417</v>
      </c>
      <c r="C376" s="18">
        <f t="shared" si="12"/>
        <v>1.5596432375713398E-2</v>
      </c>
      <c r="D376" s="18">
        <f t="shared" si="13"/>
        <v>-1.343118346202854E-2</v>
      </c>
      <c r="E376" s="18">
        <f t="shared" si="14"/>
        <v>-1.2756445956319529E-2</v>
      </c>
      <c r="F376" s="18">
        <f t="shared" si="15"/>
        <v>-1.9826464208242967E-2</v>
      </c>
      <c r="G376" s="18">
        <f t="shared" si="16"/>
        <v>-3.1407997548644095E-2</v>
      </c>
      <c r="H376" s="18">
        <f t="shared" si="17"/>
        <v>-3.2879961379426281E-2</v>
      </c>
      <c r="I376" s="18">
        <f t="shared" si="18"/>
        <v>-4.8769119952544404E-2</v>
      </c>
      <c r="J376" s="18">
        <f t="shared" si="19"/>
        <v>-2.6361417929617215E-2</v>
      </c>
      <c r="K376" s="18">
        <f t="shared" si="20"/>
        <v>-3.4781103997231444E-2</v>
      </c>
      <c r="L376" s="19">
        <f t="shared" si="21"/>
        <v>-5.2476340024614876E-2</v>
      </c>
    </row>
    <row r="377" spans="2:12" hidden="1" outlineLevel="1" x14ac:dyDescent="0.3">
      <c r="B377" s="4">
        <v>45410</v>
      </c>
      <c r="C377" s="18">
        <f t="shared" si="12"/>
        <v>-1.2969630557294942E-2</v>
      </c>
      <c r="D377" s="18">
        <f t="shared" si="13"/>
        <v>-6.0412726194846167E-3</v>
      </c>
      <c r="E377" s="18">
        <f t="shared" si="14"/>
        <v>2.4203569168845585E-2</v>
      </c>
      <c r="F377" s="18">
        <f t="shared" si="15"/>
        <v>1.2171911654052181E-2</v>
      </c>
      <c r="G377" s="18">
        <f t="shared" si="16"/>
        <v>-1.1032900980702309E-2</v>
      </c>
      <c r="H377" s="18">
        <f t="shared" si="17"/>
        <v>9.6144455416535823E-3</v>
      </c>
      <c r="I377" s="18">
        <f t="shared" si="18"/>
        <v>-1.9302152932443306E-4</v>
      </c>
      <c r="J377" s="18">
        <f t="shared" si="19"/>
        <v>2.6376018204003593E-2</v>
      </c>
      <c r="K377" s="18">
        <f t="shared" si="20"/>
        <v>2.7205091430620332E-2</v>
      </c>
      <c r="L377" s="19">
        <f t="shared" si="21"/>
        <v>3.8631222986138525E-3</v>
      </c>
    </row>
    <row r="378" spans="2:12" hidden="1" outlineLevel="1" x14ac:dyDescent="0.3">
      <c r="B378" s="4">
        <v>45403</v>
      </c>
      <c r="C378" s="18">
        <f t="shared" si="12"/>
        <v>-5.7360517460595117E-3</v>
      </c>
      <c r="D378" s="18">
        <f t="shared" si="13"/>
        <v>9.848334232724687E-3</v>
      </c>
      <c r="E378" s="18">
        <f t="shared" si="14"/>
        <v>9.3320630572964136E-2</v>
      </c>
      <c r="F378" s="18">
        <f t="shared" si="15"/>
        <v>1.5829980759139328E-2</v>
      </c>
      <c r="G378" s="18">
        <f t="shared" si="16"/>
        <v>2.2631852533087971E-2</v>
      </c>
      <c r="H378" s="18">
        <f t="shared" si="17"/>
        <v>2.9256548329195331E-2</v>
      </c>
      <c r="I378" s="18">
        <f t="shared" si="18"/>
        <v>9.0886139863670667E-3</v>
      </c>
      <c r="J378" s="18">
        <f t="shared" si="19"/>
        <v>-3.7284563085583478E-2</v>
      </c>
      <c r="K378" s="18">
        <f t="shared" si="20"/>
        <v>2.7051791090360044E-3</v>
      </c>
      <c r="L378" s="19">
        <f t="shared" si="21"/>
        <v>0.17143143969392427</v>
      </c>
    </row>
    <row r="379" spans="2:12" hidden="1" outlineLevel="1" x14ac:dyDescent="0.3">
      <c r="B379" s="4">
        <v>45396</v>
      </c>
      <c r="C379" s="18">
        <f t="shared" si="12"/>
        <v>1.2681482111667197E-3</v>
      </c>
      <c r="D379" s="18">
        <f t="shared" si="13"/>
        <v>-1.3281958614288936E-2</v>
      </c>
      <c r="E379" s="18">
        <f t="shared" si="14"/>
        <v>-1.7883887481959571E-2</v>
      </c>
      <c r="F379" s="18">
        <f t="shared" si="15"/>
        <v>-2.5484287559190744E-2</v>
      </c>
      <c r="G379" s="18">
        <f t="shared" si="16"/>
        <v>-6.6549364613880724E-2</v>
      </c>
      <c r="H379" s="18">
        <f t="shared" si="17"/>
        <v>-2.6628794603230976E-2</v>
      </c>
      <c r="I379" s="18">
        <f t="shared" si="18"/>
        <v>0.1434163858187758</v>
      </c>
      <c r="J379" s="18">
        <f t="shared" si="19"/>
        <v>1.4972098363281949E-2</v>
      </c>
      <c r="K379" s="18">
        <f t="shared" si="20"/>
        <v>-7.745528915190647E-3</v>
      </c>
      <c r="L379" s="19">
        <f t="shared" si="21"/>
        <v>-2.5299942868025171E-2</v>
      </c>
    </row>
    <row r="380" spans="2:12" hidden="1" outlineLevel="1" x14ac:dyDescent="0.3">
      <c r="B380" s="4">
        <v>45389</v>
      </c>
      <c r="C380" s="18">
        <f t="shared" si="12"/>
        <v>4.5789345115449187E-2</v>
      </c>
      <c r="D380" s="18">
        <f t="shared" si="13"/>
        <v>5.2082887967278113E-2</v>
      </c>
      <c r="E380" s="18">
        <f t="shared" si="14"/>
        <v>5.1128132256611059E-2</v>
      </c>
      <c r="F380" s="18">
        <f t="shared" si="15"/>
        <v>3.9756162205141887E-2</v>
      </c>
      <c r="G380" s="18">
        <f t="shared" si="16"/>
        <v>4.0589787626188478E-2</v>
      </c>
      <c r="H380" s="18">
        <f t="shared" si="17"/>
        <v>4.8996363090193062E-2</v>
      </c>
      <c r="I380" s="18">
        <f t="shared" si="18"/>
        <v>2.4004427626328928E-2</v>
      </c>
      <c r="J380" s="18">
        <f t="shared" si="19"/>
        <v>7.9109532734865873E-2</v>
      </c>
      <c r="K380" s="18">
        <f t="shared" si="20"/>
        <v>7.2731658115160247E-2</v>
      </c>
      <c r="L380" s="19">
        <f t="shared" si="21"/>
        <v>9.7320320819045847E-2</v>
      </c>
    </row>
    <row r="381" spans="2:12" hidden="1" outlineLevel="1" x14ac:dyDescent="0.3">
      <c r="B381" s="4">
        <v>45382</v>
      </c>
      <c r="C381" s="18">
        <f t="shared" si="12"/>
        <v>-5.5349476084203264E-3</v>
      </c>
      <c r="D381" s="18">
        <f t="shared" si="13"/>
        <v>-3.8064791422554034E-3</v>
      </c>
      <c r="E381" s="18">
        <f t="shared" si="14"/>
        <v>1.5609234969434338E-2</v>
      </c>
      <c r="F381" s="18">
        <f t="shared" si="15"/>
        <v>3.0333928116237585E-2</v>
      </c>
      <c r="G381" s="18">
        <f t="shared" si="16"/>
        <v>1.7148377747363552E-2</v>
      </c>
      <c r="H381" s="18">
        <f t="shared" si="17"/>
        <v>7.8954366012804478E-3</v>
      </c>
      <c r="I381" s="18">
        <f t="shared" si="18"/>
        <v>4.7260523636547536E-3</v>
      </c>
      <c r="J381" s="18">
        <f t="shared" si="19"/>
        <v>6.9628970527291001E-2</v>
      </c>
      <c r="K381" s="18">
        <f t="shared" si="20"/>
        <v>2.6347525703656727E-2</v>
      </c>
      <c r="L381" s="19">
        <f t="shared" si="21"/>
        <v>2.9672824393500941E-2</v>
      </c>
    </row>
    <row r="382" spans="2:12" hidden="1" outlineLevel="1" x14ac:dyDescent="0.3">
      <c r="B382" s="4">
        <v>45375</v>
      </c>
      <c r="C382" s="18">
        <f t="shared" si="12"/>
        <v>-2.5870542609930047E-2</v>
      </c>
      <c r="D382" s="18">
        <f t="shared" si="13"/>
        <v>1.2816067337045656E-2</v>
      </c>
      <c r="E382" s="18">
        <f t="shared" si="14"/>
        <v>-1.1038387616226775E-3</v>
      </c>
      <c r="F382" s="18">
        <f t="shared" si="15"/>
        <v>-1.0184727032822027E-2</v>
      </c>
      <c r="G382" s="18">
        <f t="shared" si="16"/>
        <v>-1.2110178882380973E-2</v>
      </c>
      <c r="H382" s="18">
        <f t="shared" si="17"/>
        <v>2.2120750887872909E-3</v>
      </c>
      <c r="I382" s="18">
        <f t="shared" si="18"/>
        <v>-3.0524801401138335E-3</v>
      </c>
      <c r="J382" s="18">
        <f t="shared" si="19"/>
        <v>-1.5383826470438677E-4</v>
      </c>
      <c r="K382" s="18">
        <f t="shared" si="20"/>
        <v>-4.881303274117732E-2</v>
      </c>
      <c r="L382" s="19">
        <f t="shared" si="21"/>
        <v>-4.8496429127254381E-2</v>
      </c>
    </row>
    <row r="383" spans="2:12" hidden="1" outlineLevel="1" x14ac:dyDescent="0.3">
      <c r="B383" s="4">
        <v>45368</v>
      </c>
      <c r="C383" s="18">
        <f t="shared" si="12"/>
        <v>8.9241720569890326E-3</v>
      </c>
      <c r="D383" s="18">
        <f t="shared" si="13"/>
        <v>7.2029859162494603E-3</v>
      </c>
      <c r="E383" s="18">
        <f t="shared" si="14"/>
        <v>9.2629909385197884E-3</v>
      </c>
      <c r="F383" s="18">
        <f t="shared" si="15"/>
        <v>1.4580295771714269E-2</v>
      </c>
      <c r="G383" s="18">
        <f t="shared" si="16"/>
        <v>1.1657719733995764E-2</v>
      </c>
      <c r="H383" s="18">
        <f t="shared" si="17"/>
        <v>1.3486149360116606E-2</v>
      </c>
      <c r="I383" s="18">
        <f t="shared" si="18"/>
        <v>2.8861477456665341E-4</v>
      </c>
      <c r="J383" s="18">
        <f t="shared" si="19"/>
        <v>-4.503595810396499E-2</v>
      </c>
      <c r="K383" s="18">
        <f t="shared" si="20"/>
        <v>5.6531479659138739E-4</v>
      </c>
      <c r="L383" s="19">
        <f t="shared" si="21"/>
        <v>6.8424065643486465E-3</v>
      </c>
    </row>
    <row r="384" spans="2:12" hidden="1" outlineLevel="1" x14ac:dyDescent="0.3">
      <c r="B384" s="4">
        <v>45361</v>
      </c>
      <c r="C384" s="18">
        <f t="shared" si="12"/>
        <v>7.8845988990863702E-2</v>
      </c>
      <c r="D384" s="18">
        <f t="shared" si="13"/>
        <v>8.2945100940422067E-2</v>
      </c>
      <c r="E384" s="18">
        <f t="shared" si="14"/>
        <v>5.7425143144213209E-2</v>
      </c>
      <c r="F384" s="18">
        <f t="shared" si="15"/>
        <v>6.138369944569888E-2</v>
      </c>
      <c r="G384" s="18">
        <f t="shared" si="16"/>
        <v>1.548330891379246E-2</v>
      </c>
      <c r="H384" s="18">
        <f t="shared" si="17"/>
        <v>3.7832167832167807E-2</v>
      </c>
      <c r="I384" s="18">
        <f t="shared" si="18"/>
        <v>5.783927540958933E-2</v>
      </c>
      <c r="J384" s="18">
        <f t="shared" si="19"/>
        <v>8.8734268613608336E-3</v>
      </c>
      <c r="K384" s="18">
        <f t="shared" si="20"/>
        <v>4.1202812421528234E-2</v>
      </c>
      <c r="L384" s="19">
        <f t="shared" si="21"/>
        <v>0.10402339307954733</v>
      </c>
    </row>
    <row r="385" spans="2:12" hidden="1" outlineLevel="1" x14ac:dyDescent="0.3">
      <c r="B385" s="4">
        <v>45354</v>
      </c>
      <c r="C385" s="18">
        <f t="shared" si="12"/>
        <v>-2.6226508228892054E-2</v>
      </c>
      <c r="D385" s="18">
        <f t="shared" si="13"/>
        <v>-1.0739518968021389E-2</v>
      </c>
      <c r="E385" s="18">
        <f t="shared" si="14"/>
        <v>-5.8594582742006462E-3</v>
      </c>
      <c r="F385" s="18">
        <f t="shared" si="15"/>
        <v>-2.9013539651837617E-3</v>
      </c>
      <c r="G385" s="18">
        <f t="shared" si="16"/>
        <v>4.6404617064421672E-3</v>
      </c>
      <c r="H385" s="18">
        <f t="shared" si="17"/>
        <v>-1.3793833684676682E-2</v>
      </c>
      <c r="I385" s="18">
        <f t="shared" si="18"/>
        <v>-7.1580535217479202E-3</v>
      </c>
      <c r="J385" s="18">
        <f t="shared" si="19"/>
        <v>-1.7921994960547916E-2</v>
      </c>
      <c r="K385" s="18">
        <f t="shared" si="20"/>
        <v>2.0097674699037782E-3</v>
      </c>
      <c r="L385" s="19">
        <f t="shared" si="21"/>
        <v>2.2447845137662625E-2</v>
      </c>
    </row>
    <row r="386" spans="2:12" hidden="1" outlineLevel="1" x14ac:dyDescent="0.3">
      <c r="B386" s="4">
        <v>45347</v>
      </c>
      <c r="C386" s="18">
        <f t="shared" si="12"/>
        <v>-3.4667530470088304E-3</v>
      </c>
      <c r="D386" s="18">
        <f t="shared" si="13"/>
        <v>2.3665694075488908E-2</v>
      </c>
      <c r="E386" s="18">
        <f t="shared" si="14"/>
        <v>3.9395406115783071E-3</v>
      </c>
      <c r="F386" s="18">
        <f t="shared" si="15"/>
        <v>6.9835111542193573E-3</v>
      </c>
      <c r="G386" s="18">
        <f t="shared" si="16"/>
        <v>-1.2692621200947163E-2</v>
      </c>
      <c r="H386" s="18">
        <f t="shared" si="17"/>
        <v>2.9447361742831024E-2</v>
      </c>
      <c r="I386" s="18">
        <f t="shared" si="18"/>
        <v>2.7101921859509437E-2</v>
      </c>
      <c r="J386" s="18">
        <f t="shared" si="19"/>
        <v>-7.1279722469825724E-2</v>
      </c>
      <c r="K386" s="18">
        <f t="shared" si="20"/>
        <v>4.9902721784303106E-2</v>
      </c>
      <c r="L386" s="19">
        <f t="shared" si="21"/>
        <v>4.0136239346306946E-2</v>
      </c>
    </row>
    <row r="387" spans="2:12" hidden="1" outlineLevel="1" x14ac:dyDescent="0.3">
      <c r="B387" s="4">
        <v>45340</v>
      </c>
      <c r="C387" s="18">
        <f t="shared" si="12"/>
        <v>-1.0319817573217649E-2</v>
      </c>
      <c r="D387" s="18">
        <f t="shared" si="13"/>
        <v>1.3382520070741366E-2</v>
      </c>
      <c r="E387" s="18">
        <f t="shared" si="14"/>
        <v>1.3163676309044359E-2</v>
      </c>
      <c r="F387" s="18">
        <f t="shared" si="15"/>
        <v>3.286457329994219E-2</v>
      </c>
      <c r="G387" s="18">
        <f t="shared" si="16"/>
        <v>3.9668186821827378E-2</v>
      </c>
      <c r="H387" s="18">
        <f t="shared" si="17"/>
        <v>5.1028244730779049E-2</v>
      </c>
      <c r="I387" s="18">
        <f t="shared" si="18"/>
        <v>6.1983951622279765E-3</v>
      </c>
      <c r="J387" s="18">
        <f t="shared" si="19"/>
        <v>2.3378577311431226E-2</v>
      </c>
      <c r="K387" s="18">
        <f t="shared" si="20"/>
        <v>4.216257522208422E-2</v>
      </c>
      <c r="L387" s="19">
        <f t="shared" si="21"/>
        <v>1.5573354651252203E-2</v>
      </c>
    </row>
    <row r="388" spans="2:12" hidden="1" outlineLevel="1" x14ac:dyDescent="0.3">
      <c r="B388" s="4">
        <v>45333</v>
      </c>
      <c r="C388" s="18">
        <f t="shared" si="12"/>
        <v>1.880396738639889E-2</v>
      </c>
      <c r="D388" s="18">
        <f t="shared" si="13"/>
        <v>1.4789049146900934E-2</v>
      </c>
      <c r="E388" s="18">
        <f t="shared" si="14"/>
        <v>1.0239915189407256E-3</v>
      </c>
      <c r="F388" s="18">
        <f t="shared" si="15"/>
        <v>1.2757385854968772E-2</v>
      </c>
      <c r="G388" s="18">
        <f t="shared" si="16"/>
        <v>-1.4898846662885323E-2</v>
      </c>
      <c r="H388" s="18">
        <f t="shared" si="17"/>
        <v>6.810821538433709E-3</v>
      </c>
      <c r="I388" s="18">
        <f t="shared" si="18"/>
        <v>2.5107774811321981E-2</v>
      </c>
      <c r="J388" s="18">
        <f t="shared" si="19"/>
        <v>3.447270699466376E-3</v>
      </c>
      <c r="K388" s="18">
        <f t="shared" si="20"/>
        <v>2.725839565918764E-2</v>
      </c>
      <c r="L388" s="19">
        <f t="shared" si="21"/>
        <v>8.9918256130789853E-3</v>
      </c>
    </row>
    <row r="389" spans="2:12" hidden="1" outlineLevel="1" x14ac:dyDescent="0.3">
      <c r="B389" s="4">
        <v>45326</v>
      </c>
      <c r="C389" s="18">
        <f t="shared" si="12"/>
        <v>1.3092097491829158E-3</v>
      </c>
      <c r="D389" s="18">
        <f t="shared" si="13"/>
        <v>-1.8982217468131446E-2</v>
      </c>
      <c r="E389" s="18">
        <f t="shared" si="14"/>
        <v>-2.2101608429058728E-2</v>
      </c>
      <c r="F389" s="18">
        <f t="shared" si="15"/>
        <v>-9.6758747697974212E-2</v>
      </c>
      <c r="G389" s="18">
        <f t="shared" si="16"/>
        <v>6.5256612030248906E-3</v>
      </c>
      <c r="H389" s="18">
        <f t="shared" si="17"/>
        <v>-2.2776145079205667E-2</v>
      </c>
      <c r="I389" s="18">
        <f t="shared" si="18"/>
        <v>-2.6019387702180818E-2</v>
      </c>
      <c r="J389" s="18">
        <f t="shared" si="19"/>
        <v>-4.9479002210293666E-2</v>
      </c>
      <c r="K389" s="18">
        <f t="shared" si="20"/>
        <v>-7.5893574118024776E-2</v>
      </c>
      <c r="L389" s="19">
        <f t="shared" si="21"/>
        <v>-2.4702193416749063E-2</v>
      </c>
    </row>
    <row r="390" spans="2:12" hidden="1" outlineLevel="1" x14ac:dyDescent="0.3">
      <c r="B390" s="4">
        <v>45319</v>
      </c>
      <c r="C390" s="18">
        <f t="shared" si="12"/>
        <v>-4.0498028922248186E-2</v>
      </c>
      <c r="D390" s="18">
        <f t="shared" si="13"/>
        <v>1.437960469641375E-2</v>
      </c>
      <c r="E390" s="18">
        <f t="shared" si="14"/>
        <v>-2.8729832506737885E-2</v>
      </c>
      <c r="F390" s="18">
        <f t="shared" si="15"/>
        <v>-1.4924764506789479E-2</v>
      </c>
      <c r="G390" s="18">
        <f t="shared" si="16"/>
        <v>2.0632317608024087E-2</v>
      </c>
      <c r="H390" s="18">
        <f t="shared" si="17"/>
        <v>5.9688628903600272E-3</v>
      </c>
      <c r="I390" s="18">
        <f t="shared" si="18"/>
        <v>-1.5761521329450079E-2</v>
      </c>
      <c r="J390" s="18">
        <f t="shared" si="19"/>
        <v>-0.12778128425738289</v>
      </c>
      <c r="K390" s="18">
        <f t="shared" si="20"/>
        <v>-1.1238558683814293E-2</v>
      </c>
      <c r="L390" s="19">
        <f t="shared" si="21"/>
        <v>-1.1598661692881707E-2</v>
      </c>
    </row>
    <row r="391" spans="2:12" hidden="1" outlineLevel="1" x14ac:dyDescent="0.3">
      <c r="B391" s="4">
        <v>45312</v>
      </c>
      <c r="C391" s="18">
        <f t="shared" si="12"/>
        <v>-3.9330850447995114E-2</v>
      </c>
      <c r="D391" s="18">
        <f t="shared" si="13"/>
        <v>-1.4318292494625351E-2</v>
      </c>
      <c r="E391" s="18">
        <f t="shared" si="14"/>
        <v>-2.1153663403972289E-2</v>
      </c>
      <c r="F391" s="18">
        <f t="shared" si="15"/>
        <v>-2.7197085730844006E-2</v>
      </c>
      <c r="G391" s="18">
        <f t="shared" si="16"/>
        <v>-1.1994619236230464E-2</v>
      </c>
      <c r="H391" s="18">
        <f t="shared" si="17"/>
        <v>1.6041269812334669E-3</v>
      </c>
      <c r="I391" s="18">
        <f t="shared" si="18"/>
        <v>-1.4564956601510137E-2</v>
      </c>
      <c r="J391" s="18">
        <f t="shared" si="19"/>
        <v>2.1815633521731881E-2</v>
      </c>
      <c r="K391" s="18">
        <f t="shared" si="20"/>
        <v>-1.476447152566196E-2</v>
      </c>
      <c r="L391" s="19">
        <f t="shared" si="21"/>
        <v>-3.4286070019531989E-2</v>
      </c>
    </row>
    <row r="392" spans="2:12" hidden="1" outlineLevel="1" x14ac:dyDescent="0.3">
      <c r="B392" s="4">
        <v>45305</v>
      </c>
      <c r="C392" s="18">
        <f t="shared" si="12"/>
        <v>3.4840595012411546E-2</v>
      </c>
      <c r="D392" s="18">
        <f t="shared" si="13"/>
        <v>-5.9346287091428529E-3</v>
      </c>
      <c r="E392" s="18">
        <f t="shared" si="14"/>
        <v>1.1417032348258305E-2</v>
      </c>
      <c r="F392" s="18">
        <f t="shared" si="15"/>
        <v>3.2000000000000028E-2</v>
      </c>
      <c r="G392" s="18">
        <f t="shared" si="16"/>
        <v>5.1321810824099146E-2</v>
      </c>
      <c r="H392" s="18">
        <f t="shared" si="17"/>
        <v>2.8664246130326809E-2</v>
      </c>
      <c r="I392" s="18">
        <f t="shared" si="18"/>
        <v>-6.1226243501425026E-2</v>
      </c>
      <c r="J392" s="18">
        <f t="shared" si="19"/>
        <v>2.5315700803602015E-2</v>
      </c>
      <c r="K392" s="18">
        <f t="shared" si="20"/>
        <v>1.0565334601966514E-2</v>
      </c>
      <c r="L392" s="19">
        <f t="shared" si="21"/>
        <v>3.3891749462131582E-2</v>
      </c>
    </row>
    <row r="393" spans="2:12" hidden="1" outlineLevel="1" x14ac:dyDescent="0.3">
      <c r="B393" s="4">
        <v>45298</v>
      </c>
      <c r="C393" s="18">
        <f t="shared" si="12"/>
        <v>-1.9821291462905566E-2</v>
      </c>
      <c r="D393" s="18">
        <f t="shared" si="13"/>
        <v>-2.7995636099157561E-2</v>
      </c>
      <c r="E393" s="18">
        <f t="shared" si="14"/>
        <v>-1.7316183528508278E-2</v>
      </c>
      <c r="F393" s="18">
        <f t="shared" si="15"/>
        <v>-4.0367804717136857E-2</v>
      </c>
      <c r="G393" s="18">
        <f t="shared" si="16"/>
        <v>-5.888912871429608E-2</v>
      </c>
      <c r="H393" s="18">
        <f t="shared" si="17"/>
        <v>0.10348274550392333</v>
      </c>
      <c r="I393" s="18">
        <f t="shared" si="18"/>
        <v>-2.6789528284615893E-2</v>
      </c>
      <c r="J393" s="18">
        <f t="shared" si="19"/>
        <v>-0.32286138052376734</v>
      </c>
      <c r="K393" s="18">
        <f t="shared" si="20"/>
        <v>5.1215158588493681E-2</v>
      </c>
      <c r="L393" s="19">
        <f t="shared" si="21"/>
        <v>2.7644633574162025E-2</v>
      </c>
    </row>
    <row r="394" spans="2:12" hidden="1" outlineLevel="1" x14ac:dyDescent="0.3">
      <c r="B394" s="4">
        <v>45291</v>
      </c>
      <c r="C394" s="18">
        <f t="shared" si="12"/>
        <v>-3.7318788197410746E-2</v>
      </c>
      <c r="D394" s="18">
        <f t="shared" si="13"/>
        <v>-4.9728442174707399E-2</v>
      </c>
      <c r="E394" s="18">
        <f t="shared" si="14"/>
        <v>-7.0094553410955718E-2</v>
      </c>
      <c r="F394" s="18">
        <f t="shared" si="15"/>
        <v>-1.9034933184376657E-2</v>
      </c>
      <c r="G394" s="18">
        <f t="shared" si="16"/>
        <v>-4.5678682007568527E-2</v>
      </c>
      <c r="H394" s="18">
        <f t="shared" si="17"/>
        <v>-4.6400141092343472E-2</v>
      </c>
      <c r="I394" s="18">
        <f t="shared" si="18"/>
        <v>-3.9748975838140632E-2</v>
      </c>
      <c r="J394" s="18">
        <f t="shared" si="19"/>
        <v>-4.2755140387609414E-2</v>
      </c>
      <c r="K394" s="18">
        <f t="shared" si="20"/>
        <v>-1.5692640692640536E-2</v>
      </c>
      <c r="L394" s="19">
        <f t="shared" si="21"/>
        <v>-7.8321476784928734E-2</v>
      </c>
    </row>
    <row r="395" spans="2:12" hidden="1" outlineLevel="1" x14ac:dyDescent="0.3">
      <c r="B395" s="4">
        <v>45284</v>
      </c>
      <c r="C395" s="18">
        <f t="shared" si="12"/>
        <v>1.484867350393726E-2</v>
      </c>
      <c r="D395" s="18">
        <f t="shared" si="13"/>
        <v>6.7521457256096706E-3</v>
      </c>
      <c r="E395" s="18">
        <f t="shared" si="14"/>
        <v>2.3242296918767558E-2</v>
      </c>
      <c r="F395" s="18">
        <f t="shared" si="15"/>
        <v>3.2194480946123427E-2</v>
      </c>
      <c r="G395" s="18">
        <f t="shared" si="16"/>
        <v>1.9506528879275953E-2</v>
      </c>
      <c r="H395" s="18">
        <f t="shared" si="17"/>
        <v>5.8392810605869538E-2</v>
      </c>
      <c r="I395" s="18">
        <f t="shared" si="18"/>
        <v>5.2565993176214576E-3</v>
      </c>
      <c r="J395" s="18">
        <f t="shared" si="19"/>
        <v>-5.4928045046156448E-2</v>
      </c>
      <c r="K395" s="18">
        <f t="shared" si="20"/>
        <v>3.8748080605107038E-2</v>
      </c>
      <c r="L395" s="19">
        <f t="shared" si="21"/>
        <v>3.2593580027483693E-2</v>
      </c>
    </row>
    <row r="396" spans="2:12" hidden="1" outlineLevel="1" x14ac:dyDescent="0.3">
      <c r="B396" s="4">
        <v>45277</v>
      </c>
      <c r="C396" s="18">
        <f t="shared" si="12"/>
        <v>8.0663821818514059E-3</v>
      </c>
      <c r="D396" s="18">
        <f t="shared" si="13"/>
        <v>1.2963988919667546E-2</v>
      </c>
      <c r="E396" s="18">
        <f t="shared" si="14"/>
        <v>-2.3200268274489178E-3</v>
      </c>
      <c r="F396" s="18">
        <f t="shared" si="15"/>
        <v>-1.8374708253766192E-2</v>
      </c>
      <c r="G396" s="18">
        <f t="shared" si="16"/>
        <v>1.964404981731116E-3</v>
      </c>
      <c r="H396" s="18">
        <f t="shared" si="17"/>
        <v>-1.0460766169707369E-2</v>
      </c>
      <c r="I396" s="18">
        <f t="shared" si="18"/>
        <v>5.6784042006117197E-3</v>
      </c>
      <c r="J396" s="18">
        <f t="shared" si="19"/>
        <v>-1.5429168249159186E-4</v>
      </c>
      <c r="K396" s="18">
        <f t="shared" si="20"/>
        <v>-4.9274568847523792E-4</v>
      </c>
      <c r="L396" s="19">
        <f t="shared" si="21"/>
        <v>2.5181690679585422E-3</v>
      </c>
    </row>
    <row r="397" spans="2:12" hidden="1" outlineLevel="1" x14ac:dyDescent="0.3">
      <c r="B397" s="4">
        <v>45270</v>
      </c>
      <c r="C397" s="18">
        <f t="shared" si="12"/>
        <v>9.675335767514337E-3</v>
      </c>
      <c r="D397" s="18">
        <f t="shared" si="13"/>
        <v>9.9218860591709923E-3</v>
      </c>
      <c r="E397" s="18">
        <f t="shared" si="14"/>
        <v>1.9556866511181159E-2</v>
      </c>
      <c r="F397" s="18">
        <f t="shared" si="15"/>
        <v>-3.4800276673007002E-2</v>
      </c>
      <c r="G397" s="18">
        <f t="shared" si="16"/>
        <v>2.4271654315178415E-2</v>
      </c>
      <c r="H397" s="18">
        <f t="shared" si="17"/>
        <v>-1.6021576150647809E-2</v>
      </c>
      <c r="I397" s="18">
        <f t="shared" si="18"/>
        <v>-2.7787645868320165E-2</v>
      </c>
      <c r="J397" s="18">
        <f t="shared" si="19"/>
        <v>3.5278895575893587E-2</v>
      </c>
      <c r="K397" s="18">
        <f t="shared" si="20"/>
        <v>-2.9031551270815026E-2</v>
      </c>
      <c r="L397" s="19">
        <f t="shared" si="21"/>
        <v>2.3790976439540978E-2</v>
      </c>
    </row>
    <row r="398" spans="2:12" hidden="1" outlineLevel="1" x14ac:dyDescent="0.3">
      <c r="B398" s="4">
        <v>45263</v>
      </c>
      <c r="C398" s="18">
        <f t="shared" si="12"/>
        <v>-6.0683762943146591E-2</v>
      </c>
      <c r="D398" s="18">
        <f t="shared" si="13"/>
        <v>-5.528300925100027E-2</v>
      </c>
      <c r="E398" s="18">
        <f t="shared" si="14"/>
        <v>-8.5298490893555123E-2</v>
      </c>
      <c r="F398" s="18">
        <f t="shared" si="15"/>
        <v>-5.3612218390289734E-2</v>
      </c>
      <c r="G398" s="18">
        <f t="shared" si="16"/>
        <v>-6.1863563279993872E-2</v>
      </c>
      <c r="H398" s="18">
        <f t="shared" si="17"/>
        <v>-6.8621212862806535E-2</v>
      </c>
      <c r="I398" s="18">
        <f t="shared" si="18"/>
        <v>-0.10524217770309729</v>
      </c>
      <c r="J398" s="18">
        <f t="shared" si="19"/>
        <v>-5.2605629765521855E-2</v>
      </c>
      <c r="K398" s="18">
        <f t="shared" si="20"/>
        <v>-8.7197713340103067E-2</v>
      </c>
      <c r="L398" s="19">
        <f t="shared" si="21"/>
        <v>-0.1019977173381369</v>
      </c>
    </row>
    <row r="399" spans="2:12" hidden="1" outlineLevel="1" x14ac:dyDescent="0.3">
      <c r="B399" s="4">
        <v>45256</v>
      </c>
      <c r="C399" s="18">
        <f t="shared" si="12"/>
        <v>-3.1722356212341651E-2</v>
      </c>
      <c r="D399" s="18">
        <f t="shared" si="13"/>
        <v>-2.6052239359585561E-2</v>
      </c>
      <c r="E399" s="18">
        <f t="shared" si="14"/>
        <v>-2.0087824468750237E-2</v>
      </c>
      <c r="F399" s="18">
        <f t="shared" si="15"/>
        <v>-3.5399905347846761E-2</v>
      </c>
      <c r="G399" s="18">
        <f t="shared" si="16"/>
        <v>-3.8766016485758392E-3</v>
      </c>
      <c r="H399" s="18">
        <f t="shared" si="17"/>
        <v>-2.3061292413333989E-2</v>
      </c>
      <c r="I399" s="18">
        <f t="shared" si="18"/>
        <v>-4.826359347203879E-3</v>
      </c>
      <c r="J399" s="18">
        <f t="shared" si="19"/>
        <v>-2.1312645987389134E-2</v>
      </c>
      <c r="K399" s="18">
        <f t="shared" si="20"/>
        <v>-2.1363383531447844E-2</v>
      </c>
      <c r="L399" s="19">
        <f t="shared" si="21"/>
        <v>-1.1931523430745217E-2</v>
      </c>
    </row>
    <row r="400" spans="2:12" hidden="1" outlineLevel="1" x14ac:dyDescent="0.3">
      <c r="B400" s="4">
        <v>45249</v>
      </c>
      <c r="C400" s="18">
        <f t="shared" si="12"/>
        <v>-1.553503593839467E-2</v>
      </c>
      <c r="D400" s="18">
        <f t="shared" si="13"/>
        <v>-1.0262020828717189E-2</v>
      </c>
      <c r="E400" s="18">
        <f t="shared" si="14"/>
        <v>-2.0604704928615436E-2</v>
      </c>
      <c r="F400" s="18">
        <f t="shared" si="15"/>
        <v>-2.8554607006181842E-2</v>
      </c>
      <c r="G400" s="18">
        <f t="shared" si="16"/>
        <v>-1.8598172954815473E-2</v>
      </c>
      <c r="H400" s="18">
        <f t="shared" si="17"/>
        <v>-1.872853928151974E-2</v>
      </c>
      <c r="I400" s="18">
        <f t="shared" si="18"/>
        <v>-6.6746459826217963E-3</v>
      </c>
      <c r="J400" s="18">
        <f t="shared" si="19"/>
        <v>-3.0049711869017948E-3</v>
      </c>
      <c r="K400" s="18">
        <f t="shared" si="20"/>
        <v>-2.3492758504546907E-2</v>
      </c>
      <c r="L400" s="19">
        <f t="shared" si="21"/>
        <v>-1.6704585229261437E-2</v>
      </c>
    </row>
    <row r="401" spans="2:12" hidden="1" outlineLevel="1" x14ac:dyDescent="0.3">
      <c r="B401" s="4">
        <v>45242</v>
      </c>
      <c r="C401" s="18">
        <f t="shared" si="12"/>
        <v>1.3117183717332503E-2</v>
      </c>
      <c r="D401" s="18">
        <f t="shared" si="13"/>
        <v>1.0494354037526854E-4</v>
      </c>
      <c r="E401" s="18">
        <f t="shared" si="14"/>
        <v>0</v>
      </c>
      <c r="F401" s="18">
        <f t="shared" si="15"/>
        <v>-1.5151515151515804E-3</v>
      </c>
      <c r="G401" s="18">
        <f t="shared" si="16"/>
        <v>4.090662436866177E-3</v>
      </c>
      <c r="H401" s="18">
        <f t="shared" si="17"/>
        <v>8.3872382414207358E-3</v>
      </c>
      <c r="I401" s="18">
        <f t="shared" si="18"/>
        <v>-5.4769997308445895E-4</v>
      </c>
      <c r="J401" s="18">
        <f t="shared" si="19"/>
        <v>3.6924946975428918E-2</v>
      </c>
      <c r="K401" s="18">
        <f t="shared" si="20"/>
        <v>2.5868759161851163E-3</v>
      </c>
      <c r="L401" s="19">
        <f t="shared" si="21"/>
        <v>1.0038177109752411E-2</v>
      </c>
    </row>
    <row r="402" spans="2:12" hidden="1" outlineLevel="1" x14ac:dyDescent="0.3">
      <c r="B402" s="4">
        <v>45235</v>
      </c>
      <c r="C402" s="18">
        <f t="shared" si="12"/>
        <v>-4.8251685078928408E-2</v>
      </c>
      <c r="D402" s="18">
        <f t="shared" si="13"/>
        <v>-4.7786273426186909E-2</v>
      </c>
      <c r="E402" s="18">
        <f t="shared" si="14"/>
        <v>-4.1018723606459417E-2</v>
      </c>
      <c r="F402" s="18">
        <f t="shared" si="15"/>
        <v>-4.0718259989883543E-2</v>
      </c>
      <c r="G402" s="18">
        <f t="shared" si="16"/>
        <v>-5.3710247349823215E-2</v>
      </c>
      <c r="H402" s="18">
        <f t="shared" si="17"/>
        <v>-4.6452840445773358E-2</v>
      </c>
      <c r="I402" s="18">
        <f t="shared" si="18"/>
        <v>-2.2032735961019845E-2</v>
      </c>
      <c r="J402" s="18">
        <f t="shared" si="19"/>
        <v>-3.8480861244019171E-2</v>
      </c>
      <c r="K402" s="18">
        <f t="shared" si="20"/>
        <v>-5.2980132450331285E-2</v>
      </c>
      <c r="L402" s="19">
        <f t="shared" si="21"/>
        <v>-9.444136071683451E-2</v>
      </c>
    </row>
    <row r="403" spans="2:12" hidden="1" outlineLevel="1" x14ac:dyDescent="0.3">
      <c r="B403" s="4">
        <v>45228</v>
      </c>
      <c r="C403" s="18">
        <f t="shared" si="12"/>
        <v>5.2357463694232553E-3</v>
      </c>
      <c r="D403" s="18">
        <f t="shared" si="13"/>
        <v>1.4759253001072503E-2</v>
      </c>
      <c r="E403" s="18">
        <f t="shared" si="14"/>
        <v>8.599400599400564E-3</v>
      </c>
      <c r="F403" s="18">
        <f t="shared" si="15"/>
        <v>1.1178486686000522E-2</v>
      </c>
      <c r="G403" s="18">
        <f t="shared" si="16"/>
        <v>-4.4370249967052855E-3</v>
      </c>
      <c r="H403" s="18">
        <f t="shared" si="17"/>
        <v>-2.4172629058464623E-2</v>
      </c>
      <c r="I403" s="18">
        <f t="shared" si="18"/>
        <v>6.4039550826591185E-3</v>
      </c>
      <c r="J403" s="18">
        <f t="shared" si="19"/>
        <v>-2.1210952564597041E-2</v>
      </c>
      <c r="K403" s="18">
        <f t="shared" si="20"/>
        <v>3.6327309054582368E-3</v>
      </c>
      <c r="L403" s="19">
        <f t="shared" si="21"/>
        <v>-1.087760264642923E-2</v>
      </c>
    </row>
    <row r="404" spans="2:12" hidden="1" outlineLevel="1" x14ac:dyDescent="0.3">
      <c r="B404" s="4">
        <v>45221</v>
      </c>
      <c r="C404" s="18">
        <f t="shared" si="12"/>
        <v>1.5229462308585795E-5</v>
      </c>
      <c r="D404" s="18">
        <f t="shared" si="13"/>
        <v>-6.2695924764890609E-3</v>
      </c>
      <c r="E404" s="18">
        <f t="shared" si="14"/>
        <v>1.9334236654227066E-3</v>
      </c>
      <c r="F404" s="18">
        <f t="shared" si="15"/>
        <v>-3.0766021796944099E-3</v>
      </c>
      <c r="G404" s="18">
        <f t="shared" si="16"/>
        <v>-1.1075809725531682E-2</v>
      </c>
      <c r="H404" s="18">
        <f t="shared" si="17"/>
        <v>7.0205162659811027E-3</v>
      </c>
      <c r="I404" s="18">
        <f t="shared" si="18"/>
        <v>-3.2194637726808528E-2</v>
      </c>
      <c r="J404" s="18">
        <f t="shared" si="19"/>
        <v>-3.4317089910773646E-4</v>
      </c>
      <c r="K404" s="18">
        <f t="shared" si="20"/>
        <v>-4.3389738485204776E-2</v>
      </c>
      <c r="L404" s="19">
        <f t="shared" si="21"/>
        <v>-1.4587554838582761E-2</v>
      </c>
    </row>
    <row r="405" spans="2:12" hidden="1" outlineLevel="1" x14ac:dyDescent="0.3">
      <c r="B405" s="4">
        <v>45214</v>
      </c>
      <c r="C405" s="18">
        <f t="shared" si="12"/>
        <v>4.2852008430901867E-2</v>
      </c>
      <c r="D405" s="18">
        <f t="shared" si="13"/>
        <v>3.3979061787397846E-2</v>
      </c>
      <c r="E405" s="18">
        <f t="shared" si="14"/>
        <v>-7.9560283127050324E-3</v>
      </c>
      <c r="F405" s="18">
        <f t="shared" si="15"/>
        <v>2.4845695156397118E-2</v>
      </c>
      <c r="G405" s="18">
        <f t="shared" si="16"/>
        <v>4.4754807906831617E-2</v>
      </c>
      <c r="H405" s="18">
        <f t="shared" si="17"/>
        <v>4.7418294333784639E-2</v>
      </c>
      <c r="I405" s="18">
        <f t="shared" si="18"/>
        <v>-2.9005088958144354E-2</v>
      </c>
      <c r="J405" s="18">
        <f t="shared" si="19"/>
        <v>-1.462155598784487E-3</v>
      </c>
      <c r="K405" s="18">
        <f t="shared" si="20"/>
        <v>2.6226174147471859E-2</v>
      </c>
      <c r="L405" s="19">
        <f t="shared" si="21"/>
        <v>-1.7668373611235966E-3</v>
      </c>
    </row>
    <row r="406" spans="2:12" hidden="1" outlineLevel="1" x14ac:dyDescent="0.3">
      <c r="B406" s="4">
        <v>45207</v>
      </c>
      <c r="C406" s="18">
        <f t="shared" si="12"/>
        <v>2.183506870920171E-2</v>
      </c>
      <c r="D406" s="18">
        <f t="shared" si="13"/>
        <v>2.7338382948740581E-3</v>
      </c>
      <c r="E406" s="18">
        <f t="shared" si="14"/>
        <v>-2.1524406285127196E-3</v>
      </c>
      <c r="F406" s="18">
        <f t="shared" si="15"/>
        <v>4.8946052161486175E-2</v>
      </c>
      <c r="G406" s="18">
        <f t="shared" si="16"/>
        <v>1.99880413427862E-2</v>
      </c>
      <c r="H406" s="18">
        <f t="shared" si="17"/>
        <v>-5.9275876075477352E-2</v>
      </c>
      <c r="I406" s="18">
        <f t="shared" si="18"/>
        <v>-2.4010969478441946E-2</v>
      </c>
      <c r="J406" s="18">
        <f t="shared" si="19"/>
        <v>4.4145360089640207E-2</v>
      </c>
      <c r="K406" s="18">
        <f t="shared" si="20"/>
        <v>9.5149210738564305E-2</v>
      </c>
      <c r="L406" s="19">
        <f t="shared" si="21"/>
        <v>1.3099738005240003E-3</v>
      </c>
    </row>
    <row r="407" spans="2:12" hidden="1" outlineLevel="1" x14ac:dyDescent="0.3">
      <c r="B407" s="4">
        <v>45200</v>
      </c>
      <c r="C407" s="18">
        <f t="shared" si="12"/>
        <v>1.4157050943088834E-2</v>
      </c>
      <c r="D407" s="18">
        <f t="shared" si="13"/>
        <v>3.3222544672658172E-2</v>
      </c>
      <c r="E407" s="18">
        <f t="shared" si="14"/>
        <v>-1.4484417068123978E-2</v>
      </c>
      <c r="F407" s="18">
        <f t="shared" si="15"/>
        <v>-7.7364733359284177E-3</v>
      </c>
      <c r="G407" s="18">
        <f t="shared" si="16"/>
        <v>1.9093878234653916E-2</v>
      </c>
      <c r="H407" s="18">
        <f t="shared" si="17"/>
        <v>2.8271984141782003E-2</v>
      </c>
      <c r="I407" s="18">
        <f t="shared" si="18"/>
        <v>-3.0214414808185097E-3</v>
      </c>
      <c r="J407" s="18">
        <f t="shared" si="19"/>
        <v>4.999817079862634E-4</v>
      </c>
      <c r="K407" s="18">
        <f t="shared" si="20"/>
        <v>4.8312431613500628E-2</v>
      </c>
      <c r="L407" s="19">
        <f t="shared" si="21"/>
        <v>3.5732475807176423E-2</v>
      </c>
    </row>
    <row r="408" spans="2:12" hidden="1" outlineLevel="1" x14ac:dyDescent="0.3">
      <c r="B408" s="4">
        <v>45193</v>
      </c>
      <c r="C408" s="18">
        <f t="shared" si="12"/>
        <v>-2.5627511879463549E-2</v>
      </c>
      <c r="D408" s="18">
        <f t="shared" si="13"/>
        <v>-2.9243544317571257E-2</v>
      </c>
      <c r="E408" s="18">
        <f t="shared" si="14"/>
        <v>-2.3428126722655485E-3</v>
      </c>
      <c r="F408" s="18">
        <f t="shared" si="15"/>
        <v>-4.4623155004167581E-3</v>
      </c>
      <c r="G408" s="18">
        <f t="shared" si="16"/>
        <v>4.8483852411864703E-3</v>
      </c>
      <c r="H408" s="18">
        <f t="shared" si="17"/>
        <v>-5.6020003053900425E-3</v>
      </c>
      <c r="I408" s="18">
        <f t="shared" si="18"/>
        <v>8.4654943250219716E-3</v>
      </c>
      <c r="J408" s="18">
        <f t="shared" si="19"/>
        <v>2.1086246404369291E-3</v>
      </c>
      <c r="K408" s="18">
        <f t="shared" si="20"/>
        <v>-4.5925331192292251E-2</v>
      </c>
      <c r="L408" s="19">
        <f t="shared" si="21"/>
        <v>-1.5639613927162954E-2</v>
      </c>
    </row>
    <row r="409" spans="2:12" hidden="1" outlineLevel="1" x14ac:dyDescent="0.3">
      <c r="B409" s="4">
        <v>45186</v>
      </c>
      <c r="C409" s="18">
        <f t="shared" ref="C409:C472" si="22">E140/E139-1</f>
        <v>2.1271487702511527E-2</v>
      </c>
      <c r="D409" s="18">
        <f t="shared" si="13"/>
        <v>4.2286378825985516E-2</v>
      </c>
      <c r="E409" s="18">
        <f t="shared" si="14"/>
        <v>3.1503164942673578E-2</v>
      </c>
      <c r="F409" s="18">
        <f t="shared" si="15"/>
        <v>3.0686631858930058E-2</v>
      </c>
      <c r="G409" s="18">
        <f t="shared" si="16"/>
        <v>6.7508995747464828E-2</v>
      </c>
      <c r="H409" s="18">
        <f t="shared" si="17"/>
        <v>4.1776634643991617E-2</v>
      </c>
      <c r="I409" s="18">
        <f t="shared" si="18"/>
        <v>9.0844791001776226E-3</v>
      </c>
      <c r="J409" s="18">
        <f t="shared" si="19"/>
        <v>2.0543196662490715E-2</v>
      </c>
      <c r="K409" s="18">
        <f t="shared" si="20"/>
        <v>4.6032146764285242E-2</v>
      </c>
      <c r="L409" s="19">
        <f t="shared" si="21"/>
        <v>3.7026516079107452E-2</v>
      </c>
    </row>
    <row r="410" spans="2:12" hidden="1" outlineLevel="1" x14ac:dyDescent="0.3">
      <c r="B410" s="4">
        <v>45179</v>
      </c>
      <c r="C410" s="18">
        <f t="shared" si="22"/>
        <v>-1.4869362033562705E-3</v>
      </c>
      <c r="D410" s="18">
        <f t="shared" ref="D410:D473" si="23">F141/F140-1</f>
        <v>1.0324176452005451E-2</v>
      </c>
      <c r="E410" s="18">
        <f t="shared" ref="E410:E473" si="24">G141/G140-1</f>
        <v>2.4254789513486141E-2</v>
      </c>
      <c r="F410" s="18">
        <f t="shared" ref="F410:F473" si="25">H141/H140-1</f>
        <v>5.3859020310633277E-2</v>
      </c>
      <c r="G410" s="18">
        <f t="shared" ref="G410:G473" si="26">I141/I140-1</f>
        <v>-4.0602137357796941E-3</v>
      </c>
      <c r="H410" s="18">
        <f t="shared" ref="H410:H473" si="27">J141/J140-1</f>
        <v>1.9401197604790532E-2</v>
      </c>
      <c r="I410" s="18">
        <f t="shared" ref="I410:I473" si="28">K141/K140-1</f>
        <v>1.9879097884213159E-2</v>
      </c>
      <c r="J410" s="18">
        <f t="shared" ref="J410:J473" si="29">L141/L140-1</f>
        <v>2.4706218863966622E-2</v>
      </c>
      <c r="K410" s="18">
        <f t="shared" ref="K410:K473" si="30">M141/M140-1</f>
        <v>2.8761061946902533E-3</v>
      </c>
      <c r="L410" s="19">
        <f t="shared" ref="L410:L473" si="31">N141/N140-1</f>
        <v>6.1481642407125614E-2</v>
      </c>
    </row>
    <row r="411" spans="2:12" hidden="1" outlineLevel="1" x14ac:dyDescent="0.3">
      <c r="B411" s="4">
        <v>45172</v>
      </c>
      <c r="C411" s="18">
        <f t="shared" si="22"/>
        <v>-4.346333853354134E-2</v>
      </c>
      <c r="D411" s="18">
        <f t="shared" si="23"/>
        <v>-2.7788680952412714E-2</v>
      </c>
      <c r="E411" s="18">
        <f t="shared" si="24"/>
        <v>-3.2617306168908677E-2</v>
      </c>
      <c r="F411" s="18">
        <f t="shared" si="25"/>
        <v>-2.5031743152548525E-2</v>
      </c>
      <c r="G411" s="18">
        <f t="shared" si="26"/>
        <v>-2.8537363947540362E-2</v>
      </c>
      <c r="H411" s="18">
        <f t="shared" si="27"/>
        <v>-9.8141989589358714E-3</v>
      </c>
      <c r="I411" s="18">
        <f t="shared" si="28"/>
        <v>9.0518368523739845E-4</v>
      </c>
      <c r="J411" s="18">
        <f t="shared" si="29"/>
        <v>1.1351609113853467E-2</v>
      </c>
      <c r="K411" s="18">
        <f t="shared" si="30"/>
        <v>-1.0829673304855292E-2</v>
      </c>
      <c r="L411" s="19">
        <f t="shared" si="31"/>
        <v>-1.2155404082649701E-2</v>
      </c>
    </row>
    <row r="412" spans="2:12" hidden="1" outlineLevel="1" x14ac:dyDescent="0.3">
      <c r="B412" s="4">
        <v>45165</v>
      </c>
      <c r="C412" s="18">
        <f t="shared" si="22"/>
        <v>-1.8216216376505945E-2</v>
      </c>
      <c r="D412" s="18">
        <f t="shared" si="23"/>
        <v>-1.7517928504954261E-2</v>
      </c>
      <c r="E412" s="18">
        <f t="shared" si="24"/>
        <v>-6.041404970504527E-2</v>
      </c>
      <c r="F412" s="18">
        <f t="shared" si="25"/>
        <v>-3.1720930232558064E-2</v>
      </c>
      <c r="G412" s="18">
        <f t="shared" si="26"/>
        <v>-2.7633714715546986E-2</v>
      </c>
      <c r="H412" s="18">
        <f t="shared" si="27"/>
        <v>-3.1970429862188454E-2</v>
      </c>
      <c r="I412" s="18">
        <f t="shared" si="28"/>
        <v>-7.1635761944317866E-2</v>
      </c>
      <c r="J412" s="18">
        <f t="shared" si="29"/>
        <v>-4.8645851302397847E-2</v>
      </c>
      <c r="K412" s="18">
        <f t="shared" si="30"/>
        <v>-1.3360906676398554E-2</v>
      </c>
      <c r="L412" s="19">
        <f t="shared" si="31"/>
        <v>-1.7781861420386735E-2</v>
      </c>
    </row>
    <row r="413" spans="2:12" hidden="1" outlineLevel="1" x14ac:dyDescent="0.3">
      <c r="B413" s="4">
        <v>45158</v>
      </c>
      <c r="C413" s="18">
        <f t="shared" si="22"/>
        <v>6.1917821459189781E-4</v>
      </c>
      <c r="D413" s="18">
        <f t="shared" si="23"/>
        <v>-1.6451217473672397E-2</v>
      </c>
      <c r="E413" s="18">
        <f t="shared" si="24"/>
        <v>-2.6856654510377997E-2</v>
      </c>
      <c r="F413" s="18">
        <f t="shared" si="25"/>
        <v>-1.5995772888846238E-2</v>
      </c>
      <c r="G413" s="18">
        <f t="shared" si="26"/>
        <v>-3.1391229998778525E-2</v>
      </c>
      <c r="H413" s="18">
        <f t="shared" si="27"/>
        <v>-3.3177142749394428E-2</v>
      </c>
      <c r="I413" s="18">
        <f t="shared" si="28"/>
        <v>-7.3133332130680406E-2</v>
      </c>
      <c r="J413" s="18">
        <f t="shared" si="29"/>
        <v>-4.1619824720459331E-2</v>
      </c>
      <c r="K413" s="18">
        <f t="shared" si="30"/>
        <v>-1.6891336511589694E-2</v>
      </c>
      <c r="L413" s="19">
        <f t="shared" si="31"/>
        <v>-3.5895742768576211E-2</v>
      </c>
    </row>
    <row r="414" spans="2:12" hidden="1" outlineLevel="1" x14ac:dyDescent="0.3">
      <c r="B414" s="4">
        <v>45151</v>
      </c>
      <c r="C414" s="18">
        <f t="shared" si="22"/>
        <v>-4.1987509395119416E-3</v>
      </c>
      <c r="D414" s="18">
        <f t="shared" si="23"/>
        <v>-2.203747503788589E-2</v>
      </c>
      <c r="E414" s="18">
        <f t="shared" si="24"/>
        <v>1.711170430140263E-2</v>
      </c>
      <c r="F414" s="18">
        <f t="shared" si="25"/>
        <v>4.8816206980717425E-3</v>
      </c>
      <c r="G414" s="18">
        <f t="shared" si="26"/>
        <v>1.7906683480453989E-2</v>
      </c>
      <c r="H414" s="18">
        <f t="shared" si="27"/>
        <v>-8.2400436868588223E-3</v>
      </c>
      <c r="I414" s="18">
        <f t="shared" si="28"/>
        <v>-5.5703692169952634E-2</v>
      </c>
      <c r="J414" s="18">
        <f t="shared" si="29"/>
        <v>8.3121011074394069E-3</v>
      </c>
      <c r="K414" s="18">
        <f t="shared" si="30"/>
        <v>-4.2243217256803578E-2</v>
      </c>
      <c r="L414" s="19">
        <f t="shared" si="31"/>
        <v>-6.3934020775465172E-2</v>
      </c>
    </row>
    <row r="415" spans="2:12" hidden="1" outlineLevel="1" x14ac:dyDescent="0.3">
      <c r="B415" s="4">
        <v>45144</v>
      </c>
      <c r="C415" s="18">
        <f t="shared" si="22"/>
        <v>2.426507587193627E-2</v>
      </c>
      <c r="D415" s="18">
        <f t="shared" si="23"/>
        <v>-1.2208367728200775E-2</v>
      </c>
      <c r="E415" s="18">
        <f t="shared" si="24"/>
        <v>-1.9149063491114005E-3</v>
      </c>
      <c r="F415" s="18">
        <f t="shared" si="25"/>
        <v>3.2547971824143929E-3</v>
      </c>
      <c r="G415" s="18">
        <f t="shared" si="26"/>
        <v>7.9699372315824579E-3</v>
      </c>
      <c r="H415" s="18">
        <f t="shared" si="27"/>
        <v>4.365652930592212E-3</v>
      </c>
      <c r="I415" s="18">
        <f t="shared" si="28"/>
        <v>8.4176680338849952E-3</v>
      </c>
      <c r="J415" s="18">
        <f t="shared" si="29"/>
        <v>-9.6696313531229316E-3</v>
      </c>
      <c r="K415" s="18">
        <f t="shared" si="30"/>
        <v>1.6848170053032518E-2</v>
      </c>
      <c r="L415" s="19">
        <f t="shared" si="31"/>
        <v>7.0678739469325125E-2</v>
      </c>
    </row>
    <row r="416" spans="2:12" hidden="1" outlineLevel="1" x14ac:dyDescent="0.3">
      <c r="B416" s="4">
        <v>45137</v>
      </c>
      <c r="C416" s="18">
        <f t="shared" si="22"/>
        <v>-1.5211466012436947E-3</v>
      </c>
      <c r="D416" s="18">
        <f t="shared" si="23"/>
        <v>4.7428454140276965E-3</v>
      </c>
      <c r="E416" s="18">
        <f t="shared" si="24"/>
        <v>-2.3134309182633372E-2</v>
      </c>
      <c r="F416" s="18">
        <f t="shared" si="25"/>
        <v>-1.0120085221770325E-2</v>
      </c>
      <c r="G416" s="18">
        <f t="shared" si="26"/>
        <v>-3.7076488180589173E-2</v>
      </c>
      <c r="H416" s="18">
        <f t="shared" si="27"/>
        <v>-3.2590286547818481E-2</v>
      </c>
      <c r="I416" s="18">
        <f t="shared" si="28"/>
        <v>-2.1825064281538742E-2</v>
      </c>
      <c r="J416" s="18">
        <f t="shared" si="29"/>
        <v>-1.8972312045270834E-2</v>
      </c>
      <c r="K416" s="18">
        <f t="shared" si="30"/>
        <v>-2.8330435902388817E-2</v>
      </c>
      <c r="L416" s="19">
        <f t="shared" si="31"/>
        <v>-7.2087549118244443E-2</v>
      </c>
    </row>
    <row r="417" spans="2:12" hidden="1" outlineLevel="1" x14ac:dyDescent="0.3">
      <c r="B417" s="4">
        <v>45130</v>
      </c>
      <c r="C417" s="18">
        <f t="shared" si="22"/>
        <v>-2.5599530512257385E-2</v>
      </c>
      <c r="D417" s="18">
        <f t="shared" si="23"/>
        <v>-2.7461824124672685E-2</v>
      </c>
      <c r="E417" s="18">
        <f t="shared" si="24"/>
        <v>-3.5659173008803058E-2</v>
      </c>
      <c r="F417" s="18">
        <f t="shared" si="25"/>
        <v>-2.4702832265323105E-2</v>
      </c>
      <c r="G417" s="18">
        <f t="shared" si="26"/>
        <v>-7.1604833219877539E-2</v>
      </c>
      <c r="H417" s="18">
        <f t="shared" si="27"/>
        <v>-1.960169199943318E-2</v>
      </c>
      <c r="I417" s="18">
        <f t="shared" si="28"/>
        <v>-1.8588479154825976E-2</v>
      </c>
      <c r="J417" s="18">
        <f t="shared" si="29"/>
        <v>-1.6596708984626507E-2</v>
      </c>
      <c r="K417" s="18">
        <f t="shared" si="30"/>
        <v>-5.8754666136550115E-3</v>
      </c>
      <c r="L417" s="19">
        <f t="shared" si="31"/>
        <v>-4.4157810214498272E-2</v>
      </c>
    </row>
    <row r="418" spans="2:12" hidden="1" outlineLevel="1" x14ac:dyDescent="0.3">
      <c r="B418" s="4">
        <v>45123</v>
      </c>
      <c r="C418" s="18">
        <f t="shared" si="22"/>
        <v>3.8448435294688998E-3</v>
      </c>
      <c r="D418" s="18">
        <f t="shared" si="23"/>
        <v>-6.6392095964710185E-3</v>
      </c>
      <c r="E418" s="18">
        <f t="shared" si="24"/>
        <v>1.0783288630267895E-2</v>
      </c>
      <c r="F418" s="18">
        <f t="shared" si="25"/>
        <v>1.4896178152272066E-2</v>
      </c>
      <c r="G418" s="18">
        <f t="shared" si="26"/>
        <v>9.5366848448741992E-2</v>
      </c>
      <c r="H418" s="18">
        <f t="shared" si="27"/>
        <v>1.6246735686047842E-2</v>
      </c>
      <c r="I418" s="18">
        <f t="shared" si="28"/>
        <v>1.1241696474195262E-2</v>
      </c>
      <c r="J418" s="18">
        <f t="shared" si="29"/>
        <v>9.8720819094755274E-3</v>
      </c>
      <c r="K418" s="18">
        <f t="shared" si="30"/>
        <v>3.5772213211278325E-2</v>
      </c>
      <c r="L418" s="19">
        <f t="shared" si="31"/>
        <v>-6.8488752862616575E-3</v>
      </c>
    </row>
    <row r="419" spans="2:12" hidden="1" outlineLevel="1" x14ac:dyDescent="0.3">
      <c r="B419" s="4">
        <v>45116</v>
      </c>
      <c r="C419" s="18">
        <f t="shared" si="22"/>
        <v>4.3449408513526633E-2</v>
      </c>
      <c r="D419" s="18">
        <f t="shared" si="23"/>
        <v>7.0853535124684619E-2</v>
      </c>
      <c r="E419" s="18">
        <f t="shared" si="24"/>
        <v>3.1833841559399279E-2</v>
      </c>
      <c r="F419" s="18">
        <f t="shared" si="25"/>
        <v>8.4012849023973324E-4</v>
      </c>
      <c r="G419" s="18">
        <f t="shared" si="26"/>
        <v>2.8072964605472484E-2</v>
      </c>
      <c r="H419" s="18">
        <f t="shared" si="27"/>
        <v>3.460464171448896E-2</v>
      </c>
      <c r="I419" s="18">
        <f t="shared" si="28"/>
        <v>3.6718881590028563E-2</v>
      </c>
      <c r="J419" s="18">
        <f t="shared" si="29"/>
        <v>4.2771388935706645E-2</v>
      </c>
      <c r="K419" s="18">
        <f t="shared" si="30"/>
        <v>-0.11210502606345318</v>
      </c>
      <c r="L419" s="19">
        <f t="shared" si="31"/>
        <v>6.1526194427084402E-2</v>
      </c>
    </row>
    <row r="420" spans="2:12" hidden="1" outlineLevel="1" x14ac:dyDescent="0.3">
      <c r="B420" s="4">
        <v>45109</v>
      </c>
      <c r="C420" s="18">
        <f t="shared" si="22"/>
        <v>-5.2750794964498859E-2</v>
      </c>
      <c r="D420" s="18">
        <f t="shared" si="23"/>
        <v>-6.7145758695590918E-2</v>
      </c>
      <c r="E420" s="18">
        <f t="shared" si="24"/>
        <v>5.7710748844914672E-3</v>
      </c>
      <c r="F420" s="18">
        <f t="shared" si="25"/>
        <v>-2.2664428204621778E-2</v>
      </c>
      <c r="G420" s="18">
        <f t="shared" si="26"/>
        <v>-5.9129939364343076E-2</v>
      </c>
      <c r="H420" s="18">
        <f t="shared" si="27"/>
        <v>4.2115803734463775E-3</v>
      </c>
      <c r="I420" s="18">
        <f t="shared" si="28"/>
        <v>-2.1246953696181903E-2</v>
      </c>
      <c r="J420" s="18">
        <f t="shared" si="29"/>
        <v>-5.3487504662439345E-2</v>
      </c>
      <c r="K420" s="18">
        <f t="shared" si="30"/>
        <v>-9.279795124543988E-2</v>
      </c>
      <c r="L420" s="19">
        <f t="shared" si="31"/>
        <v>-4.7535425717649904E-2</v>
      </c>
    </row>
    <row r="421" spans="2:12" hidden="1" outlineLevel="1" x14ac:dyDescent="0.3">
      <c r="B421" s="4">
        <v>45102</v>
      </c>
      <c r="C421" s="18">
        <f t="shared" si="22"/>
        <v>-8.1118366596155678E-3</v>
      </c>
      <c r="D421" s="18">
        <f t="shared" si="23"/>
        <v>3.9841239841240661E-3</v>
      </c>
      <c r="E421" s="18">
        <f t="shared" si="24"/>
        <v>2.6219533335644751E-2</v>
      </c>
      <c r="F421" s="18">
        <f t="shared" si="25"/>
        <v>-1.6975698479260393E-2</v>
      </c>
      <c r="G421" s="18">
        <f t="shared" si="26"/>
        <v>-2.1756055363321924E-2</v>
      </c>
      <c r="H421" s="18">
        <f t="shared" si="27"/>
        <v>1.6159779452737721E-2</v>
      </c>
      <c r="I421" s="18">
        <f t="shared" si="28"/>
        <v>3.7581597632890595E-2</v>
      </c>
      <c r="J421" s="18">
        <f t="shared" si="29"/>
        <v>1.3726881042454897E-2</v>
      </c>
      <c r="K421" s="18">
        <f t="shared" si="30"/>
        <v>9.3475366178428221E-3</v>
      </c>
      <c r="L421" s="19">
        <f t="shared" si="31"/>
        <v>4.1882919655131801E-3</v>
      </c>
    </row>
    <row r="422" spans="2:12" hidden="1" outlineLevel="1" x14ac:dyDescent="0.3">
      <c r="B422" s="4">
        <v>45095</v>
      </c>
      <c r="C422" s="18">
        <f t="shared" si="22"/>
        <v>-2.6011918008060686E-2</v>
      </c>
      <c r="D422" s="18">
        <f t="shared" si="23"/>
        <v>-5.2792879625306766E-2</v>
      </c>
      <c r="E422" s="18">
        <f t="shared" si="24"/>
        <v>-1.9189675414073015E-2</v>
      </c>
      <c r="F422" s="18">
        <f t="shared" si="25"/>
        <v>-2.3590481574754629E-2</v>
      </c>
      <c r="G422" s="18">
        <f t="shared" si="26"/>
        <v>-1.3573860370517665E-2</v>
      </c>
      <c r="H422" s="18">
        <f t="shared" si="27"/>
        <v>-4.6284537828061301E-2</v>
      </c>
      <c r="I422" s="18">
        <f t="shared" si="28"/>
        <v>-4.1151884811518769E-2</v>
      </c>
      <c r="J422" s="18">
        <f t="shared" si="29"/>
        <v>-1.1765773003511559E-2</v>
      </c>
      <c r="K422" s="18">
        <f t="shared" si="30"/>
        <v>-3.3772195984274833E-2</v>
      </c>
      <c r="L422" s="19">
        <f t="shared" si="31"/>
        <v>-4.4966357480950014E-2</v>
      </c>
    </row>
    <row r="423" spans="2:12" hidden="1" outlineLevel="1" x14ac:dyDescent="0.3">
      <c r="B423" s="4">
        <v>45088</v>
      </c>
      <c r="C423" s="18">
        <f t="shared" si="22"/>
        <v>-1.2886826940164076E-2</v>
      </c>
      <c r="D423" s="18">
        <f t="shared" si="23"/>
        <v>2.1066689985770104E-2</v>
      </c>
      <c r="E423" s="18">
        <f t="shared" si="24"/>
        <v>-1.4544671689989297E-2</v>
      </c>
      <c r="F423" s="18">
        <f t="shared" si="25"/>
        <v>3.526687019686392E-3</v>
      </c>
      <c r="G423" s="18">
        <f t="shared" si="26"/>
        <v>-3.4334379202151433E-2</v>
      </c>
      <c r="H423" s="18">
        <f t="shared" si="27"/>
        <v>1.0884367465929801E-2</v>
      </c>
      <c r="I423" s="18">
        <f t="shared" si="28"/>
        <v>3.203106750759166E-2</v>
      </c>
      <c r="J423" s="18">
        <f t="shared" si="29"/>
        <v>1.4856093883170551E-2</v>
      </c>
      <c r="K423" s="18">
        <f t="shared" si="30"/>
        <v>1.583790721170919E-2</v>
      </c>
      <c r="L423" s="19">
        <f t="shared" si="31"/>
        <v>2.1069241796219496E-2</v>
      </c>
    </row>
    <row r="424" spans="2:12" hidden="1" outlineLevel="1" x14ac:dyDescent="0.3">
      <c r="B424" s="4">
        <v>45081</v>
      </c>
      <c r="C424" s="18">
        <f t="shared" si="22"/>
        <v>1.0833678918046541E-2</v>
      </c>
      <c r="D424" s="18">
        <f t="shared" si="23"/>
        <v>-1.9892401958876205E-2</v>
      </c>
      <c r="E424" s="18">
        <f t="shared" si="24"/>
        <v>-3.3485965954769381E-2</v>
      </c>
      <c r="F424" s="18">
        <f t="shared" si="25"/>
        <v>4.196170993968007E-2</v>
      </c>
      <c r="G424" s="18">
        <f t="shared" si="26"/>
        <v>-1.3135907909394784E-2</v>
      </c>
      <c r="H424" s="18">
        <f t="shared" si="27"/>
        <v>-3.7430647028300013E-2</v>
      </c>
      <c r="I424" s="18">
        <f t="shared" si="28"/>
        <v>-1.4518117333225611E-2</v>
      </c>
      <c r="J424" s="18">
        <f t="shared" si="29"/>
        <v>-8.5002196439184496E-2</v>
      </c>
      <c r="K424" s="18">
        <f t="shared" si="30"/>
        <v>-3.6558157038788508E-3</v>
      </c>
      <c r="L424" s="19">
        <f t="shared" si="31"/>
        <v>-4.0539805191271649E-2</v>
      </c>
    </row>
    <row r="425" spans="2:12" hidden="1" outlineLevel="1" x14ac:dyDescent="0.3">
      <c r="B425" s="4">
        <v>45074</v>
      </c>
      <c r="C425" s="18">
        <f t="shared" si="22"/>
        <v>3.0009191030317739E-2</v>
      </c>
      <c r="D425" s="18">
        <f t="shared" si="23"/>
        <v>2.6102982063136659E-2</v>
      </c>
      <c r="E425" s="18">
        <f t="shared" si="24"/>
        <v>2.4592238978698777E-2</v>
      </c>
      <c r="F425" s="18">
        <f t="shared" si="25"/>
        <v>1.9280140951422053E-2</v>
      </c>
      <c r="G425" s="18">
        <f t="shared" si="26"/>
        <v>5.6488406001599101E-2</v>
      </c>
      <c r="H425" s="18">
        <f t="shared" si="27"/>
        <v>3.5475477135837208E-2</v>
      </c>
      <c r="I425" s="18">
        <f t="shared" si="28"/>
        <v>6.9525844567575712E-2</v>
      </c>
      <c r="J425" s="18">
        <f t="shared" si="29"/>
        <v>2.0502972366172934E-2</v>
      </c>
      <c r="K425" s="18">
        <f t="shared" si="30"/>
        <v>8.870902468636177E-2</v>
      </c>
      <c r="L425" s="19">
        <f t="shared" si="31"/>
        <v>4.1470054446461013E-2</v>
      </c>
    </row>
    <row r="426" spans="2:12" hidden="1" outlineLevel="1" x14ac:dyDescent="0.3">
      <c r="B426" s="4">
        <v>45067</v>
      </c>
      <c r="C426" s="18">
        <f t="shared" si="22"/>
        <v>7.0459717234843122E-3</v>
      </c>
      <c r="D426" s="18">
        <f t="shared" si="23"/>
        <v>1.4205865048152688E-2</v>
      </c>
      <c r="E426" s="18">
        <f t="shared" si="24"/>
        <v>1.8972150647700303E-3</v>
      </c>
      <c r="F426" s="18">
        <f t="shared" si="25"/>
        <v>-8.0501777953377873E-3</v>
      </c>
      <c r="G426" s="18">
        <f t="shared" si="26"/>
        <v>-7.4347787374231533E-3</v>
      </c>
      <c r="H426" s="18">
        <f t="shared" si="27"/>
        <v>1.3916282049999396E-3</v>
      </c>
      <c r="I426" s="18">
        <f t="shared" si="28"/>
        <v>-2.6317706835394583E-2</v>
      </c>
      <c r="J426" s="18">
        <f t="shared" si="29"/>
        <v>-4.6353309072795223E-3</v>
      </c>
      <c r="K426" s="18">
        <f t="shared" si="30"/>
        <v>-2.1287140980844055E-2</v>
      </c>
      <c r="L426" s="19">
        <f t="shared" si="31"/>
        <v>-2.8502657488890804E-2</v>
      </c>
    </row>
    <row r="427" spans="2:12" hidden="1" outlineLevel="1" x14ac:dyDescent="0.3">
      <c r="B427" s="4">
        <v>45060</v>
      </c>
      <c r="C427" s="18">
        <f t="shared" si="22"/>
        <v>-3.185601937728999E-2</v>
      </c>
      <c r="D427" s="18">
        <f t="shared" si="23"/>
        <v>-3.6852992588182309E-2</v>
      </c>
      <c r="E427" s="18">
        <f t="shared" si="24"/>
        <v>-3.8497784902104204E-2</v>
      </c>
      <c r="F427" s="18">
        <f t="shared" si="25"/>
        <v>-3.8586009459795845E-2</v>
      </c>
      <c r="G427" s="18">
        <f t="shared" si="26"/>
        <v>-3.8214846378111567E-2</v>
      </c>
      <c r="H427" s="18">
        <f t="shared" si="27"/>
        <v>-3.961128551718629E-2</v>
      </c>
      <c r="I427" s="18">
        <f t="shared" si="28"/>
        <v>-3.9450675824695192E-2</v>
      </c>
      <c r="J427" s="18">
        <f t="shared" si="29"/>
        <v>-1.2983763345195798E-2</v>
      </c>
      <c r="K427" s="18">
        <f t="shared" si="30"/>
        <v>-3.4536891679748827E-2</v>
      </c>
      <c r="L427" s="19">
        <f t="shared" si="31"/>
        <v>-4.0762788820502438E-2</v>
      </c>
    </row>
    <row r="428" spans="2:12" hidden="1" outlineLevel="1" x14ac:dyDescent="0.3">
      <c r="B428" s="4">
        <v>45053</v>
      </c>
      <c r="C428" s="18">
        <f t="shared" si="22"/>
        <v>1.5964403907969382E-2</v>
      </c>
      <c r="D428" s="18">
        <f t="shared" si="23"/>
        <v>-1.8679812013092434E-2</v>
      </c>
      <c r="E428" s="18">
        <f t="shared" si="24"/>
        <v>1.3740290194919069E-4</v>
      </c>
      <c r="F428" s="18">
        <f t="shared" si="25"/>
        <v>-7.6126359399274479E-3</v>
      </c>
      <c r="G428" s="18">
        <f t="shared" si="26"/>
        <v>-2.4063797043324286E-2</v>
      </c>
      <c r="H428" s="18">
        <f t="shared" si="27"/>
        <v>-2.4109931292941922E-2</v>
      </c>
      <c r="I428" s="18">
        <f t="shared" si="28"/>
        <v>-4.8340474384468535E-2</v>
      </c>
      <c r="J428" s="18">
        <f t="shared" si="29"/>
        <v>3.8027097828230438E-4</v>
      </c>
      <c r="K428" s="18">
        <f t="shared" si="30"/>
        <v>-2.8402832415420964E-2</v>
      </c>
      <c r="L428" s="19">
        <f t="shared" si="31"/>
        <v>-4.499608475626149E-2</v>
      </c>
    </row>
    <row r="429" spans="2:12" hidden="1" outlineLevel="1" x14ac:dyDescent="0.3">
      <c r="B429" s="4">
        <v>45046</v>
      </c>
      <c r="C429" s="18">
        <f t="shared" si="22"/>
        <v>-1.3316459168469352E-2</v>
      </c>
      <c r="D429" s="18">
        <f t="shared" si="23"/>
        <v>1.1161182988483453E-2</v>
      </c>
      <c r="E429" s="18">
        <f t="shared" si="24"/>
        <v>-3.6461720231171446E-2</v>
      </c>
      <c r="F429" s="18">
        <f t="shared" si="25"/>
        <v>-1.0071491937588051E-2</v>
      </c>
      <c r="G429" s="18">
        <f t="shared" si="26"/>
        <v>-9.5092464280592814E-3</v>
      </c>
      <c r="H429" s="18">
        <f t="shared" si="27"/>
        <v>-4.2530721966205776E-2</v>
      </c>
      <c r="I429" s="18">
        <f t="shared" si="28"/>
        <v>-2.6108873139313316E-3</v>
      </c>
      <c r="J429" s="18">
        <f t="shared" si="29"/>
        <v>3.2226273775500136E-2</v>
      </c>
      <c r="K429" s="18">
        <f t="shared" si="30"/>
        <v>-1.7464302102734308E-2</v>
      </c>
      <c r="L429" s="19">
        <f t="shared" si="31"/>
        <v>7.8200531127237127E-3</v>
      </c>
    </row>
    <row r="430" spans="2:12" hidden="1" outlineLevel="1" x14ac:dyDescent="0.3">
      <c r="B430" s="4">
        <v>45039</v>
      </c>
      <c r="C430" s="18">
        <f t="shared" si="22"/>
        <v>-3.5446429135574942E-3</v>
      </c>
      <c r="D430" s="18">
        <f t="shared" si="23"/>
        <v>-5.039775087057885E-3</v>
      </c>
      <c r="E430" s="18">
        <f t="shared" si="24"/>
        <v>8.0987053478069893E-3</v>
      </c>
      <c r="F430" s="18">
        <f t="shared" si="25"/>
        <v>1.4760147601476037E-2</v>
      </c>
      <c r="G430" s="18">
        <f t="shared" si="26"/>
        <v>-1.2253956001543886E-2</v>
      </c>
      <c r="H430" s="18">
        <f t="shared" si="27"/>
        <v>-1.5241151107991735E-2</v>
      </c>
      <c r="I430" s="18">
        <f t="shared" si="28"/>
        <v>2.1015209568939763E-2</v>
      </c>
      <c r="J430" s="18">
        <f t="shared" si="29"/>
        <v>-2.8383207397910559E-2</v>
      </c>
      <c r="K430" s="18">
        <f t="shared" si="30"/>
        <v>-3.0494505494504942E-3</v>
      </c>
      <c r="L430" s="19">
        <f t="shared" si="31"/>
        <v>1.6247328540897499E-2</v>
      </c>
    </row>
    <row r="431" spans="2:12" hidden="1" outlineLevel="1" x14ac:dyDescent="0.3">
      <c r="B431" s="4">
        <v>45032</v>
      </c>
      <c r="C431" s="18">
        <f t="shared" si="22"/>
        <v>-1.8141351628980451E-2</v>
      </c>
      <c r="D431" s="18">
        <f t="shared" si="23"/>
        <v>-2.0277267144565791E-2</v>
      </c>
      <c r="E431" s="18">
        <f t="shared" si="24"/>
        <v>-1.4238029682991593E-2</v>
      </c>
      <c r="F431" s="18">
        <f t="shared" si="25"/>
        <v>-4.4051948051948009E-2</v>
      </c>
      <c r="G431" s="18">
        <f t="shared" si="26"/>
        <v>-2.4372374719156098E-2</v>
      </c>
      <c r="H431" s="18">
        <f t="shared" si="27"/>
        <v>-5.6251343492968453E-2</v>
      </c>
      <c r="I431" s="18">
        <f t="shared" si="28"/>
        <v>-9.2014858438679292E-2</v>
      </c>
      <c r="J431" s="18">
        <f t="shared" si="29"/>
        <v>-7.0932240268399838E-2</v>
      </c>
      <c r="K431" s="18">
        <f t="shared" si="30"/>
        <v>-3.0036650224586015E-2</v>
      </c>
      <c r="L431" s="19">
        <f t="shared" si="31"/>
        <v>-8.4538176604134319E-2</v>
      </c>
    </row>
    <row r="432" spans="2:12" hidden="1" outlineLevel="1" x14ac:dyDescent="0.3">
      <c r="B432" s="4">
        <v>45025</v>
      </c>
      <c r="C432" s="18">
        <f t="shared" si="22"/>
        <v>8.8604733766024513E-3</v>
      </c>
      <c r="D432" s="18">
        <f t="shared" si="23"/>
        <v>0.13187542504117267</v>
      </c>
      <c r="E432" s="18">
        <f t="shared" si="24"/>
        <v>2.1828129782675232E-2</v>
      </c>
      <c r="F432" s="18">
        <f t="shared" si="25"/>
        <v>7.0644495163563192E-4</v>
      </c>
      <c r="G432" s="18">
        <f t="shared" si="26"/>
        <v>8.8210262828535502E-2</v>
      </c>
      <c r="H432" s="18">
        <f t="shared" si="27"/>
        <v>0.11401752640349061</v>
      </c>
      <c r="I432" s="18">
        <f t="shared" si="28"/>
        <v>2.1014374577732253E-2</v>
      </c>
      <c r="J432" s="18">
        <f t="shared" si="29"/>
        <v>-2.2512994077117376E-3</v>
      </c>
      <c r="K432" s="18">
        <f t="shared" si="30"/>
        <v>6.3069973578795402E-3</v>
      </c>
      <c r="L432" s="19">
        <f t="shared" si="31"/>
        <v>5.167395418651699E-2</v>
      </c>
    </row>
    <row r="433" spans="2:12" hidden="1" outlineLevel="1" x14ac:dyDescent="0.3">
      <c r="B433" s="4">
        <v>45018</v>
      </c>
      <c r="C433" s="18">
        <f t="shared" si="22"/>
        <v>9.9861090662347607E-3</v>
      </c>
      <c r="D433" s="18">
        <f t="shared" si="23"/>
        <v>2.3533755121541544E-2</v>
      </c>
      <c r="E433" s="18">
        <f t="shared" si="24"/>
        <v>1.8656506842903431E-2</v>
      </c>
      <c r="F433" s="18">
        <f t="shared" si="25"/>
        <v>-4.5071952212870636E-3</v>
      </c>
      <c r="G433" s="18">
        <f t="shared" si="26"/>
        <v>5.4285319961357992E-3</v>
      </c>
      <c r="H433" s="18">
        <f t="shared" si="27"/>
        <v>2.7300705922865154E-2</v>
      </c>
      <c r="I433" s="18">
        <f t="shared" si="28"/>
        <v>3.5418140330861547E-2</v>
      </c>
      <c r="J433" s="18">
        <f t="shared" si="29"/>
        <v>-1.4295449382902947E-2</v>
      </c>
      <c r="K433" s="18">
        <f t="shared" si="30"/>
        <v>1.3014878179610889E-2</v>
      </c>
      <c r="L433" s="19">
        <f t="shared" si="31"/>
        <v>-7.0990642142626514E-3</v>
      </c>
    </row>
    <row r="434" spans="2:12" hidden="1" outlineLevel="1" x14ac:dyDescent="0.3">
      <c r="B434" s="4">
        <v>45011</v>
      </c>
      <c r="C434" s="18">
        <f t="shared" si="22"/>
        <v>-4.5950930744025342E-3</v>
      </c>
      <c r="D434" s="18">
        <f t="shared" si="23"/>
        <v>4.2576365166593355E-3</v>
      </c>
      <c r="E434" s="18">
        <f t="shared" si="24"/>
        <v>-6.0375485898603864E-3</v>
      </c>
      <c r="F434" s="18">
        <f t="shared" si="25"/>
        <v>-3.7639101025529476E-3</v>
      </c>
      <c r="G434" s="18">
        <f t="shared" si="26"/>
        <v>8.327613818348123E-3</v>
      </c>
      <c r="H434" s="18">
        <f t="shared" si="27"/>
        <v>-2.8492117529985705E-3</v>
      </c>
      <c r="I434" s="18">
        <f t="shared" si="28"/>
        <v>1.3680879384360356E-2</v>
      </c>
      <c r="J434" s="18">
        <f t="shared" si="29"/>
        <v>2.8268116943970245E-3</v>
      </c>
      <c r="K434" s="18">
        <f t="shared" si="30"/>
        <v>9.1968117719187781E-4</v>
      </c>
      <c r="L434" s="19">
        <f t="shared" si="31"/>
        <v>-4.6498837529061698E-2</v>
      </c>
    </row>
    <row r="435" spans="2:12" hidden="1" outlineLevel="1" x14ac:dyDescent="0.3">
      <c r="B435" s="4">
        <v>45004</v>
      </c>
      <c r="C435" s="18">
        <f t="shared" si="22"/>
        <v>-2.6637674146142709E-2</v>
      </c>
      <c r="D435" s="18">
        <f t="shared" si="23"/>
        <v>-3.3127927039684479E-2</v>
      </c>
      <c r="E435" s="18">
        <f t="shared" si="24"/>
        <v>-3.0870361124979095E-2</v>
      </c>
      <c r="F435" s="18">
        <f t="shared" si="25"/>
        <v>-9.5822154082023658E-3</v>
      </c>
      <c r="G435" s="18">
        <f t="shared" si="26"/>
        <v>9.0756455052964924E-5</v>
      </c>
      <c r="H435" s="18">
        <f t="shared" si="27"/>
        <v>-3.3237738068975675E-2</v>
      </c>
      <c r="I435" s="18">
        <f t="shared" si="28"/>
        <v>-6.1763554937171228E-2</v>
      </c>
      <c r="J435" s="18">
        <f t="shared" si="29"/>
        <v>-1.9180390654921498E-2</v>
      </c>
      <c r="K435" s="18">
        <f t="shared" si="30"/>
        <v>-3.2493387164137522E-2</v>
      </c>
      <c r="L435" s="19">
        <f t="shared" si="31"/>
        <v>-2.9784221703678448E-2</v>
      </c>
    </row>
    <row r="436" spans="2:12" hidden="1" outlineLevel="1" x14ac:dyDescent="0.3">
      <c r="B436" s="4">
        <v>44997</v>
      </c>
      <c r="C436" s="18">
        <f t="shared" si="22"/>
        <v>1.8842992506631573E-2</v>
      </c>
      <c r="D436" s="18">
        <f t="shared" si="23"/>
        <v>2.9011370009687454E-2</v>
      </c>
      <c r="E436" s="18">
        <f t="shared" si="24"/>
        <v>5.3909924348663818E-2</v>
      </c>
      <c r="F436" s="18">
        <f t="shared" si="25"/>
        <v>4.0745245466607738E-2</v>
      </c>
      <c r="G436" s="18">
        <f t="shared" si="26"/>
        <v>2.2868551204682674E-2</v>
      </c>
      <c r="H436" s="18">
        <f t="shared" si="27"/>
        <v>1.5755903030566509E-2</v>
      </c>
      <c r="I436" s="18">
        <f t="shared" si="28"/>
        <v>7.5644738976295756E-2</v>
      </c>
      <c r="J436" s="18">
        <f t="shared" si="29"/>
        <v>1.1449010511847435E-2</v>
      </c>
      <c r="K436" s="18">
        <f t="shared" si="30"/>
        <v>8.576033152987228E-2</v>
      </c>
      <c r="L436" s="19">
        <f t="shared" si="31"/>
        <v>5.4181867315227672E-2</v>
      </c>
    </row>
    <row r="437" spans="2:12" hidden="1" outlineLevel="1" x14ac:dyDescent="0.3">
      <c r="B437" s="4">
        <v>44990</v>
      </c>
      <c r="C437" s="18">
        <f t="shared" si="22"/>
        <v>4.7714592068006878E-2</v>
      </c>
      <c r="D437" s="18">
        <f t="shared" si="23"/>
        <v>3.5788609369027613E-2</v>
      </c>
      <c r="E437" s="18">
        <f t="shared" si="24"/>
        <v>7.0785886271882426E-3</v>
      </c>
      <c r="F437" s="18">
        <f t="shared" si="25"/>
        <v>3.3466135458167345E-2</v>
      </c>
      <c r="G437" s="18">
        <f t="shared" si="26"/>
        <v>-5.8466042674000906E-2</v>
      </c>
      <c r="H437" s="18">
        <f t="shared" si="27"/>
        <v>-7.242268316948075E-3</v>
      </c>
      <c r="I437" s="18">
        <f t="shared" si="28"/>
        <v>2.0947145294431868E-2</v>
      </c>
      <c r="J437" s="18">
        <f t="shared" si="29"/>
        <v>1.3589474334423368E-3</v>
      </c>
      <c r="K437" s="18">
        <f t="shared" si="30"/>
        <v>8.086832061068705E-2</v>
      </c>
      <c r="L437" s="19">
        <f t="shared" si="31"/>
        <v>6.0330684439887206E-2</v>
      </c>
    </row>
    <row r="438" spans="2:12" hidden="1" outlineLevel="1" x14ac:dyDescent="0.3">
      <c r="B438" s="4">
        <v>44983</v>
      </c>
      <c r="C438" s="18">
        <f t="shared" si="22"/>
        <v>3.3490521232621973E-3</v>
      </c>
      <c r="D438" s="18">
        <f t="shared" si="23"/>
        <v>5.2689127314973216E-3</v>
      </c>
      <c r="E438" s="18">
        <f t="shared" si="24"/>
        <v>2.4178471273459401E-3</v>
      </c>
      <c r="F438" s="18">
        <f t="shared" si="25"/>
        <v>3.4952454381906861E-3</v>
      </c>
      <c r="G438" s="18">
        <f t="shared" si="26"/>
        <v>2.2520612485276814E-2</v>
      </c>
      <c r="H438" s="18">
        <f t="shared" si="27"/>
        <v>1.5139759918967322E-2</v>
      </c>
      <c r="I438" s="18">
        <f t="shared" si="28"/>
        <v>2.4581170612313796E-2</v>
      </c>
      <c r="J438" s="18">
        <f t="shared" si="29"/>
        <v>-2.7450496576398753E-2</v>
      </c>
      <c r="K438" s="18">
        <f t="shared" si="30"/>
        <v>1.9740552735476591E-2</v>
      </c>
      <c r="L438" s="19">
        <f t="shared" si="31"/>
        <v>2.9506690681397885E-2</v>
      </c>
    </row>
    <row r="439" spans="2:12" hidden="1" outlineLevel="1" x14ac:dyDescent="0.3">
      <c r="B439" s="4">
        <v>44976</v>
      </c>
      <c r="C439" s="18">
        <f t="shared" si="22"/>
        <v>1.7443671477520573E-2</v>
      </c>
      <c r="D439" s="18">
        <f t="shared" si="23"/>
        <v>4.8232167014500282E-2</v>
      </c>
      <c r="E439" s="18">
        <f t="shared" si="24"/>
        <v>-2.1582604797130589E-2</v>
      </c>
      <c r="F439" s="18">
        <f t="shared" si="25"/>
        <v>7.2734723147058755E-3</v>
      </c>
      <c r="G439" s="18">
        <f t="shared" si="26"/>
        <v>3.1193844169008722E-2</v>
      </c>
      <c r="H439" s="18">
        <f t="shared" si="27"/>
        <v>3.0401137919687349E-2</v>
      </c>
      <c r="I439" s="18">
        <f t="shared" si="28"/>
        <v>5.9309293848719413E-3</v>
      </c>
      <c r="J439" s="18">
        <f t="shared" si="29"/>
        <v>-1.6808321704934182E-3</v>
      </c>
      <c r="K439" s="18">
        <f t="shared" si="30"/>
        <v>5.7113312812620221E-2</v>
      </c>
      <c r="L439" s="19">
        <f t="shared" si="31"/>
        <v>2.796825098628597E-2</v>
      </c>
    </row>
    <row r="440" spans="2:12" hidden="1" outlineLevel="1" x14ac:dyDescent="0.3">
      <c r="B440" s="4">
        <v>44969</v>
      </c>
      <c r="C440" s="18">
        <f t="shared" si="22"/>
        <v>2.9612865658560583E-2</v>
      </c>
      <c r="D440" s="18">
        <f t="shared" si="23"/>
        <v>2.1375392357778411E-2</v>
      </c>
      <c r="E440" s="18">
        <f t="shared" si="24"/>
        <v>1.3425832584907926E-2</v>
      </c>
      <c r="F440" s="18">
        <f t="shared" si="25"/>
        <v>3.3053648614289388E-2</v>
      </c>
      <c r="G440" s="18">
        <f t="shared" si="26"/>
        <v>9.1152815013404442E-3</v>
      </c>
      <c r="H440" s="18">
        <f t="shared" si="27"/>
        <v>9.7866510080257818E-4</v>
      </c>
      <c r="I440" s="18">
        <f t="shared" si="28"/>
        <v>3.1322292054782874E-3</v>
      </c>
      <c r="J440" s="18">
        <f t="shared" si="29"/>
        <v>2.6605038279488014E-2</v>
      </c>
      <c r="K440" s="18">
        <f t="shared" si="30"/>
        <v>1.7561818967674503E-2</v>
      </c>
      <c r="L440" s="19">
        <f t="shared" si="31"/>
        <v>-3.96116504854368E-2</v>
      </c>
    </row>
    <row r="441" spans="2:12" hidden="1" outlineLevel="1" x14ac:dyDescent="0.3">
      <c r="B441" s="4">
        <v>44962</v>
      </c>
      <c r="C441" s="18">
        <f t="shared" si="22"/>
        <v>1.0395531612211073E-2</v>
      </c>
      <c r="D441" s="18">
        <f t="shared" si="23"/>
        <v>1.5632540065527056E-2</v>
      </c>
      <c r="E441" s="18">
        <f t="shared" si="24"/>
        <v>5.5071756056537247E-3</v>
      </c>
      <c r="F441" s="18">
        <f t="shared" si="25"/>
        <v>-1.2306177701205678E-3</v>
      </c>
      <c r="G441" s="18">
        <f t="shared" si="26"/>
        <v>-9.9052426496634816E-2</v>
      </c>
      <c r="H441" s="18">
        <f t="shared" si="27"/>
        <v>-3.4312413807298769E-2</v>
      </c>
      <c r="I441" s="18">
        <f t="shared" si="28"/>
        <v>-4.0000000000001146E-3</v>
      </c>
      <c r="J441" s="18">
        <f t="shared" si="29"/>
        <v>-1.7034641746476287E-2</v>
      </c>
      <c r="K441" s="18">
        <f t="shared" si="30"/>
        <v>-3.7200152019852162E-2</v>
      </c>
      <c r="L441" s="19">
        <f t="shared" si="31"/>
        <v>3.0969767607811338E-2</v>
      </c>
    </row>
    <row r="442" spans="2:12" hidden="1" outlineLevel="1" x14ac:dyDescent="0.3">
      <c r="B442" s="4">
        <v>44955</v>
      </c>
      <c r="C442" s="18">
        <f t="shared" si="22"/>
        <v>-1.561751654654675E-2</v>
      </c>
      <c r="D442" s="18">
        <f t="shared" si="23"/>
        <v>-5.6891356264925363E-3</v>
      </c>
      <c r="E442" s="18">
        <f t="shared" si="24"/>
        <v>2.7331102957047104E-2</v>
      </c>
      <c r="F442" s="18">
        <f t="shared" si="25"/>
        <v>5.1749630359783083E-3</v>
      </c>
      <c r="G442" s="18">
        <f t="shared" si="26"/>
        <v>-5.9468226274144165E-3</v>
      </c>
      <c r="H442" s="18">
        <f t="shared" si="27"/>
        <v>-4.0370023019865364E-2</v>
      </c>
      <c r="I442" s="18">
        <f t="shared" si="28"/>
        <v>-8.1181870338496998E-3</v>
      </c>
      <c r="J442" s="18">
        <f t="shared" si="29"/>
        <v>-1.6653025247119646E-2</v>
      </c>
      <c r="K442" s="18">
        <f t="shared" si="30"/>
        <v>-3.0673137204820233E-2</v>
      </c>
      <c r="L442" s="19">
        <f t="shared" si="31"/>
        <v>-5.9294465080866887E-3</v>
      </c>
    </row>
    <row r="443" spans="2:12" hidden="1" outlineLevel="1" x14ac:dyDescent="0.3">
      <c r="B443" s="4">
        <v>44948</v>
      </c>
      <c r="C443" s="18">
        <f t="shared" si="22"/>
        <v>-2.0461040198132996E-2</v>
      </c>
      <c r="D443" s="18">
        <f t="shared" si="23"/>
        <v>-5.0174794396519173E-2</v>
      </c>
      <c r="E443" s="18">
        <f t="shared" si="24"/>
        <v>-2.6656511805026706E-2</v>
      </c>
      <c r="F443" s="18">
        <f t="shared" si="25"/>
        <v>-2.4172591321402148E-2</v>
      </c>
      <c r="G443" s="18">
        <f t="shared" si="26"/>
        <v>1.8589933748640375E-2</v>
      </c>
      <c r="H443" s="18">
        <f t="shared" si="27"/>
        <v>-2.2911021278485988E-2</v>
      </c>
      <c r="I443" s="18">
        <f t="shared" si="28"/>
        <v>-5.649089609525737E-2</v>
      </c>
      <c r="J443" s="18">
        <f t="shared" si="29"/>
        <v>-2.309760860517962E-2</v>
      </c>
      <c r="K443" s="18">
        <f t="shared" si="30"/>
        <v>-7.1384084702726947E-3</v>
      </c>
      <c r="L443" s="19">
        <f t="shared" si="31"/>
        <v>-3.3653622986584697E-3</v>
      </c>
    </row>
    <row r="444" spans="2:12" hidden="1" outlineLevel="1" x14ac:dyDescent="0.3">
      <c r="B444" s="4">
        <v>44941</v>
      </c>
      <c r="C444" s="18">
        <f t="shared" si="22"/>
        <v>-1.4057282378427516E-2</v>
      </c>
      <c r="D444" s="18">
        <f t="shared" si="23"/>
        <v>4.2101361012549798E-3</v>
      </c>
      <c r="E444" s="18">
        <f t="shared" si="24"/>
        <v>-6.9882898926123538E-3</v>
      </c>
      <c r="F444" s="18">
        <f t="shared" si="25"/>
        <v>1.2812782634910924E-2</v>
      </c>
      <c r="G444" s="18">
        <f t="shared" si="26"/>
        <v>1.5920784389865217E-2</v>
      </c>
      <c r="H444" s="18">
        <f t="shared" si="27"/>
        <v>-2.9779156863413703E-2</v>
      </c>
      <c r="I444" s="18">
        <f t="shared" si="28"/>
        <v>-5.5376019197253545E-2</v>
      </c>
      <c r="J444" s="18">
        <f t="shared" si="29"/>
        <v>-2.9165506054300572E-3</v>
      </c>
      <c r="K444" s="18">
        <f t="shared" si="30"/>
        <v>-2.3040918741555672E-2</v>
      </c>
      <c r="L444" s="19">
        <f t="shared" si="31"/>
        <v>-4.4735800284110838E-2</v>
      </c>
    </row>
    <row r="445" spans="2:12" hidden="1" outlineLevel="1" x14ac:dyDescent="0.3">
      <c r="B445" s="4">
        <v>44934</v>
      </c>
      <c r="C445" s="18">
        <f t="shared" si="22"/>
        <v>-1.6515632492276389E-2</v>
      </c>
      <c r="D445" s="18">
        <f t="shared" si="23"/>
        <v>-1.4357284113381663E-2</v>
      </c>
      <c r="E445" s="18">
        <f t="shared" si="24"/>
        <v>-2.7081125632874015E-2</v>
      </c>
      <c r="F445" s="18">
        <f t="shared" si="25"/>
        <v>-2.2920077392469151E-2</v>
      </c>
      <c r="G445" s="18">
        <f t="shared" si="26"/>
        <v>-4.1423793597706648E-2</v>
      </c>
      <c r="H445" s="18">
        <f t="shared" si="27"/>
        <v>4.5454012956736012E-3</v>
      </c>
      <c r="I445" s="18">
        <f t="shared" si="28"/>
        <v>-7.3460967921379461E-2</v>
      </c>
      <c r="J445" s="18">
        <f t="shared" si="29"/>
        <v>1.3458662678914601E-2</v>
      </c>
      <c r="K445" s="18">
        <f t="shared" si="30"/>
        <v>5.235472797767482E-3</v>
      </c>
      <c r="L445" s="19">
        <f t="shared" si="31"/>
        <v>-5.3035104826913648E-2</v>
      </c>
    </row>
    <row r="446" spans="2:12" hidden="1" outlineLevel="1" x14ac:dyDescent="0.3">
      <c r="B446" s="4">
        <v>44927</v>
      </c>
      <c r="C446" s="18">
        <f t="shared" si="22"/>
        <v>-4.8302187222276971E-2</v>
      </c>
      <c r="D446" s="18">
        <f t="shared" si="23"/>
        <v>-3.6676876981313722E-2</v>
      </c>
      <c r="E446" s="18">
        <f t="shared" si="24"/>
        <v>-4.1752390173060761E-2</v>
      </c>
      <c r="F446" s="18">
        <f t="shared" si="25"/>
        <v>-3.0210713379030141E-2</v>
      </c>
      <c r="G446" s="18">
        <f t="shared" si="26"/>
        <v>-1.6946618152818615E-2</v>
      </c>
      <c r="H446" s="18">
        <f t="shared" si="27"/>
        <v>-2.0956512612391842E-2</v>
      </c>
      <c r="I446" s="18">
        <f t="shared" si="28"/>
        <v>-3.8444412201748102E-2</v>
      </c>
      <c r="J446" s="18">
        <f t="shared" si="29"/>
        <v>-2.8311064988973844E-2</v>
      </c>
      <c r="K446" s="18">
        <f t="shared" si="30"/>
        <v>-2.827662449330548E-2</v>
      </c>
      <c r="L446" s="19">
        <f t="shared" si="31"/>
        <v>4.260577430524437E-3</v>
      </c>
    </row>
    <row r="447" spans="2:12" hidden="1" outlineLevel="1" x14ac:dyDescent="0.3">
      <c r="B447" s="4">
        <v>44920</v>
      </c>
      <c r="C447" s="18">
        <f t="shared" si="22"/>
        <v>1.4055918887458496E-2</v>
      </c>
      <c r="D447" s="18">
        <f t="shared" si="23"/>
        <v>4.1218289618017323E-2</v>
      </c>
      <c r="E447" s="18">
        <f t="shared" si="24"/>
        <v>6.2952960149222914E-3</v>
      </c>
      <c r="F447" s="18">
        <f t="shared" si="25"/>
        <v>2.8167539267015762E-2</v>
      </c>
      <c r="G447" s="18">
        <f t="shared" si="26"/>
        <v>3.0674846625766916E-2</v>
      </c>
      <c r="H447" s="18">
        <f t="shared" si="27"/>
        <v>3.997522393748798E-2</v>
      </c>
      <c r="I447" s="18">
        <f t="shared" si="28"/>
        <v>4.9326444281410087E-3</v>
      </c>
      <c r="J447" s="18">
        <f t="shared" si="29"/>
        <v>9.0278009545103899E-3</v>
      </c>
      <c r="K447" s="18">
        <f t="shared" si="30"/>
        <v>-2.4776255245992918E-3</v>
      </c>
      <c r="L447" s="19">
        <f t="shared" si="31"/>
        <v>-4.3322225070494547E-3</v>
      </c>
    </row>
    <row r="448" spans="2:12" hidden="1" outlineLevel="1" x14ac:dyDescent="0.3">
      <c r="B448" s="4">
        <v>44913</v>
      </c>
      <c r="C448" s="18">
        <f t="shared" si="22"/>
        <v>-8.7035485665685197E-3</v>
      </c>
      <c r="D448" s="18">
        <f t="shared" si="23"/>
        <v>-7.3612268711451545E-3</v>
      </c>
      <c r="E448" s="18">
        <f t="shared" si="24"/>
        <v>-8.3701801471296466E-3</v>
      </c>
      <c r="F448" s="18">
        <f t="shared" si="25"/>
        <v>-3.8496791934005459E-2</v>
      </c>
      <c r="G448" s="18">
        <f t="shared" si="26"/>
        <v>-2.031680440771344E-2</v>
      </c>
      <c r="H448" s="18">
        <f t="shared" si="27"/>
        <v>-2.2643973060887723E-2</v>
      </c>
      <c r="I448" s="18">
        <f t="shared" si="28"/>
        <v>-9.4388957061566359E-3</v>
      </c>
      <c r="J448" s="18">
        <f t="shared" si="29"/>
        <v>-1.2072700812013171E-2</v>
      </c>
      <c r="K448" s="18">
        <f t="shared" si="30"/>
        <v>-2.7042781832927743E-2</v>
      </c>
      <c r="L448" s="19">
        <f t="shared" si="31"/>
        <v>-3.8271414227234124E-2</v>
      </c>
    </row>
    <row r="449" spans="2:12" hidden="1" outlineLevel="1" x14ac:dyDescent="0.3">
      <c r="B449" s="4">
        <v>44906</v>
      </c>
      <c r="C449" s="18">
        <f t="shared" si="22"/>
        <v>3.686811343637908E-3</v>
      </c>
      <c r="D449" s="18">
        <f t="shared" si="23"/>
        <v>1.6766193550120656E-2</v>
      </c>
      <c r="E449" s="18">
        <f t="shared" si="24"/>
        <v>-9.2488925668110511E-4</v>
      </c>
      <c r="F449" s="18">
        <f t="shared" si="25"/>
        <v>3.2094057832856793E-2</v>
      </c>
      <c r="G449" s="18">
        <f t="shared" si="26"/>
        <v>2.5156916896811321E-2</v>
      </c>
      <c r="H449" s="18">
        <f t="shared" si="27"/>
        <v>1.6359822338892105E-2</v>
      </c>
      <c r="I449" s="18">
        <f t="shared" si="28"/>
        <v>3.4947782180080766E-2</v>
      </c>
      <c r="J449" s="18">
        <f t="shared" si="29"/>
        <v>1.071362806970555E-2</v>
      </c>
      <c r="K449" s="18">
        <f t="shared" si="30"/>
        <v>-3.2821902107373901E-3</v>
      </c>
      <c r="L449" s="19">
        <f t="shared" si="31"/>
        <v>5.8132219679021269E-2</v>
      </c>
    </row>
    <row r="450" spans="2:12" hidden="1" outlineLevel="1" x14ac:dyDescent="0.3">
      <c r="B450" s="4">
        <v>44899</v>
      </c>
      <c r="C450" s="18">
        <f t="shared" si="22"/>
        <v>1.620030401681416E-2</v>
      </c>
      <c r="D450" s="18">
        <f t="shared" si="23"/>
        <v>3.0944657686285515E-2</v>
      </c>
      <c r="E450" s="18">
        <f t="shared" si="24"/>
        <v>-2.0853634769051332E-3</v>
      </c>
      <c r="F450" s="18">
        <f t="shared" si="25"/>
        <v>1.098111658456502E-2</v>
      </c>
      <c r="G450" s="18">
        <f t="shared" si="26"/>
        <v>1.4204545454545414E-2</v>
      </c>
      <c r="H450" s="18">
        <f t="shared" si="27"/>
        <v>1.5081808433359711E-2</v>
      </c>
      <c r="I450" s="18">
        <f t="shared" si="28"/>
        <v>-3.2121212121211107E-3</v>
      </c>
      <c r="J450" s="18">
        <f t="shared" si="29"/>
        <v>9.3081802673202763E-3</v>
      </c>
      <c r="K450" s="18">
        <f t="shared" si="30"/>
        <v>4.3985050832396677E-2</v>
      </c>
      <c r="L450" s="19">
        <f t="shared" si="31"/>
        <v>-1.9076051206800448E-2</v>
      </c>
    </row>
    <row r="451" spans="2:12" hidden="1" outlineLevel="1" x14ac:dyDescent="0.3">
      <c r="B451" s="4">
        <v>44892</v>
      </c>
      <c r="C451" s="18">
        <f t="shared" si="22"/>
        <v>4.4461240702322602E-2</v>
      </c>
      <c r="D451" s="18">
        <f t="shared" si="23"/>
        <v>4.3710069144061947E-2</v>
      </c>
      <c r="E451" s="18">
        <f t="shared" si="24"/>
        <v>0.10515985391480975</v>
      </c>
      <c r="F451" s="18">
        <f t="shared" si="25"/>
        <v>4.65942543904172E-2</v>
      </c>
      <c r="G451" s="18">
        <f t="shared" si="26"/>
        <v>7.6741041244083874E-2</v>
      </c>
      <c r="H451" s="18">
        <f t="shared" si="27"/>
        <v>0.15084909411029712</v>
      </c>
      <c r="I451" s="18">
        <f t="shared" si="28"/>
        <v>9.8503273139985081E-2</v>
      </c>
      <c r="J451" s="18">
        <f t="shared" si="29"/>
        <v>5.6400662958040026E-2</v>
      </c>
      <c r="K451" s="18">
        <f t="shared" si="30"/>
        <v>8.0133179792720055E-2</v>
      </c>
      <c r="L451" s="19">
        <f t="shared" si="31"/>
        <v>9.2927886103373547E-2</v>
      </c>
    </row>
    <row r="452" spans="2:12" hidden="1" outlineLevel="1" x14ac:dyDescent="0.3">
      <c r="B452" s="4">
        <v>44885</v>
      </c>
      <c r="C452" s="18">
        <f t="shared" si="22"/>
        <v>-1.4391386363154735E-2</v>
      </c>
      <c r="D452" s="18">
        <f t="shared" si="23"/>
        <v>-1.3753131293285925E-3</v>
      </c>
      <c r="E452" s="18">
        <f t="shared" si="24"/>
        <v>-6.4766953832559038E-3</v>
      </c>
      <c r="F452" s="18">
        <f t="shared" si="25"/>
        <v>-2.3278370514063895E-2</v>
      </c>
      <c r="G452" s="18">
        <f t="shared" si="26"/>
        <v>-3.1038349405696275E-2</v>
      </c>
      <c r="H452" s="18">
        <f t="shared" si="27"/>
        <v>-2.5159157084340911E-2</v>
      </c>
      <c r="I452" s="18">
        <f t="shared" si="28"/>
        <v>-8.6174211849357807E-2</v>
      </c>
      <c r="J452" s="18">
        <f t="shared" si="29"/>
        <v>-5.2643842425748821E-2</v>
      </c>
      <c r="K452" s="18">
        <f t="shared" si="30"/>
        <v>-7.7780610471179901E-2</v>
      </c>
      <c r="L452" s="19">
        <f t="shared" si="31"/>
        <v>-6.907374631268437E-2</v>
      </c>
    </row>
    <row r="453" spans="2:12" hidden="1" outlineLevel="1" x14ac:dyDescent="0.3">
      <c r="B453" s="4">
        <v>44878</v>
      </c>
      <c r="C453" s="18">
        <f t="shared" si="22"/>
        <v>-1.3630750136706782E-2</v>
      </c>
      <c r="D453" s="18">
        <f t="shared" si="23"/>
        <v>-2.5828783630908458E-2</v>
      </c>
      <c r="E453" s="18">
        <f t="shared" si="24"/>
        <v>-2.2198111026129008E-2</v>
      </c>
      <c r="F453" s="18">
        <f t="shared" si="25"/>
        <v>-2.219463753723927E-2</v>
      </c>
      <c r="G453" s="18">
        <f t="shared" si="26"/>
        <v>-1.7867888719159564E-2</v>
      </c>
      <c r="H453" s="18">
        <f t="shared" si="27"/>
        <v>-8.5859506307839339E-3</v>
      </c>
      <c r="I453" s="18">
        <f t="shared" si="28"/>
        <v>-5.9498692724684887E-2</v>
      </c>
      <c r="J453" s="18">
        <f t="shared" si="29"/>
        <v>8.4444225818616214E-3</v>
      </c>
      <c r="K453" s="18">
        <f t="shared" si="30"/>
        <v>-2.0582543791309638E-2</v>
      </c>
      <c r="L453" s="19">
        <f t="shared" si="31"/>
        <v>-3.4488440478604776E-2</v>
      </c>
    </row>
    <row r="454" spans="2:12" hidden="1" outlineLevel="1" x14ac:dyDescent="0.3">
      <c r="B454" s="4">
        <v>44871</v>
      </c>
      <c r="C454" s="18">
        <f t="shared" si="22"/>
        <v>-8.2254412492952511E-3</v>
      </c>
      <c r="D454" s="18">
        <f t="shared" si="23"/>
        <v>-1.4623186302044289E-2</v>
      </c>
      <c r="E454" s="18">
        <f t="shared" si="24"/>
        <v>-1.1332836119549605E-2</v>
      </c>
      <c r="F454" s="18">
        <f t="shared" si="25"/>
        <v>1.4827603717056714E-2</v>
      </c>
      <c r="G454" s="18">
        <f t="shared" si="26"/>
        <v>-2.0266767214968118E-3</v>
      </c>
      <c r="H454" s="18">
        <f t="shared" si="27"/>
        <v>3.3109336383504662E-2</v>
      </c>
      <c r="I454" s="18">
        <f t="shared" si="28"/>
        <v>3.5742269258429715E-3</v>
      </c>
      <c r="J454" s="18">
        <f t="shared" si="29"/>
        <v>1.4796266788072998E-3</v>
      </c>
      <c r="K454" s="18">
        <f t="shared" si="30"/>
        <v>4.0054398029354399E-2</v>
      </c>
      <c r="L454" s="19">
        <f t="shared" si="31"/>
        <v>2.3340991138824929E-2</v>
      </c>
    </row>
    <row r="455" spans="2:12" hidden="1" outlineLevel="1" x14ac:dyDescent="0.3">
      <c r="B455" s="4">
        <v>44864</v>
      </c>
      <c r="C455" s="18">
        <f t="shared" si="22"/>
        <v>-2.9720257759801139E-2</v>
      </c>
      <c r="D455" s="18">
        <f t="shared" si="23"/>
        <v>-3.5726638058028559E-2</v>
      </c>
      <c r="E455" s="18">
        <f t="shared" si="24"/>
        <v>-4.1536338546458218E-2</v>
      </c>
      <c r="F455" s="18">
        <f t="shared" si="25"/>
        <v>-2.2917187890918123E-2</v>
      </c>
      <c r="G455" s="18">
        <f t="shared" si="26"/>
        <v>-2.1771984509303843E-2</v>
      </c>
      <c r="H455" s="18">
        <f t="shared" si="27"/>
        <v>-4.9644128113879082E-2</v>
      </c>
      <c r="I455" s="18">
        <f t="shared" si="28"/>
        <v>-1.3326203208556153E-2</v>
      </c>
      <c r="J455" s="18">
        <f t="shared" si="29"/>
        <v>-2.3557871836085376E-2</v>
      </c>
      <c r="K455" s="18">
        <f t="shared" si="30"/>
        <v>-2.8051217526460004E-2</v>
      </c>
      <c r="L455" s="19">
        <f t="shared" si="31"/>
        <v>-4.093492232499063E-2</v>
      </c>
    </row>
    <row r="456" spans="2:12" hidden="1" outlineLevel="1" x14ac:dyDescent="0.3">
      <c r="B456" s="4">
        <v>44857</v>
      </c>
      <c r="C456" s="18">
        <f t="shared" si="22"/>
        <v>-1.6830004013308697E-2</v>
      </c>
      <c r="D456" s="18">
        <f t="shared" si="23"/>
        <v>-4.981667463733741E-4</v>
      </c>
      <c r="E456" s="18">
        <f t="shared" si="24"/>
        <v>-1.4685415366895382E-2</v>
      </c>
      <c r="F456" s="18">
        <f t="shared" si="25"/>
        <v>-1.8640856250320192E-2</v>
      </c>
      <c r="G456" s="18">
        <f t="shared" si="26"/>
        <v>-4.460966542751077E-3</v>
      </c>
      <c r="H456" s="18">
        <f t="shared" si="27"/>
        <v>-4.6339636772140036E-2</v>
      </c>
      <c r="I456" s="18">
        <f t="shared" si="28"/>
        <v>-2.0671190409087936E-2</v>
      </c>
      <c r="J456" s="18">
        <f t="shared" si="29"/>
        <v>-3.7976788267766182E-2</v>
      </c>
      <c r="K456" s="18">
        <f t="shared" si="30"/>
        <v>-1.1143263275459447E-2</v>
      </c>
      <c r="L456" s="19">
        <f t="shared" si="31"/>
        <v>-4.280249324524199E-4</v>
      </c>
    </row>
    <row r="457" spans="2:12" hidden="1" outlineLevel="1" x14ac:dyDescent="0.3">
      <c r="B457" s="4">
        <v>44850</v>
      </c>
      <c r="C457" s="18">
        <f t="shared" si="22"/>
        <v>-8.1706016354370359E-3</v>
      </c>
      <c r="D457" s="18">
        <f t="shared" si="23"/>
        <v>-8.4265369458456085E-3</v>
      </c>
      <c r="E457" s="18">
        <f t="shared" si="24"/>
        <v>-2.7178413131362378E-3</v>
      </c>
      <c r="F457" s="18">
        <f t="shared" si="25"/>
        <v>-1.8786202577883993E-3</v>
      </c>
      <c r="G457" s="18">
        <f t="shared" si="26"/>
        <v>-7.439162778968611E-3</v>
      </c>
      <c r="H457" s="18">
        <f t="shared" si="27"/>
        <v>3.9505688077397183E-2</v>
      </c>
      <c r="I457" s="18">
        <f t="shared" si="28"/>
        <v>1.2202950845075167E-2</v>
      </c>
      <c r="J457" s="18">
        <f t="shared" si="29"/>
        <v>8.261606000898869E-3</v>
      </c>
      <c r="K457" s="18">
        <f t="shared" si="30"/>
        <v>4.882306132402392E-2</v>
      </c>
      <c r="L457" s="19">
        <f t="shared" si="31"/>
        <v>3.3614344975244181E-2</v>
      </c>
    </row>
    <row r="458" spans="2:12" hidden="1" outlineLevel="1" x14ac:dyDescent="0.3">
      <c r="B458" s="4">
        <v>44843</v>
      </c>
      <c r="C458" s="18">
        <f t="shared" si="22"/>
        <v>-1.21909124099705E-2</v>
      </c>
      <c r="D458" s="18">
        <f t="shared" si="23"/>
        <v>-1.749224242505476E-2</v>
      </c>
      <c r="E458" s="18">
        <f t="shared" si="24"/>
        <v>-2.3999765570055454E-2</v>
      </c>
      <c r="F458" s="18">
        <f t="shared" si="25"/>
        <v>-1.369791394363995E-2</v>
      </c>
      <c r="G458" s="18">
        <f t="shared" si="26"/>
        <v>-2.0462007504690516E-2</v>
      </c>
      <c r="H458" s="18">
        <f t="shared" si="27"/>
        <v>-2.0292744347096159E-2</v>
      </c>
      <c r="I458" s="18">
        <f t="shared" si="28"/>
        <v>-4.9918260898091926E-3</v>
      </c>
      <c r="J458" s="18">
        <f t="shared" si="29"/>
        <v>1.0456664838178753E-2</v>
      </c>
      <c r="K458" s="18">
        <f t="shared" si="30"/>
        <v>3.0715387062825616E-2</v>
      </c>
      <c r="L458" s="19">
        <f t="shared" si="31"/>
        <v>-3.1097071541389409E-2</v>
      </c>
    </row>
    <row r="459" spans="2:12" hidden="1" outlineLevel="1" x14ac:dyDescent="0.3">
      <c r="B459" s="4">
        <v>44836</v>
      </c>
      <c r="C459" s="18">
        <f t="shared" si="22"/>
        <v>-1.1051116031678299E-2</v>
      </c>
      <c r="D459" s="18">
        <f t="shared" si="23"/>
        <v>-1.5634485910545171E-2</v>
      </c>
      <c r="E459" s="18">
        <f t="shared" si="24"/>
        <v>-4.4736236351444747E-2</v>
      </c>
      <c r="F459" s="18">
        <f t="shared" si="25"/>
        <v>8.163265306122458E-2</v>
      </c>
      <c r="G459" s="18">
        <f t="shared" si="26"/>
        <v>3.9304882185111634E-3</v>
      </c>
      <c r="H459" s="18">
        <f t="shared" si="27"/>
        <v>-4.9908429812254296E-3</v>
      </c>
      <c r="I459" s="18">
        <f t="shared" si="28"/>
        <v>-4.3360478278548831E-2</v>
      </c>
      <c r="J459" s="18">
        <f t="shared" si="29"/>
        <v>7.0233773284023027E-3</v>
      </c>
      <c r="K459" s="18">
        <f t="shared" si="30"/>
        <v>6.0549935888303263E-3</v>
      </c>
      <c r="L459" s="19">
        <f t="shared" si="31"/>
        <v>-3.727952966328163E-2</v>
      </c>
    </row>
    <row r="460" spans="2:12" hidden="1" outlineLevel="1" x14ac:dyDescent="0.3">
      <c r="B460" s="4">
        <v>44829</v>
      </c>
      <c r="C460" s="18">
        <f t="shared" si="22"/>
        <v>-1.9692316055557102E-2</v>
      </c>
      <c r="D460" s="18">
        <f t="shared" si="23"/>
        <v>-2.6013984075616503E-2</v>
      </c>
      <c r="E460" s="18">
        <f t="shared" si="24"/>
        <v>-2.6464394598162411E-2</v>
      </c>
      <c r="F460" s="18">
        <f t="shared" si="25"/>
        <v>-3.3913256554766069E-2</v>
      </c>
      <c r="G460" s="18">
        <f t="shared" si="26"/>
        <v>-1.4895266107555982E-2</v>
      </c>
      <c r="H460" s="18">
        <f t="shared" si="27"/>
        <v>-4.03422851299714E-2</v>
      </c>
      <c r="I460" s="18">
        <f t="shared" si="28"/>
        <v>-7.108762457279072E-2</v>
      </c>
      <c r="J460" s="18">
        <f t="shared" si="29"/>
        <v>4.8854447439352633E-3</v>
      </c>
      <c r="K460" s="18">
        <f t="shared" si="30"/>
        <v>-1.4538931766149621E-2</v>
      </c>
      <c r="L460" s="19">
        <f t="shared" si="31"/>
        <v>-6.6773074253990261E-2</v>
      </c>
    </row>
    <row r="461" spans="2:12" hidden="1" outlineLevel="1" x14ac:dyDescent="0.3">
      <c r="B461" s="4">
        <v>44822</v>
      </c>
      <c r="C461" s="18">
        <f t="shared" si="22"/>
        <v>-7.4896371979538134E-3</v>
      </c>
      <c r="D461" s="18">
        <f t="shared" si="23"/>
        <v>-3.3958720198074777E-2</v>
      </c>
      <c r="E461" s="18">
        <f t="shared" si="24"/>
        <v>-3.9150694661171048E-2</v>
      </c>
      <c r="F461" s="18">
        <f t="shared" si="25"/>
        <v>2.5363973012737517E-4</v>
      </c>
      <c r="G461" s="18">
        <f t="shared" si="26"/>
        <v>2.6266681461008412E-2</v>
      </c>
      <c r="H461" s="18">
        <f t="shared" si="27"/>
        <v>-8.9617192144196833E-3</v>
      </c>
      <c r="I461" s="18">
        <f t="shared" si="28"/>
        <v>-2.8753578738428986E-2</v>
      </c>
      <c r="J461" s="18">
        <f t="shared" si="29"/>
        <v>3.7552388935455649E-3</v>
      </c>
      <c r="K461" s="18">
        <f t="shared" si="30"/>
        <v>-3.2668311259071214E-2</v>
      </c>
      <c r="L461" s="19">
        <f t="shared" si="31"/>
        <v>-7.5551391305641591E-3</v>
      </c>
    </row>
    <row r="462" spans="2:12" hidden="1" outlineLevel="1" x14ac:dyDescent="0.3">
      <c r="B462" s="4">
        <v>44815</v>
      </c>
      <c r="C462" s="18">
        <f t="shared" si="22"/>
        <v>8.9394526680424136E-3</v>
      </c>
      <c r="D462" s="18">
        <f t="shared" si="23"/>
        <v>8.4916777139489863E-3</v>
      </c>
      <c r="E462" s="18">
        <f t="shared" si="24"/>
        <v>1.1760094080752737E-3</v>
      </c>
      <c r="F462" s="18">
        <f t="shared" si="25"/>
        <v>1.8460290090272835E-2</v>
      </c>
      <c r="G462" s="18">
        <f t="shared" si="26"/>
        <v>-1.8281715336000426E-3</v>
      </c>
      <c r="H462" s="18">
        <f t="shared" si="27"/>
        <v>-8.691912447090111E-3</v>
      </c>
      <c r="I462" s="18">
        <f t="shared" si="28"/>
        <v>4.1574085274624917E-3</v>
      </c>
      <c r="J462" s="18">
        <f t="shared" si="29"/>
        <v>1.4296689715068478E-2</v>
      </c>
      <c r="K462" s="18">
        <f t="shared" si="30"/>
        <v>-1.5350714303400403E-3</v>
      </c>
      <c r="L462" s="19">
        <f t="shared" si="31"/>
        <v>-1.6559020545173886E-2</v>
      </c>
    </row>
    <row r="463" spans="2:12" hidden="1" outlineLevel="1" x14ac:dyDescent="0.3">
      <c r="B463" s="4">
        <v>44808</v>
      </c>
      <c r="C463" s="18">
        <f t="shared" si="22"/>
        <v>6.9445646192343613E-2</v>
      </c>
      <c r="D463" s="18">
        <f t="shared" si="23"/>
        <v>9.7748533954561845E-2</v>
      </c>
      <c r="E463" s="18">
        <f t="shared" si="24"/>
        <v>5.7523212887347741E-2</v>
      </c>
      <c r="F463" s="18">
        <f t="shared" si="25"/>
        <v>3.8591773727716383E-2</v>
      </c>
      <c r="G463" s="18">
        <f t="shared" si="26"/>
        <v>9.0443601989070199E-2</v>
      </c>
      <c r="H463" s="18">
        <f t="shared" si="27"/>
        <v>6.7153784678616324E-2</v>
      </c>
      <c r="I463" s="18">
        <f t="shared" si="28"/>
        <v>7.3439342640849059E-2</v>
      </c>
      <c r="J463" s="18">
        <f t="shared" si="29"/>
        <v>4.4607278116252314E-2</v>
      </c>
      <c r="K463" s="18">
        <f t="shared" si="30"/>
        <v>6.3729015299923031E-2</v>
      </c>
      <c r="L463" s="19">
        <f t="shared" si="31"/>
        <v>8.7358668820284757E-2</v>
      </c>
    </row>
    <row r="464" spans="2:12" hidden="1" outlineLevel="1" x14ac:dyDescent="0.3">
      <c r="B464" s="4">
        <v>44801</v>
      </c>
      <c r="C464" s="18">
        <f t="shared" si="22"/>
        <v>-2.7113619593781224E-2</v>
      </c>
      <c r="D464" s="18">
        <f t="shared" si="23"/>
        <v>-3.8797748772602225E-2</v>
      </c>
      <c r="E464" s="18">
        <f t="shared" si="24"/>
        <v>-2.5356493039394135E-2</v>
      </c>
      <c r="F464" s="18">
        <f t="shared" si="25"/>
        <v>-2.2630291988301243E-2</v>
      </c>
      <c r="G464" s="18">
        <f t="shared" si="26"/>
        <v>-6.2353259888026202E-2</v>
      </c>
      <c r="H464" s="18">
        <f t="shared" si="27"/>
        <v>-3.2437521396782021E-2</v>
      </c>
      <c r="I464" s="18">
        <f t="shared" si="28"/>
        <v>6.2490771093588471E-3</v>
      </c>
      <c r="J464" s="18">
        <f t="shared" si="29"/>
        <v>-7.6451394252746718E-3</v>
      </c>
      <c r="K464" s="18">
        <f t="shared" si="30"/>
        <v>-3.3568781033638695E-2</v>
      </c>
      <c r="L464" s="19">
        <f t="shared" si="31"/>
        <v>-2.8125394133886483E-2</v>
      </c>
    </row>
    <row r="465" spans="2:12" hidden="1" outlineLevel="1" x14ac:dyDescent="0.3">
      <c r="B465" s="4">
        <v>44794</v>
      </c>
      <c r="C465" s="18">
        <f t="shared" si="22"/>
        <v>2.9322928101444434E-2</v>
      </c>
      <c r="D465" s="18">
        <f t="shared" si="23"/>
        <v>4.7174120676051645E-2</v>
      </c>
      <c r="E465" s="18">
        <f t="shared" si="24"/>
        <v>2.2933738535844128E-2</v>
      </c>
      <c r="F465" s="18">
        <f t="shared" si="25"/>
        <v>2.3448614177091098E-2</v>
      </c>
      <c r="G465" s="18">
        <f t="shared" si="26"/>
        <v>2.759185245822704E-2</v>
      </c>
      <c r="H465" s="18">
        <f t="shared" si="27"/>
        <v>3.0285272003538255E-2</v>
      </c>
      <c r="I465" s="18">
        <f t="shared" si="28"/>
        <v>3.2536407553283242E-2</v>
      </c>
      <c r="J465" s="18">
        <f t="shared" si="29"/>
        <v>2.5907805699399544E-2</v>
      </c>
      <c r="K465" s="18">
        <f t="shared" si="30"/>
        <v>4.4962250042212437E-2</v>
      </c>
      <c r="L465" s="19">
        <f t="shared" si="31"/>
        <v>5.6018571922943794E-2</v>
      </c>
    </row>
    <row r="466" spans="2:12" hidden="1" outlineLevel="1" x14ac:dyDescent="0.3">
      <c r="B466" s="4">
        <v>44787</v>
      </c>
      <c r="C466" s="18">
        <f t="shared" si="22"/>
        <v>5.0757352964938995E-2</v>
      </c>
      <c r="D466" s="18">
        <f t="shared" si="23"/>
        <v>4.9655655576264834E-2</v>
      </c>
      <c r="E466" s="18">
        <f t="shared" si="24"/>
        <v>2.5804261098378634E-2</v>
      </c>
      <c r="F466" s="18">
        <f t="shared" si="25"/>
        <v>3.6428126348080347E-2</v>
      </c>
      <c r="G466" s="18">
        <f t="shared" si="26"/>
        <v>1.7132146204311027E-2</v>
      </c>
      <c r="H466" s="18">
        <f t="shared" si="27"/>
        <v>5.0172249111924305E-2</v>
      </c>
      <c r="I466" s="18">
        <f t="shared" si="28"/>
        <v>6.7553124964469857E-2</v>
      </c>
      <c r="J466" s="18">
        <f t="shared" si="29"/>
        <v>3.3707517225361805E-2</v>
      </c>
      <c r="K466" s="18">
        <f t="shared" si="30"/>
        <v>0.1053068950393572</v>
      </c>
      <c r="L466" s="19">
        <f t="shared" si="31"/>
        <v>7.1507571309583851E-2</v>
      </c>
    </row>
    <row r="467" spans="2:12" hidden="1" outlineLevel="1" x14ac:dyDescent="0.3">
      <c r="B467" s="4">
        <v>44780</v>
      </c>
      <c r="C467" s="18">
        <f t="shared" si="22"/>
        <v>4.6687724327134639E-3</v>
      </c>
      <c r="D467" s="18">
        <f t="shared" si="23"/>
        <v>-1.8763970657683648E-3</v>
      </c>
      <c r="E467" s="18">
        <f t="shared" si="24"/>
        <v>-1.4067025237898156E-2</v>
      </c>
      <c r="F467" s="18">
        <f t="shared" si="25"/>
        <v>8.416963418582224E-3</v>
      </c>
      <c r="G467" s="18">
        <f t="shared" si="26"/>
        <v>-3.4636222910216619E-2</v>
      </c>
      <c r="H467" s="18">
        <f t="shared" si="27"/>
        <v>3.8220205612442548E-3</v>
      </c>
      <c r="I467" s="18">
        <f t="shared" si="28"/>
        <v>-1.0708827460607417E-2</v>
      </c>
      <c r="J467" s="18">
        <f t="shared" si="29"/>
        <v>1.1863035858721949E-2</v>
      </c>
      <c r="K467" s="18">
        <f t="shared" si="30"/>
        <v>-8.4372324206921645E-3</v>
      </c>
      <c r="L467" s="19">
        <f t="shared" si="31"/>
        <v>-3.3437826541274807E-2</v>
      </c>
    </row>
    <row r="468" spans="2:12" hidden="1" outlineLevel="1" x14ac:dyDescent="0.3">
      <c r="B468" s="4">
        <v>44773</v>
      </c>
      <c r="C468" s="18">
        <f t="shared" si="22"/>
        <v>-1.0732970669540154E-2</v>
      </c>
      <c r="D468" s="18">
        <f t="shared" si="23"/>
        <v>1.4143593431619195E-2</v>
      </c>
      <c r="E468" s="18">
        <f t="shared" si="24"/>
        <v>1.4057910197229351E-3</v>
      </c>
      <c r="F468" s="18">
        <f t="shared" si="25"/>
        <v>8.9429030038981061E-3</v>
      </c>
      <c r="G468" s="18">
        <f t="shared" si="26"/>
        <v>-7.2254197329364445E-3</v>
      </c>
      <c r="H468" s="18">
        <f t="shared" si="27"/>
        <v>2.840330659282575E-3</v>
      </c>
      <c r="I468" s="18">
        <f t="shared" si="28"/>
        <v>1.8543638105696036E-2</v>
      </c>
      <c r="J468" s="18">
        <f t="shared" si="29"/>
        <v>-3.5083044675370267E-3</v>
      </c>
      <c r="K468" s="18">
        <f t="shared" si="30"/>
        <v>8.8038922470987657E-3</v>
      </c>
      <c r="L468" s="19">
        <f t="shared" si="31"/>
        <v>3.7442320369149629E-2</v>
      </c>
    </row>
    <row r="469" spans="2:12" hidden="1" outlineLevel="1" x14ac:dyDescent="0.3">
      <c r="B469" s="4">
        <v>44766</v>
      </c>
      <c r="C469" s="18">
        <f t="shared" si="22"/>
        <v>-1.876522121237445E-2</v>
      </c>
      <c r="D469" s="18">
        <f t="shared" si="23"/>
        <v>-4.1409812203360263E-2</v>
      </c>
      <c r="E469" s="18">
        <f t="shared" si="24"/>
        <v>-9.7638653173255374E-3</v>
      </c>
      <c r="F469" s="18">
        <f t="shared" si="25"/>
        <v>-3.7045454545454604E-2</v>
      </c>
      <c r="G469" s="18">
        <f t="shared" si="26"/>
        <v>-9.027804484097901E-3</v>
      </c>
      <c r="H469" s="18">
        <f t="shared" si="27"/>
        <v>-3.9509882546418074E-2</v>
      </c>
      <c r="I469" s="18">
        <f t="shared" si="28"/>
        <v>-4.2082622091394906E-2</v>
      </c>
      <c r="J469" s="18">
        <f t="shared" si="29"/>
        <v>-6.5897173076637339E-2</v>
      </c>
      <c r="K469" s="18">
        <f t="shared" si="30"/>
        <v>-3.9689333361170753E-2</v>
      </c>
      <c r="L469" s="19">
        <f t="shared" si="31"/>
        <v>5.0324056423942665E-3</v>
      </c>
    </row>
    <row r="470" spans="2:12" hidden="1" outlineLevel="1" x14ac:dyDescent="0.3">
      <c r="B470" s="4">
        <v>44759</v>
      </c>
      <c r="C470" s="18">
        <f t="shared" si="22"/>
        <v>-3.964211714765975E-2</v>
      </c>
      <c r="D470" s="18">
        <f t="shared" si="23"/>
        <v>-2.8007423654462738E-2</v>
      </c>
      <c r="E470" s="18">
        <f t="shared" si="24"/>
        <v>-2.9675631070015474E-2</v>
      </c>
      <c r="F470" s="18">
        <f t="shared" si="25"/>
        <v>-3.0304460703327818E-2</v>
      </c>
      <c r="G470" s="18">
        <f t="shared" si="26"/>
        <v>-1.9025350964850141E-2</v>
      </c>
      <c r="H470" s="18">
        <f t="shared" si="27"/>
        <v>-4.7761982772287603E-2</v>
      </c>
      <c r="I470" s="18">
        <f t="shared" si="28"/>
        <v>-2.7584684982873142E-5</v>
      </c>
      <c r="J470" s="18">
        <f t="shared" si="29"/>
        <v>2.8418759243650671E-2</v>
      </c>
      <c r="K470" s="18">
        <f t="shared" si="30"/>
        <v>-1.0153056787546855E-2</v>
      </c>
      <c r="L470" s="19">
        <f t="shared" si="31"/>
        <v>-5.762081784386619E-2</v>
      </c>
    </row>
    <row r="471" spans="2:12" hidden="1" outlineLevel="1" x14ac:dyDescent="0.3">
      <c r="B471" s="4">
        <v>44752</v>
      </c>
      <c r="C471" s="18">
        <f t="shared" si="22"/>
        <v>-5.5632362068455898E-2</v>
      </c>
      <c r="D471" s="18">
        <f t="shared" si="23"/>
        <v>-5.042527339003644E-2</v>
      </c>
      <c r="E471" s="18">
        <f t="shared" si="24"/>
        <v>-4.0319679012614795E-2</v>
      </c>
      <c r="F471" s="18">
        <f t="shared" si="25"/>
        <v>-4.1376624640996895E-2</v>
      </c>
      <c r="G471" s="18">
        <f t="shared" si="26"/>
        <v>-6.6935675290766605E-2</v>
      </c>
      <c r="H471" s="18">
        <f t="shared" si="27"/>
        <v>-0.11770777836973889</v>
      </c>
      <c r="I471" s="18">
        <f t="shared" si="28"/>
        <v>-0.13513006537750683</v>
      </c>
      <c r="J471" s="18">
        <f t="shared" si="29"/>
        <v>-3.5365250201026766E-2</v>
      </c>
      <c r="K471" s="18">
        <f t="shared" si="30"/>
        <v>-5.9258933866326746E-2</v>
      </c>
      <c r="L471" s="19">
        <f t="shared" si="31"/>
        <v>-9.3332796629499892E-2</v>
      </c>
    </row>
    <row r="472" spans="2:12" hidden="1" outlineLevel="1" x14ac:dyDescent="0.3">
      <c r="B472" s="4">
        <v>44745</v>
      </c>
      <c r="C472" s="18">
        <f t="shared" si="22"/>
        <v>9.0449133446462771E-2</v>
      </c>
      <c r="D472" s="18">
        <f t="shared" si="23"/>
        <v>5.8797887972552143E-2</v>
      </c>
      <c r="E472" s="18">
        <f t="shared" si="24"/>
        <v>0.11369136209227548</v>
      </c>
      <c r="F472" s="18">
        <f t="shared" si="25"/>
        <v>6.4083684557964871E-2</v>
      </c>
      <c r="G472" s="18">
        <f t="shared" si="26"/>
        <v>5.4121088781480475E-2</v>
      </c>
      <c r="H472" s="18">
        <f t="shared" si="27"/>
        <v>2.3474355587424833E-2</v>
      </c>
      <c r="I472" s="18">
        <f t="shared" si="28"/>
        <v>8.1461068371161405E-2</v>
      </c>
      <c r="J472" s="18">
        <f t="shared" si="29"/>
        <v>2.7251887593978896E-2</v>
      </c>
      <c r="K472" s="18">
        <f t="shared" si="30"/>
        <v>4.2609325021596423E-2</v>
      </c>
      <c r="L472" s="19">
        <f t="shared" si="31"/>
        <v>6.7482574401018125E-2</v>
      </c>
    </row>
    <row r="473" spans="2:12" hidden="1" outlineLevel="1" x14ac:dyDescent="0.3">
      <c r="B473" s="4">
        <v>44738</v>
      </c>
      <c r="C473" s="18">
        <f t="shared" ref="C473:C536" si="32">E204/E203-1</f>
        <v>1.5204711930022707E-2</v>
      </c>
      <c r="D473" s="18">
        <f t="shared" si="23"/>
        <v>-2.3141384897341299E-2</v>
      </c>
      <c r="E473" s="18">
        <f t="shared" si="24"/>
        <v>-8.3345234937669543E-3</v>
      </c>
      <c r="F473" s="18">
        <f t="shared" si="25"/>
        <v>6.9195895967548715E-3</v>
      </c>
      <c r="G473" s="18">
        <f t="shared" si="26"/>
        <v>-1.5394670688788303E-2</v>
      </c>
      <c r="H473" s="18">
        <f t="shared" si="27"/>
        <v>-1.6482908661823781E-2</v>
      </c>
      <c r="I473" s="18">
        <f t="shared" si="28"/>
        <v>-2.4662010711841931E-2</v>
      </c>
      <c r="J473" s="18">
        <f t="shared" si="29"/>
        <v>-4.5224013358093673E-2</v>
      </c>
      <c r="K473" s="18">
        <f t="shared" si="30"/>
        <v>3.7396990326048485E-3</v>
      </c>
      <c r="L473" s="19">
        <f t="shared" si="31"/>
        <v>-3.2883700941316762E-2</v>
      </c>
    </row>
    <row r="474" spans="2:12" hidden="1" outlineLevel="1" x14ac:dyDescent="0.3">
      <c r="B474" s="4">
        <v>44731</v>
      </c>
      <c r="C474" s="18">
        <f t="shared" si="32"/>
        <v>-6.6372445854471218E-3</v>
      </c>
      <c r="D474" s="18">
        <f t="shared" ref="D474:D537" si="33">F205/F204-1</f>
        <v>-2.5892013513605372E-2</v>
      </c>
      <c r="E474" s="18">
        <f t="shared" ref="E474:E537" si="34">G205/G204-1</f>
        <v>-8.8777788064891006E-3</v>
      </c>
      <c r="F474" s="18">
        <f t="shared" ref="F474:F537" si="35">H205/H204-1</f>
        <v>-7.6777251184834139E-3</v>
      </c>
      <c r="G474" s="18">
        <f t="shared" ref="G474:G537" si="36">I205/I204-1</f>
        <v>-2.9187389577099432E-2</v>
      </c>
      <c r="H474" s="18">
        <f t="shared" ref="H474:H537" si="37">J205/J204-1</f>
        <v>8.235852829434176E-3</v>
      </c>
      <c r="I474" s="18">
        <f t="shared" ref="I474:I537" si="38">K205/K204-1</f>
        <v>-1.5978131369027149E-2</v>
      </c>
      <c r="J474" s="18">
        <f t="shared" ref="J474:J537" si="39">L205/L204-1</f>
        <v>2.033244528708944E-2</v>
      </c>
      <c r="K474" s="18">
        <f t="shared" ref="K474:K537" si="40">M205/M204-1</f>
        <v>8.7008901679941353E-3</v>
      </c>
      <c r="L474" s="19">
        <f t="shared" ref="L474:L537" si="41">N205/N204-1</f>
        <v>4.5670216883358927E-2</v>
      </c>
    </row>
    <row r="475" spans="2:12" hidden="1" outlineLevel="1" x14ac:dyDescent="0.3">
      <c r="B475" s="4">
        <v>44724</v>
      </c>
      <c r="C475" s="18">
        <f t="shared" si="32"/>
        <v>-6.2009473757438927E-2</v>
      </c>
      <c r="D475" s="18">
        <f t="shared" si="33"/>
        <v>-3.7326764455485661E-2</v>
      </c>
      <c r="E475" s="18">
        <f t="shared" si="34"/>
        <v>-8.2203724077803964E-3</v>
      </c>
      <c r="F475" s="18">
        <f t="shared" si="35"/>
        <v>-3.2381316267074189E-2</v>
      </c>
      <c r="G475" s="18">
        <f t="shared" si="36"/>
        <v>-1.6463113158919018E-2</v>
      </c>
      <c r="H475" s="18">
        <f t="shared" si="37"/>
        <v>-7.5488069414316739E-3</v>
      </c>
      <c r="I475" s="18">
        <f t="shared" si="38"/>
        <v>-2.2617064821245259E-2</v>
      </c>
      <c r="J475" s="18">
        <f t="shared" si="39"/>
        <v>-4.1552533358963251E-2</v>
      </c>
      <c r="K475" s="18">
        <f t="shared" si="40"/>
        <v>-2.9858668966890045E-2</v>
      </c>
      <c r="L475" s="19">
        <f t="shared" si="41"/>
        <v>-7.4451313967675237E-2</v>
      </c>
    </row>
    <row r="476" spans="2:12" hidden="1" outlineLevel="1" x14ac:dyDescent="0.3">
      <c r="B476" s="4">
        <v>44717</v>
      </c>
      <c r="C476" s="18">
        <f t="shared" si="32"/>
        <v>8.7734971277542595E-2</v>
      </c>
      <c r="D476" s="18">
        <f t="shared" si="33"/>
        <v>6.4507477184258422E-2</v>
      </c>
      <c r="E476" s="18">
        <f t="shared" si="34"/>
        <v>5.9034681959938995E-2</v>
      </c>
      <c r="F476" s="18">
        <f t="shared" si="35"/>
        <v>0.13761105626850934</v>
      </c>
      <c r="G476" s="18">
        <f t="shared" si="36"/>
        <v>0.15004919996577382</v>
      </c>
      <c r="H476" s="18">
        <f t="shared" si="37"/>
        <v>8.1969874853246028E-2</v>
      </c>
      <c r="I476" s="18">
        <f t="shared" si="38"/>
        <v>9.6479258500022036E-2</v>
      </c>
      <c r="J476" s="18">
        <f t="shared" si="39"/>
        <v>6.1805358247121189E-2</v>
      </c>
      <c r="K476" s="18">
        <f t="shared" si="40"/>
        <v>0.14349223719307846</v>
      </c>
      <c r="L476" s="19">
        <f t="shared" si="41"/>
        <v>3.1814680964512121E-2</v>
      </c>
    </row>
    <row r="477" spans="2:12" hidden="1" outlineLevel="1" x14ac:dyDescent="0.3">
      <c r="B477" s="4">
        <v>44710</v>
      </c>
      <c r="C477" s="18">
        <f t="shared" si="32"/>
        <v>2.3886046172870712E-2</v>
      </c>
      <c r="D477" s="18">
        <f t="shared" si="33"/>
        <v>3.0404761256230817E-2</v>
      </c>
      <c r="E477" s="18">
        <f t="shared" si="34"/>
        <v>2.7234547161421041E-2</v>
      </c>
      <c r="F477" s="18">
        <f t="shared" si="35"/>
        <v>3.1542867060048607E-2</v>
      </c>
      <c r="G477" s="18">
        <f t="shared" si="36"/>
        <v>3.4280399906998271E-2</v>
      </c>
      <c r="H477" s="18">
        <f t="shared" si="37"/>
        <v>8.3113045285077014E-4</v>
      </c>
      <c r="I477" s="18">
        <f t="shared" si="38"/>
        <v>8.7600073406280732E-2</v>
      </c>
      <c r="J477" s="18">
        <f t="shared" si="39"/>
        <v>3.3731564118304247E-2</v>
      </c>
      <c r="K477" s="18">
        <f t="shared" si="40"/>
        <v>2.4004625476005348E-2</v>
      </c>
      <c r="L477" s="19">
        <f t="shared" si="41"/>
        <v>7.9495865870463867E-2</v>
      </c>
    </row>
    <row r="478" spans="2:12" hidden="1" outlineLevel="1" x14ac:dyDescent="0.3">
      <c r="B478" s="4">
        <v>44703</v>
      </c>
      <c r="C478" s="18">
        <f t="shared" si="32"/>
        <v>-5.199113704883096E-2</v>
      </c>
      <c r="D478" s="18">
        <f t="shared" si="33"/>
        <v>-3.9658465340972948E-2</v>
      </c>
      <c r="E478" s="18">
        <f t="shared" si="34"/>
        <v>-3.748881684639882E-2</v>
      </c>
      <c r="F478" s="18">
        <f t="shared" si="35"/>
        <v>-1.7960042060988446E-2</v>
      </c>
      <c r="G478" s="18">
        <f t="shared" si="36"/>
        <v>-2.1472696046254347E-2</v>
      </c>
      <c r="H478" s="18">
        <f t="shared" si="37"/>
        <v>-7.7749968281796145E-2</v>
      </c>
      <c r="I478" s="18">
        <f t="shared" si="38"/>
        <v>-6.7019251556839854E-2</v>
      </c>
      <c r="J478" s="18">
        <f t="shared" si="39"/>
        <v>-3.4214453208271101E-2</v>
      </c>
      <c r="K478" s="18">
        <f t="shared" si="40"/>
        <v>-3.2670703452035599E-2</v>
      </c>
      <c r="L478" s="19">
        <f t="shared" si="41"/>
        <v>-2.3576500624983399E-2</v>
      </c>
    </row>
    <row r="479" spans="2:12" hidden="1" outlineLevel="1" x14ac:dyDescent="0.3">
      <c r="B479" s="4">
        <v>44696</v>
      </c>
      <c r="C479" s="18">
        <f t="shared" si="32"/>
        <v>9.7194017650741316E-3</v>
      </c>
      <c r="D479" s="18">
        <f t="shared" si="33"/>
        <v>-4.2459192380742694E-3</v>
      </c>
      <c r="E479" s="18">
        <f t="shared" si="34"/>
        <v>2.4856577448178152E-2</v>
      </c>
      <c r="F479" s="18">
        <f t="shared" si="35"/>
        <v>-1.5761521329449968E-2</v>
      </c>
      <c r="G479" s="18">
        <f t="shared" si="36"/>
        <v>6.809222315135699E-3</v>
      </c>
      <c r="H479" s="18">
        <f t="shared" si="37"/>
        <v>1.1380690345172528E-2</v>
      </c>
      <c r="I479" s="18">
        <f t="shared" si="38"/>
        <v>4.3043569179990637E-2</v>
      </c>
      <c r="J479" s="18">
        <f t="shared" si="39"/>
        <v>1.4536396171977106E-2</v>
      </c>
      <c r="K479" s="18">
        <f t="shared" si="40"/>
        <v>-1.010405973874362E-2</v>
      </c>
      <c r="L479" s="19">
        <f t="shared" si="41"/>
        <v>3.14589603562625E-2</v>
      </c>
    </row>
    <row r="480" spans="2:12" hidden="1" outlineLevel="1" x14ac:dyDescent="0.3">
      <c r="B480" s="4">
        <v>44689</v>
      </c>
      <c r="C480" s="18">
        <f t="shared" si="32"/>
        <v>3.7020288901818743E-2</v>
      </c>
      <c r="D480" s="18">
        <f t="shared" si="33"/>
        <v>3.3849577398599839E-2</v>
      </c>
      <c r="E480" s="18">
        <f t="shared" si="34"/>
        <v>2.2644600696306805E-2</v>
      </c>
      <c r="F480" s="18">
        <f t="shared" si="35"/>
        <v>1.966927763272408E-2</v>
      </c>
      <c r="G480" s="18">
        <f t="shared" si="36"/>
        <v>6.3624913292687157E-2</v>
      </c>
      <c r="H480" s="18">
        <f t="shared" si="37"/>
        <v>1.661926548781989E-2</v>
      </c>
      <c r="I480" s="18">
        <f t="shared" si="38"/>
        <v>-2.8279139325830593E-2</v>
      </c>
      <c r="J480" s="18">
        <f t="shared" si="39"/>
        <v>4.1181681145006088E-3</v>
      </c>
      <c r="K480" s="18">
        <f t="shared" si="40"/>
        <v>-6.2422480226105304E-3</v>
      </c>
      <c r="L480" s="19">
        <f t="shared" si="41"/>
        <v>-1.153962951715759E-2</v>
      </c>
    </row>
    <row r="481" spans="2:12" hidden="1" outlineLevel="1" x14ac:dyDescent="0.3">
      <c r="B481" s="4">
        <v>44682</v>
      </c>
      <c r="C481" s="18">
        <f t="shared" si="32"/>
        <v>5.1808415589484902E-3</v>
      </c>
      <c r="D481" s="18">
        <f t="shared" si="33"/>
        <v>2.5555325307325738E-2</v>
      </c>
      <c r="E481" s="18">
        <f t="shared" si="34"/>
        <v>-1.8595691521319235E-3</v>
      </c>
      <c r="F481" s="18">
        <f t="shared" si="35"/>
        <v>3.512290884260838E-2</v>
      </c>
      <c r="G481" s="18">
        <f t="shared" si="36"/>
        <v>7.307675805551983E-2</v>
      </c>
      <c r="H481" s="18">
        <f t="shared" si="37"/>
        <v>0.11732794901111743</v>
      </c>
      <c r="I481" s="18">
        <f t="shared" si="38"/>
        <v>0.12985825331504341</v>
      </c>
      <c r="J481" s="18">
        <f t="shared" si="39"/>
        <v>8.8649518680162132E-2</v>
      </c>
      <c r="K481" s="18">
        <f t="shared" si="40"/>
        <v>0.10244710889225361</v>
      </c>
      <c r="L481" s="19">
        <f t="shared" si="41"/>
        <v>4.3317972350230605E-2</v>
      </c>
    </row>
    <row r="482" spans="2:12" hidden="1" outlineLevel="1" x14ac:dyDescent="0.3">
      <c r="B482" s="4">
        <v>44675</v>
      </c>
      <c r="C482" s="18">
        <f t="shared" si="32"/>
        <v>3.3242526650446802E-2</v>
      </c>
      <c r="D482" s="18">
        <f t="shared" si="33"/>
        <v>1.6014861165428274E-2</v>
      </c>
      <c r="E482" s="18">
        <f t="shared" si="34"/>
        <v>2.7668437344747332E-2</v>
      </c>
      <c r="F482" s="18">
        <f t="shared" si="35"/>
        <v>4.8855905998763216E-2</v>
      </c>
      <c r="G482" s="18">
        <f t="shared" si="36"/>
        <v>-2.459796403067549E-2</v>
      </c>
      <c r="H482" s="18">
        <f t="shared" si="37"/>
        <v>5.3570650990637958E-2</v>
      </c>
      <c r="I482" s="18">
        <f t="shared" si="38"/>
        <v>6.3936788700141189E-2</v>
      </c>
      <c r="J482" s="18">
        <f t="shared" si="39"/>
        <v>1.2552955559978374E-2</v>
      </c>
      <c r="K482" s="18">
        <f t="shared" si="40"/>
        <v>5.5362743824353577E-2</v>
      </c>
      <c r="L482" s="19">
        <f t="shared" si="41"/>
        <v>7.5485225585087301E-2</v>
      </c>
    </row>
    <row r="483" spans="2:12" hidden="1" outlineLevel="1" x14ac:dyDescent="0.3">
      <c r="B483" s="4">
        <v>44668</v>
      </c>
      <c r="C483" s="18">
        <f t="shared" si="32"/>
        <v>1.8564516318453572E-2</v>
      </c>
      <c r="D483" s="18">
        <f t="shared" si="33"/>
        <v>1.141284474297044E-2</v>
      </c>
      <c r="E483" s="18">
        <f t="shared" si="34"/>
        <v>2.1122308579078375E-2</v>
      </c>
      <c r="F483" s="18">
        <f t="shared" si="35"/>
        <v>5.6800314465408785E-2</v>
      </c>
      <c r="G483" s="18">
        <f t="shared" si="36"/>
        <v>3.7729042836646798E-2</v>
      </c>
      <c r="H483" s="18">
        <f t="shared" si="37"/>
        <v>5.2654963267583454E-2</v>
      </c>
      <c r="I483" s="18">
        <f t="shared" si="38"/>
        <v>-6.7869021277780051E-2</v>
      </c>
      <c r="J483" s="18">
        <f t="shared" si="39"/>
        <v>-2.1228501228501173E-2</v>
      </c>
      <c r="K483" s="18">
        <f t="shared" si="40"/>
        <v>1.8517867191896409E-2</v>
      </c>
      <c r="L483" s="19">
        <f t="shared" si="41"/>
        <v>-1.6892052759392318E-2</v>
      </c>
    </row>
    <row r="484" spans="2:12" hidden="1" outlineLevel="1" x14ac:dyDescent="0.3">
      <c r="B484" s="4">
        <v>44661</v>
      </c>
      <c r="C484" s="18">
        <f t="shared" si="32"/>
        <v>1.3674661808664279E-2</v>
      </c>
      <c r="D484" s="18">
        <f t="shared" si="33"/>
        <v>0.10287588166641304</v>
      </c>
      <c r="E484" s="18">
        <f t="shared" si="34"/>
        <v>2.0912997559998647E-2</v>
      </c>
      <c r="F484" s="18">
        <f t="shared" si="35"/>
        <v>3.998512181513858E-2</v>
      </c>
      <c r="G484" s="18">
        <f t="shared" si="36"/>
        <v>7.9564217827883477E-2</v>
      </c>
      <c r="H484" s="18">
        <f t="shared" si="37"/>
        <v>0.18550801456658506</v>
      </c>
      <c r="I484" s="18">
        <f t="shared" si="38"/>
        <v>7.5124660356513662E-2</v>
      </c>
      <c r="J484" s="18">
        <f t="shared" si="39"/>
        <v>2.3668469295540229E-2</v>
      </c>
      <c r="K484" s="18">
        <f t="shared" si="40"/>
        <v>5.3507605711621942E-2</v>
      </c>
      <c r="L484" s="19">
        <f t="shared" si="41"/>
        <v>7.6406127020645087E-3</v>
      </c>
    </row>
    <row r="485" spans="2:12" hidden="1" outlineLevel="1" x14ac:dyDescent="0.3">
      <c r="B485" s="4">
        <v>44654</v>
      </c>
      <c r="C485" s="18">
        <f t="shared" si="32"/>
        <v>6.472105396359451E-3</v>
      </c>
      <c r="D485" s="18">
        <f t="shared" si="33"/>
        <v>3.7774263120057494E-2</v>
      </c>
      <c r="E485" s="18">
        <f t="shared" si="34"/>
        <v>3.5778941078897564E-2</v>
      </c>
      <c r="F485" s="18">
        <f t="shared" si="35"/>
        <v>4.3741058655221599E-2</v>
      </c>
      <c r="G485" s="18">
        <f t="shared" si="36"/>
        <v>2.7150049762894479E-2</v>
      </c>
      <c r="H485" s="18">
        <f t="shared" si="37"/>
        <v>1.8944161091607459E-2</v>
      </c>
      <c r="I485" s="18">
        <f t="shared" si="38"/>
        <v>8.797826348580351E-2</v>
      </c>
      <c r="J485" s="18">
        <f t="shared" si="39"/>
        <v>3.7007973319507226E-2</v>
      </c>
      <c r="K485" s="18">
        <f t="shared" si="40"/>
        <v>3.6170840435295615E-2</v>
      </c>
      <c r="L485" s="19">
        <f t="shared" si="41"/>
        <v>5.103585848875225E-2</v>
      </c>
    </row>
    <row r="486" spans="2:12" hidden="1" outlineLevel="1" x14ac:dyDescent="0.3">
      <c r="B486" s="4">
        <v>44647</v>
      </c>
      <c r="C486" s="18">
        <f t="shared" si="32"/>
        <v>1.9833926185020667E-2</v>
      </c>
      <c r="D486" s="18">
        <f t="shared" si="33"/>
        <v>4.9018249530322633E-2</v>
      </c>
      <c r="E486" s="18">
        <f t="shared" si="34"/>
        <v>3.6850488613371368E-3</v>
      </c>
      <c r="F486" s="18">
        <f t="shared" si="35"/>
        <v>3.1079738203748652E-2</v>
      </c>
      <c r="G486" s="18">
        <f t="shared" si="36"/>
        <v>2.6475156385813436E-2</v>
      </c>
      <c r="H486" s="18">
        <f t="shared" si="37"/>
        <v>3.2990964051224925E-3</v>
      </c>
      <c r="I486" s="18">
        <f t="shared" si="38"/>
        <v>2.5143693442644111E-3</v>
      </c>
      <c r="J486" s="18">
        <f t="shared" si="39"/>
        <v>-3.044430030809131E-2</v>
      </c>
      <c r="K486" s="18">
        <f t="shared" si="40"/>
        <v>5.7858690666371393E-2</v>
      </c>
      <c r="L486" s="19">
        <f t="shared" si="41"/>
        <v>9.53546070909983E-3</v>
      </c>
    </row>
    <row r="487" spans="2:12" hidden="1" outlineLevel="1" x14ac:dyDescent="0.3">
      <c r="B487" s="4">
        <v>44640</v>
      </c>
      <c r="C487" s="18">
        <f t="shared" si="32"/>
        <v>-1.3646979296817685E-2</v>
      </c>
      <c r="D487" s="18">
        <f t="shared" si="33"/>
        <v>-1.4184734373018926E-2</v>
      </c>
      <c r="E487" s="18">
        <f t="shared" si="34"/>
        <v>8.2952313142838907E-3</v>
      </c>
      <c r="F487" s="18">
        <f t="shared" si="35"/>
        <v>2.5589896975741766E-3</v>
      </c>
      <c r="G487" s="18">
        <f t="shared" si="36"/>
        <v>2.9214153837611168E-2</v>
      </c>
      <c r="H487" s="18">
        <f t="shared" si="37"/>
        <v>1.5793310115816972E-3</v>
      </c>
      <c r="I487" s="18">
        <f t="shared" si="38"/>
        <v>-9.9091835002546036E-3</v>
      </c>
      <c r="J487" s="18">
        <f t="shared" si="39"/>
        <v>-1.8536327019832433E-3</v>
      </c>
      <c r="K487" s="18">
        <f t="shared" si="40"/>
        <v>-1.9407604551367363E-2</v>
      </c>
      <c r="L487" s="19">
        <f t="shared" si="41"/>
        <v>1.8573677474886807E-3</v>
      </c>
    </row>
    <row r="488" spans="2:12" hidden="1" outlineLevel="1" x14ac:dyDescent="0.3">
      <c r="B488" s="4">
        <v>44633</v>
      </c>
      <c r="C488" s="18">
        <f t="shared" si="32"/>
        <v>-9.3614917718300994E-3</v>
      </c>
      <c r="D488" s="18">
        <f t="shared" si="33"/>
        <v>-1.1693273955938555E-2</v>
      </c>
      <c r="E488" s="18">
        <f t="shared" si="34"/>
        <v>1.4880040837161879E-2</v>
      </c>
      <c r="F488" s="18">
        <f t="shared" si="35"/>
        <v>-3.5469221334570866E-3</v>
      </c>
      <c r="G488" s="18">
        <f t="shared" si="36"/>
        <v>-2.4203718565176002E-2</v>
      </c>
      <c r="H488" s="18">
        <f t="shared" si="37"/>
        <v>-1.1223870941656888E-2</v>
      </c>
      <c r="I488" s="18">
        <f t="shared" si="38"/>
        <v>-4.0847817234950012E-2</v>
      </c>
      <c r="J488" s="18">
        <f t="shared" si="39"/>
        <v>-7.6377447010528288E-3</v>
      </c>
      <c r="K488" s="18">
        <f t="shared" si="40"/>
        <v>-5.2528856563438642E-2</v>
      </c>
      <c r="L488" s="19">
        <f t="shared" si="41"/>
        <v>-2.7130599925390131E-3</v>
      </c>
    </row>
    <row r="489" spans="2:12" hidden="1" outlineLevel="1" x14ac:dyDescent="0.3">
      <c r="B489" s="4">
        <v>44626</v>
      </c>
      <c r="C489" s="18">
        <f t="shared" si="32"/>
        <v>-2.0039693790756985E-2</v>
      </c>
      <c r="D489" s="18">
        <f t="shared" si="33"/>
        <v>-1.7579342916479224E-2</v>
      </c>
      <c r="E489" s="18">
        <f t="shared" si="34"/>
        <v>-2.8837529026146669E-3</v>
      </c>
      <c r="F489" s="18">
        <f t="shared" si="35"/>
        <v>-2.4950099800399195E-2</v>
      </c>
      <c r="G489" s="18">
        <f t="shared" si="36"/>
        <v>-4.4853276569865042E-3</v>
      </c>
      <c r="H489" s="18">
        <f t="shared" si="37"/>
        <v>1.8049183411434688E-2</v>
      </c>
      <c r="I489" s="18">
        <f t="shared" si="38"/>
        <v>-2.8157747737683092E-2</v>
      </c>
      <c r="J489" s="18">
        <f t="shared" si="39"/>
        <v>-2.391974222960136E-2</v>
      </c>
      <c r="K489" s="18">
        <f t="shared" si="40"/>
        <v>5.7613698541955083E-2</v>
      </c>
      <c r="L489" s="19">
        <f t="shared" si="41"/>
        <v>-2.5560807517484574E-2</v>
      </c>
    </row>
    <row r="490" spans="2:12" hidden="1" outlineLevel="1" x14ac:dyDescent="0.3">
      <c r="B490" s="4">
        <v>44619</v>
      </c>
      <c r="C490" s="18">
        <f t="shared" si="32"/>
        <v>-2.078221923895951E-2</v>
      </c>
      <c r="D490" s="18">
        <f t="shared" si="33"/>
        <v>-5.4172944988105654E-2</v>
      </c>
      <c r="E490" s="18">
        <f t="shared" si="34"/>
        <v>-4.6080121064357438E-2</v>
      </c>
      <c r="F490" s="18">
        <f t="shared" si="35"/>
        <v>-1.8594336403957801E-2</v>
      </c>
      <c r="G490" s="18">
        <f t="shared" si="36"/>
        <v>-2.2333298621958431E-2</v>
      </c>
      <c r="H490" s="18">
        <f t="shared" si="37"/>
        <v>-1.8564634812506031E-2</v>
      </c>
      <c r="I490" s="18">
        <f t="shared" si="38"/>
        <v>-6.572279904724232E-2</v>
      </c>
      <c r="J490" s="18">
        <f t="shared" si="39"/>
        <v>-3.53029363855214E-2</v>
      </c>
      <c r="K490" s="18">
        <f t="shared" si="40"/>
        <v>-3.005264919808881E-2</v>
      </c>
      <c r="L490" s="19">
        <f t="shared" si="41"/>
        <v>8.4719540283367811E-2</v>
      </c>
    </row>
    <row r="491" spans="2:12" hidden="1" outlineLevel="1" x14ac:dyDescent="0.3">
      <c r="B491" s="4">
        <v>44612</v>
      </c>
      <c r="C491" s="18">
        <f t="shared" si="32"/>
        <v>-1.0193559443224531E-3</v>
      </c>
      <c r="D491" s="18">
        <f t="shared" si="33"/>
        <v>-1.6654606568474284E-2</v>
      </c>
      <c r="E491" s="18">
        <f t="shared" si="34"/>
        <v>-7.6852569978143048E-3</v>
      </c>
      <c r="F491" s="18">
        <f t="shared" si="35"/>
        <v>-3.483399965235523E-2</v>
      </c>
      <c r="G491" s="18">
        <f t="shared" si="36"/>
        <v>-4.3961428125088853E-2</v>
      </c>
      <c r="H491" s="18">
        <f t="shared" si="37"/>
        <v>-6.4392296170184826E-2</v>
      </c>
      <c r="I491" s="18">
        <f t="shared" si="38"/>
        <v>-4.8754558743189569E-2</v>
      </c>
      <c r="J491" s="18">
        <f t="shared" si="39"/>
        <v>1.888766026119959E-2</v>
      </c>
      <c r="K491" s="18">
        <f t="shared" si="40"/>
        <v>-4.2906672105172294E-2</v>
      </c>
      <c r="L491" s="19">
        <f t="shared" si="41"/>
        <v>-3.4434685626655526E-2</v>
      </c>
    </row>
    <row r="492" spans="2:12" hidden="1" outlineLevel="1" x14ac:dyDescent="0.3">
      <c r="B492" s="4">
        <v>44605</v>
      </c>
      <c r="C492" s="18">
        <f t="shared" si="32"/>
        <v>7.7582637295033452E-2</v>
      </c>
      <c r="D492" s="18">
        <f t="shared" si="33"/>
        <v>7.2874013411667882E-3</v>
      </c>
      <c r="E492" s="18">
        <f t="shared" si="34"/>
        <v>3.1245559187153438E-2</v>
      </c>
      <c r="F492" s="18">
        <f t="shared" si="35"/>
        <v>1.2966898389943582E-2</v>
      </c>
      <c r="G492" s="18">
        <f t="shared" si="36"/>
        <v>3.4722995907514376E-2</v>
      </c>
      <c r="H492" s="18">
        <f t="shared" si="37"/>
        <v>2.5431735866883631E-2</v>
      </c>
      <c r="I492" s="18">
        <f t="shared" si="38"/>
        <v>-3.9373949036346501E-3</v>
      </c>
      <c r="J492" s="18">
        <f t="shared" si="39"/>
        <v>5.6653858563341375E-2</v>
      </c>
      <c r="K492" s="18">
        <f t="shared" si="40"/>
        <v>-9.326645685811763E-3</v>
      </c>
      <c r="L492" s="19">
        <f t="shared" si="41"/>
        <v>-4.0305204469224032E-2</v>
      </c>
    </row>
    <row r="493" spans="2:12" hidden="1" outlineLevel="1" x14ac:dyDescent="0.3">
      <c r="B493" s="4">
        <v>44598</v>
      </c>
      <c r="C493" s="18">
        <f t="shared" si="32"/>
        <v>-2.6083137771556353E-2</v>
      </c>
      <c r="D493" s="18">
        <f t="shared" si="33"/>
        <v>8.436531595753527E-3</v>
      </c>
      <c r="E493" s="18">
        <f t="shared" si="34"/>
        <v>-1.1196279390233155E-3</v>
      </c>
      <c r="F493" s="18">
        <f t="shared" si="35"/>
        <v>-1.7779042065213524E-3</v>
      </c>
      <c r="G493" s="18">
        <f t="shared" si="36"/>
        <v>-9.0731595268174203E-3</v>
      </c>
      <c r="H493" s="18">
        <f t="shared" si="37"/>
        <v>2.3751631644954196E-2</v>
      </c>
      <c r="I493" s="18">
        <f t="shared" si="38"/>
        <v>8.7562462989704715E-2</v>
      </c>
      <c r="J493" s="18">
        <f t="shared" si="39"/>
        <v>1.9264667101555943E-2</v>
      </c>
      <c r="K493" s="18">
        <f t="shared" si="40"/>
        <v>-6.7506080510927324E-3</v>
      </c>
      <c r="L493" s="19">
        <f t="shared" si="41"/>
        <v>5.1186797671538775E-2</v>
      </c>
    </row>
    <row r="494" spans="2:12" hidden="1" outlineLevel="1" x14ac:dyDescent="0.3">
      <c r="B494" s="4">
        <v>44591</v>
      </c>
      <c r="C494" s="18">
        <f t="shared" si="32"/>
        <v>3.2463250214185946E-2</v>
      </c>
      <c r="D494" s="18">
        <f t="shared" si="33"/>
        <v>1.1473973242974722E-2</v>
      </c>
      <c r="E494" s="18">
        <f t="shared" si="34"/>
        <v>8.6221762372939992E-5</v>
      </c>
      <c r="F494" s="18">
        <f t="shared" si="35"/>
        <v>1.8345029031453519E-2</v>
      </c>
      <c r="G494" s="18">
        <f t="shared" si="36"/>
        <v>1.6349385720908716E-2</v>
      </c>
      <c r="H494" s="18">
        <f t="shared" si="37"/>
        <v>4.7026175654391267E-2</v>
      </c>
      <c r="I494" s="18">
        <f t="shared" si="38"/>
        <v>2.3828514932822564E-2</v>
      </c>
      <c r="J494" s="18">
        <f t="shared" si="39"/>
        <v>-1.2691150237618576E-2</v>
      </c>
      <c r="K494" s="18">
        <f t="shared" si="40"/>
        <v>1.6758008362345977E-2</v>
      </c>
      <c r="L494" s="19">
        <f t="shared" si="41"/>
        <v>3.3798661264752505E-2</v>
      </c>
    </row>
    <row r="495" spans="2:12" hidden="1" outlineLevel="1" x14ac:dyDescent="0.3">
      <c r="B495" s="4">
        <v>44584</v>
      </c>
      <c r="C495" s="18">
        <f t="shared" si="32"/>
        <v>-3.2725446361549504E-2</v>
      </c>
      <c r="D495" s="18">
        <f t="shared" si="33"/>
        <v>-3.1530490833689417E-2</v>
      </c>
      <c r="E495" s="18">
        <f t="shared" si="34"/>
        <v>-7.1618242951978717E-2</v>
      </c>
      <c r="F495" s="18">
        <f t="shared" si="35"/>
        <v>-3.4280117531831578E-2</v>
      </c>
      <c r="G495" s="18">
        <f t="shared" si="36"/>
        <v>-2.5929225615623053E-2</v>
      </c>
      <c r="H495" s="18">
        <f t="shared" si="37"/>
        <v>-5.8970073225087516E-2</v>
      </c>
      <c r="I495" s="18">
        <f t="shared" si="38"/>
        <v>-2.1505877962306741E-3</v>
      </c>
      <c r="J495" s="18">
        <f t="shared" si="39"/>
        <v>-5.8216674712088912E-2</v>
      </c>
      <c r="K495" s="18">
        <f t="shared" si="40"/>
        <v>-4.1122597768565861E-3</v>
      </c>
      <c r="L495" s="19">
        <f t="shared" si="41"/>
        <v>3.8657323592681259E-3</v>
      </c>
    </row>
    <row r="496" spans="2:12" hidden="1" outlineLevel="1" x14ac:dyDescent="0.3">
      <c r="B496" s="4">
        <v>44577</v>
      </c>
      <c r="C496" s="18">
        <f t="shared" si="32"/>
        <v>3.8875500194716306E-2</v>
      </c>
      <c r="D496" s="18">
        <f t="shared" si="33"/>
        <v>5.9007007603995909E-2</v>
      </c>
      <c r="E496" s="18">
        <f t="shared" si="34"/>
        <v>8.0987713938133199E-2</v>
      </c>
      <c r="F496" s="18">
        <f t="shared" si="35"/>
        <v>9.5769342219646392E-2</v>
      </c>
      <c r="G496" s="18">
        <f t="shared" si="36"/>
        <v>0.12965822034580388</v>
      </c>
      <c r="H496" s="18">
        <f t="shared" si="37"/>
        <v>8.1577589633852421E-2</v>
      </c>
      <c r="I496" s="18">
        <f t="shared" si="38"/>
        <v>3.4034754720686511E-3</v>
      </c>
      <c r="J496" s="18">
        <f t="shared" si="39"/>
        <v>7.6137894675180284E-2</v>
      </c>
      <c r="K496" s="18">
        <f t="shared" si="40"/>
        <v>-4.8366400157932032E-3</v>
      </c>
      <c r="L496" s="19">
        <f t="shared" si="41"/>
        <v>0.10334694743542139</v>
      </c>
    </row>
    <row r="497" spans="2:12" hidden="1" outlineLevel="1" x14ac:dyDescent="0.3">
      <c r="B497" s="4">
        <v>44570</v>
      </c>
      <c r="C497" s="18">
        <f t="shared" si="32"/>
        <v>3.5122698553259779E-2</v>
      </c>
      <c r="D497" s="18">
        <f t="shared" si="33"/>
        <v>8.0447600651014417E-2</v>
      </c>
      <c r="E497" s="18">
        <f t="shared" si="34"/>
        <v>0.14490910965258941</v>
      </c>
      <c r="F497" s="18">
        <f t="shared" si="35"/>
        <v>5.7450747058045648E-2</v>
      </c>
      <c r="G497" s="18">
        <f t="shared" si="36"/>
        <v>9.0486893326510609E-2</v>
      </c>
      <c r="H497" s="18">
        <f t="shared" si="37"/>
        <v>0.10706465638587392</v>
      </c>
      <c r="I497" s="18">
        <f t="shared" si="38"/>
        <v>3.3462705065066434E-2</v>
      </c>
      <c r="J497" s="18">
        <f t="shared" si="39"/>
        <v>0.11536001524162054</v>
      </c>
      <c r="K497" s="18">
        <f t="shared" si="40"/>
        <v>7.9051775441380645E-2</v>
      </c>
      <c r="L497" s="19">
        <f t="shared" si="41"/>
        <v>9.3878296653109983E-2</v>
      </c>
    </row>
    <row r="498" spans="2:12" hidden="1" outlineLevel="1" x14ac:dyDescent="0.3">
      <c r="B498" s="4">
        <v>44563</v>
      </c>
      <c r="C498" s="18">
        <f t="shared" si="32"/>
        <v>-2.88924811319764E-2</v>
      </c>
      <c r="D498" s="18">
        <f t="shared" si="33"/>
        <v>-5.9633888269204682E-2</v>
      </c>
      <c r="E498" s="18">
        <f t="shared" si="34"/>
        <v>-3.4883546431358381E-2</v>
      </c>
      <c r="F498" s="18">
        <f t="shared" si="35"/>
        <v>0.11206627070959674</v>
      </c>
      <c r="G498" s="18">
        <f t="shared" si="36"/>
        <v>-1.9506168439684668E-2</v>
      </c>
      <c r="H498" s="18">
        <f t="shared" si="37"/>
        <v>1.7956162099924233E-2</v>
      </c>
      <c r="I498" s="18">
        <f t="shared" si="38"/>
        <v>2.2393140043911686E-2</v>
      </c>
      <c r="J498" s="18">
        <f t="shared" si="39"/>
        <v>-2.3840897999023891E-2</v>
      </c>
      <c r="K498" s="18">
        <f t="shared" si="40"/>
        <v>-7.2004167049667389E-3</v>
      </c>
      <c r="L498" s="19">
        <f t="shared" si="41"/>
        <v>1.1892309991122563E-2</v>
      </c>
    </row>
    <row r="499" spans="2:12" hidden="1" outlineLevel="1" x14ac:dyDescent="0.3">
      <c r="B499" s="4">
        <v>44556</v>
      </c>
      <c r="C499" s="18">
        <f t="shared" si="32"/>
        <v>-2.9881802312069938E-2</v>
      </c>
      <c r="D499" s="18">
        <f t="shared" si="33"/>
        <v>4.0484887452677976E-2</v>
      </c>
      <c r="E499" s="18">
        <f t="shared" si="34"/>
        <v>2.2118905638960351E-2</v>
      </c>
      <c r="F499" s="18">
        <f t="shared" si="35"/>
        <v>5.3970484891074921E-3</v>
      </c>
      <c r="G499" s="18">
        <f t="shared" si="36"/>
        <v>5.0886577453611359E-2</v>
      </c>
      <c r="H499" s="18">
        <f t="shared" si="37"/>
        <v>1.7563094602002671E-2</v>
      </c>
      <c r="I499" s="18">
        <f t="shared" si="38"/>
        <v>7.9042755847179569E-2</v>
      </c>
      <c r="J499" s="18">
        <f t="shared" si="39"/>
        <v>-9.7742669299802909E-3</v>
      </c>
      <c r="K499" s="18">
        <f t="shared" si="40"/>
        <v>4.8299487685945275E-2</v>
      </c>
      <c r="L499" s="19">
        <f t="shared" si="41"/>
        <v>2.33053055835446E-2</v>
      </c>
    </row>
    <row r="500" spans="2:12" hidden="1" outlineLevel="1" x14ac:dyDescent="0.3">
      <c r="B500" s="4">
        <v>44549</v>
      </c>
      <c r="C500" s="18">
        <f t="shared" si="32"/>
        <v>-1.8041782729805056E-2</v>
      </c>
      <c r="D500" s="18">
        <f t="shared" si="33"/>
        <v>-1.2843802106362268E-2</v>
      </c>
      <c r="E500" s="18">
        <f t="shared" si="34"/>
        <v>-4.0861654547114101E-2</v>
      </c>
      <c r="F500" s="18">
        <f t="shared" si="35"/>
        <v>-2.3597170576229454E-2</v>
      </c>
      <c r="G500" s="18">
        <f t="shared" si="36"/>
        <v>-3.727957664881576E-2</v>
      </c>
      <c r="H500" s="18">
        <f t="shared" si="37"/>
        <v>-2.2565466448445148E-2</v>
      </c>
      <c r="I500" s="18">
        <f t="shared" si="38"/>
        <v>-5.8377366663806218E-2</v>
      </c>
      <c r="J500" s="18">
        <f t="shared" si="39"/>
        <v>-1.4023528223770509E-2</v>
      </c>
      <c r="K500" s="18">
        <f t="shared" si="40"/>
        <v>-5.2609886065887457E-2</v>
      </c>
      <c r="L500" s="19">
        <f t="shared" si="41"/>
        <v>-4.1551011400001725E-2</v>
      </c>
    </row>
    <row r="501" spans="2:12" hidden="1" outlineLevel="1" x14ac:dyDescent="0.3">
      <c r="B501" s="4">
        <v>44542</v>
      </c>
      <c r="C501" s="18">
        <f t="shared" si="32"/>
        <v>-2.3578603381906982E-2</v>
      </c>
      <c r="D501" s="18">
        <f t="shared" si="33"/>
        <v>-2.2886468867710619E-2</v>
      </c>
      <c r="E501" s="18">
        <f t="shared" si="34"/>
        <v>-7.413399314807767E-2</v>
      </c>
      <c r="F501" s="18">
        <f t="shared" si="35"/>
        <v>-3.9601408813675909E-2</v>
      </c>
      <c r="G501" s="18">
        <f t="shared" si="36"/>
        <v>-4.6962384584984918E-2</v>
      </c>
      <c r="H501" s="18">
        <f t="shared" si="37"/>
        <v>-2.6267869476944927E-2</v>
      </c>
      <c r="I501" s="18">
        <f t="shared" si="38"/>
        <v>4.7869939587530386E-3</v>
      </c>
      <c r="J501" s="18">
        <f t="shared" si="39"/>
        <v>5.7890491979567971E-2</v>
      </c>
      <c r="K501" s="18">
        <f t="shared" si="40"/>
        <v>1.4030453697948975E-2</v>
      </c>
      <c r="L501" s="19">
        <f t="shared" si="41"/>
        <v>-4.4751665013461839E-2</v>
      </c>
    </row>
    <row r="502" spans="2:12" hidden="1" outlineLevel="1" x14ac:dyDescent="0.3">
      <c r="B502" s="4">
        <v>44535</v>
      </c>
      <c r="C502" s="18">
        <f t="shared" si="32"/>
        <v>1.4633466100734793E-2</v>
      </c>
      <c r="D502" s="18">
        <f t="shared" si="33"/>
        <v>-3.3833153839781249E-2</v>
      </c>
      <c r="E502" s="18">
        <f t="shared" si="34"/>
        <v>-7.8545242745058363E-3</v>
      </c>
      <c r="F502" s="18">
        <f t="shared" si="35"/>
        <v>-4.8509242695289112E-2</v>
      </c>
      <c r="G502" s="18">
        <f t="shared" si="36"/>
        <v>-2.4471767936015354E-2</v>
      </c>
      <c r="H502" s="18">
        <f t="shared" si="37"/>
        <v>-5.2319332788788198E-2</v>
      </c>
      <c r="I502" s="18">
        <f t="shared" si="38"/>
        <v>-6.520415171109073E-2</v>
      </c>
      <c r="J502" s="18">
        <f t="shared" si="39"/>
        <v>4.2512252677436857E-2</v>
      </c>
      <c r="K502" s="18">
        <f t="shared" si="40"/>
        <v>-3.9608966795887435E-2</v>
      </c>
      <c r="L502" s="19">
        <f t="shared" si="41"/>
        <v>-1.4389156213204246E-2</v>
      </c>
    </row>
    <row r="503" spans="2:12" hidden="1" outlineLevel="1" x14ac:dyDescent="0.3">
      <c r="B503" s="4">
        <v>44528</v>
      </c>
      <c r="C503" s="18">
        <f t="shared" si="32"/>
        <v>1.0050164925783367E-3</v>
      </c>
      <c r="D503" s="18">
        <f t="shared" si="33"/>
        <v>-1.3473267824784751E-2</v>
      </c>
      <c r="E503" s="18">
        <f t="shared" si="34"/>
        <v>7.9167062358092011E-3</v>
      </c>
      <c r="F503" s="18">
        <f t="shared" si="35"/>
        <v>3.9168990693447814E-3</v>
      </c>
      <c r="G503" s="18">
        <f t="shared" si="36"/>
        <v>-5.8286317850425595E-3</v>
      </c>
      <c r="H503" s="18">
        <f t="shared" si="37"/>
        <v>3.5633278896751941E-2</v>
      </c>
      <c r="I503" s="18">
        <f t="shared" si="38"/>
        <v>-3.0957892645422369E-4</v>
      </c>
      <c r="J503" s="18">
        <f t="shared" si="39"/>
        <v>-3.4672888517434997E-2</v>
      </c>
      <c r="K503" s="18">
        <f t="shared" si="40"/>
        <v>-1.5013242285969564E-2</v>
      </c>
      <c r="L503" s="19">
        <f t="shared" si="41"/>
        <v>6.547075921623291E-3</v>
      </c>
    </row>
    <row r="504" spans="2:12" hidden="1" outlineLevel="1" x14ac:dyDescent="0.3">
      <c r="B504" s="4">
        <v>44521</v>
      </c>
      <c r="C504" s="18">
        <f t="shared" si="32"/>
        <v>-5.3180930151401906E-2</v>
      </c>
      <c r="D504" s="18">
        <f t="shared" si="33"/>
        <v>-2.5292324807917321E-2</v>
      </c>
      <c r="E504" s="18">
        <f t="shared" si="34"/>
        <v>-5.237777092541207E-2</v>
      </c>
      <c r="F504" s="18">
        <f t="shared" si="35"/>
        <v>-3.0120481927710774E-2</v>
      </c>
      <c r="G504" s="18">
        <f t="shared" si="36"/>
        <v>-4.1363539190090948E-2</v>
      </c>
      <c r="H504" s="18">
        <f t="shared" si="37"/>
        <v>-2.9282288267373335E-2</v>
      </c>
      <c r="I504" s="18">
        <f t="shared" si="38"/>
        <v>-9.8508938970955251E-2</v>
      </c>
      <c r="J504" s="18">
        <f t="shared" si="39"/>
        <v>5.7118120272723338E-3</v>
      </c>
      <c r="K504" s="18">
        <f t="shared" si="40"/>
        <v>-8.957351345222464E-3</v>
      </c>
      <c r="L504" s="19">
        <f t="shared" si="41"/>
        <v>-1.5420128407614753E-2</v>
      </c>
    </row>
    <row r="505" spans="2:12" hidden="1" outlineLevel="1" x14ac:dyDescent="0.3">
      <c r="B505" s="4">
        <v>44514</v>
      </c>
      <c r="C505" s="18">
        <f t="shared" si="32"/>
        <v>8.3684030851309821E-3</v>
      </c>
      <c r="D505" s="18">
        <f t="shared" si="33"/>
        <v>5.1873472954576449E-2</v>
      </c>
      <c r="E505" s="18">
        <f t="shared" si="34"/>
        <v>9.1473610947909734E-3</v>
      </c>
      <c r="F505" s="18">
        <f t="shared" si="35"/>
        <v>4.8273420654587618E-2</v>
      </c>
      <c r="G505" s="18">
        <f t="shared" si="36"/>
        <v>2.6416088878076449E-2</v>
      </c>
      <c r="H505" s="18">
        <f t="shared" si="37"/>
        <v>7.5109426469924578E-2</v>
      </c>
      <c r="I505" s="18">
        <f t="shared" si="38"/>
        <v>6.4554995565080597E-2</v>
      </c>
      <c r="J505" s="18">
        <f t="shared" si="39"/>
        <v>4.6367592902577748E-2</v>
      </c>
      <c r="K505" s="18">
        <f t="shared" si="40"/>
        <v>9.1510852510460428E-2</v>
      </c>
      <c r="L505" s="19">
        <f t="shared" si="41"/>
        <v>5.7796170968078764E-2</v>
      </c>
    </row>
    <row r="506" spans="2:12" hidden="1" outlineLevel="1" x14ac:dyDescent="0.3">
      <c r="B506" s="4">
        <v>44507</v>
      </c>
      <c r="C506" s="18">
        <f t="shared" si="32"/>
        <v>1.4488715519643369E-2</v>
      </c>
      <c r="D506" s="18">
        <f t="shared" si="33"/>
        <v>4.4647146256138193E-4</v>
      </c>
      <c r="E506" s="18">
        <f t="shared" si="34"/>
        <v>4.655828742890411E-2</v>
      </c>
      <c r="F506" s="18">
        <f t="shared" si="35"/>
        <v>1.3170417216713082E-2</v>
      </c>
      <c r="G506" s="18">
        <f t="shared" si="36"/>
        <v>1.1001599873590173E-2</v>
      </c>
      <c r="H506" s="18">
        <f t="shared" si="37"/>
        <v>1.3375025357984738E-2</v>
      </c>
      <c r="I506" s="18">
        <f t="shared" si="38"/>
        <v>-3.4820886752651159E-3</v>
      </c>
      <c r="J506" s="18">
        <f t="shared" si="39"/>
        <v>1.7048700779303871E-2</v>
      </c>
      <c r="K506" s="18">
        <f t="shared" si="40"/>
        <v>4.267553119805978E-3</v>
      </c>
      <c r="L506" s="19">
        <f t="shared" si="41"/>
        <v>-2.7655641499614303E-2</v>
      </c>
    </row>
    <row r="507" spans="2:12" hidden="1" outlineLevel="1" x14ac:dyDescent="0.3">
      <c r="B507" s="4">
        <v>44500</v>
      </c>
      <c r="C507" s="18">
        <f t="shared" si="32"/>
        <v>-4.9348371149365855E-3</v>
      </c>
      <c r="D507" s="18">
        <f t="shared" si="33"/>
        <v>-4.0164499327767222E-2</v>
      </c>
      <c r="E507" s="18">
        <f t="shared" si="34"/>
        <v>9.1661460250078708E-3</v>
      </c>
      <c r="F507" s="18">
        <f t="shared" si="35"/>
        <v>-9.6054784558510242E-3</v>
      </c>
      <c r="G507" s="18">
        <f t="shared" si="36"/>
        <v>-4.9935529246278199E-2</v>
      </c>
      <c r="H507" s="18">
        <f t="shared" si="37"/>
        <v>-6.6026990646464001E-2</v>
      </c>
      <c r="I507" s="18">
        <f t="shared" si="38"/>
        <v>-2.3536689687836843E-2</v>
      </c>
      <c r="J507" s="18">
        <f t="shared" si="39"/>
        <v>-5.2243668966137635E-3</v>
      </c>
      <c r="K507" s="18">
        <f t="shared" si="40"/>
        <v>-1.0973936899862924E-2</v>
      </c>
      <c r="L507" s="19">
        <f t="shared" si="41"/>
        <v>-6.2126245847176076E-2</v>
      </c>
    </row>
    <row r="508" spans="2:12" hidden="1" outlineLevel="1" x14ac:dyDescent="0.3">
      <c r="B508" s="4">
        <v>44493</v>
      </c>
      <c r="C508" s="18">
        <f t="shared" si="32"/>
        <v>-3.16078138077176E-2</v>
      </c>
      <c r="D508" s="18">
        <f t="shared" si="33"/>
        <v>-2.3965346767738427E-2</v>
      </c>
      <c r="E508" s="18">
        <f t="shared" si="34"/>
        <v>-3.3261529589361793E-2</v>
      </c>
      <c r="F508" s="18">
        <f t="shared" si="35"/>
        <v>-1.0616490744990159E-2</v>
      </c>
      <c r="G508" s="18">
        <f t="shared" si="36"/>
        <v>-2.826101857563923E-2</v>
      </c>
      <c r="H508" s="18">
        <f t="shared" si="37"/>
        <v>-1.2224685883222453E-2</v>
      </c>
      <c r="I508" s="18">
        <f t="shared" si="38"/>
        <v>-3.1028355630787874E-2</v>
      </c>
      <c r="J508" s="18">
        <f t="shared" si="39"/>
        <v>-5.7600433697391207E-4</v>
      </c>
      <c r="K508" s="18">
        <f t="shared" si="40"/>
        <v>-2.4362298739673105E-2</v>
      </c>
      <c r="L508" s="19">
        <f t="shared" si="41"/>
        <v>-4.1514149643798848E-2</v>
      </c>
    </row>
    <row r="509" spans="2:12" hidden="1" outlineLevel="1" x14ac:dyDescent="0.3">
      <c r="B509" s="4">
        <v>44486</v>
      </c>
      <c r="C509" s="18">
        <f t="shared" si="32"/>
        <v>2.9752491633260991E-2</v>
      </c>
      <c r="D509" s="18">
        <f t="shared" si="33"/>
        <v>3.1210805595754954E-2</v>
      </c>
      <c r="E509" s="18">
        <f t="shared" si="34"/>
        <v>4.3932907572461266E-2</v>
      </c>
      <c r="F509" s="18">
        <f t="shared" si="35"/>
        <v>5.5105448698125947E-2</v>
      </c>
      <c r="G509" s="18">
        <f t="shared" si="36"/>
        <v>2.6790437831089031E-2</v>
      </c>
      <c r="H509" s="18">
        <f t="shared" si="37"/>
        <v>-2.0771291321850294E-2</v>
      </c>
      <c r="I509" s="18">
        <f t="shared" si="38"/>
        <v>-1.3204135422838936E-2</v>
      </c>
      <c r="J509" s="18">
        <f t="shared" si="39"/>
        <v>2.8093569894903414E-2</v>
      </c>
      <c r="K509" s="18">
        <f t="shared" si="40"/>
        <v>5.8409048766918659E-3</v>
      </c>
      <c r="L509" s="19">
        <f t="shared" si="41"/>
        <v>0.10821382007822677</v>
      </c>
    </row>
    <row r="510" spans="2:12" hidden="1" outlineLevel="1" x14ac:dyDescent="0.3">
      <c r="B510" s="4">
        <v>44479</v>
      </c>
      <c r="C510" s="18">
        <f t="shared" si="32"/>
        <v>3.2184523809523746E-2</v>
      </c>
      <c r="D510" s="18">
        <f t="shared" si="33"/>
        <v>-2.350657248444632E-3</v>
      </c>
      <c r="E510" s="18">
        <f t="shared" si="34"/>
        <v>4.7865546218487376E-2</v>
      </c>
      <c r="F510" s="18">
        <f t="shared" si="35"/>
        <v>3.7895662368112593E-2</v>
      </c>
      <c r="G510" s="18">
        <f t="shared" si="36"/>
        <v>-5.7101638443307179E-2</v>
      </c>
      <c r="H510" s="18">
        <f t="shared" si="37"/>
        <v>-6.7945289218308336E-2</v>
      </c>
      <c r="I510" s="18">
        <f t="shared" si="38"/>
        <v>8.7837173308763061E-2</v>
      </c>
      <c r="J510" s="18">
        <f t="shared" si="39"/>
        <v>5.0320963770664751E-2</v>
      </c>
      <c r="K510" s="18">
        <f t="shared" si="40"/>
        <v>3.6562509601498761E-3</v>
      </c>
      <c r="L510" s="19">
        <f t="shared" si="41"/>
        <v>3.827698008337177E-2</v>
      </c>
    </row>
    <row r="511" spans="2:12" hidden="1" outlineLevel="1" x14ac:dyDescent="0.3">
      <c r="B511" s="4">
        <v>44472</v>
      </c>
      <c r="C511" s="18">
        <f t="shared" si="32"/>
        <v>8.9768579123103542E-2</v>
      </c>
      <c r="D511" s="18">
        <f t="shared" si="33"/>
        <v>4.7182528983553684E-3</v>
      </c>
      <c r="E511" s="18">
        <f t="shared" si="34"/>
        <v>5.6746006287290651E-2</v>
      </c>
      <c r="F511" s="18">
        <f t="shared" si="35"/>
        <v>-6.6501002456724967E-2</v>
      </c>
      <c r="G511" s="18">
        <f t="shared" si="36"/>
        <v>6.39694578624872E-3</v>
      </c>
      <c r="H511" s="18">
        <f t="shared" si="37"/>
        <v>-1.8913246651035331E-2</v>
      </c>
      <c r="I511" s="18">
        <f t="shared" si="38"/>
        <v>-4.7360056339100454E-2</v>
      </c>
      <c r="J511" s="18">
        <f t="shared" si="39"/>
        <v>2.5012035079641226E-3</v>
      </c>
      <c r="K511" s="18">
        <f t="shared" si="40"/>
        <v>-5.8011387987509933E-3</v>
      </c>
      <c r="L511" s="19">
        <f t="shared" si="41"/>
        <v>7.4499027497725301E-3</v>
      </c>
    </row>
    <row r="512" spans="2:12" hidden="1" outlineLevel="1" x14ac:dyDescent="0.3">
      <c r="B512" s="4">
        <v>44465</v>
      </c>
      <c r="C512" s="18">
        <f t="shared" si="32"/>
        <v>-5.2200440802546377E-2</v>
      </c>
      <c r="D512" s="18">
        <f t="shared" si="33"/>
        <v>-3.4051067851288419E-2</v>
      </c>
      <c r="E512" s="18">
        <f t="shared" si="34"/>
        <v>-3.660868773335757E-2</v>
      </c>
      <c r="F512" s="18">
        <f t="shared" si="35"/>
        <v>-3.7661080525137614E-2</v>
      </c>
      <c r="G512" s="18">
        <f t="shared" si="36"/>
        <v>-4.7708334841563338E-2</v>
      </c>
      <c r="H512" s="18">
        <f t="shared" si="37"/>
        <v>-3.8898312874464103E-2</v>
      </c>
      <c r="I512" s="18">
        <f t="shared" si="38"/>
        <v>-9.2026593008096791E-2</v>
      </c>
      <c r="J512" s="18">
        <f t="shared" si="39"/>
        <v>-5.7916549225935032E-2</v>
      </c>
      <c r="K512" s="18">
        <f t="shared" si="40"/>
        <v>-6.8172370791187542E-2</v>
      </c>
      <c r="L512" s="19">
        <f t="shared" si="41"/>
        <v>-6.4888369333227058E-2</v>
      </c>
    </row>
    <row r="513" spans="2:12" hidden="1" outlineLevel="1" x14ac:dyDescent="0.3">
      <c r="B513" s="4">
        <v>44458</v>
      </c>
      <c r="C513" s="18">
        <f t="shared" si="32"/>
        <v>3.7826128223595656E-2</v>
      </c>
      <c r="D513" s="18">
        <f t="shared" si="33"/>
        <v>5.926972738582692E-2</v>
      </c>
      <c r="E513" s="18">
        <f t="shared" si="34"/>
        <v>6.6302738128997785E-2</v>
      </c>
      <c r="F513" s="18">
        <f t="shared" si="35"/>
        <v>6.3244585546789134E-2</v>
      </c>
      <c r="G513" s="18">
        <f t="shared" si="36"/>
        <v>0.10464417938133352</v>
      </c>
      <c r="H513" s="18">
        <f t="shared" si="37"/>
        <v>8.3562286986158529E-2</v>
      </c>
      <c r="I513" s="18">
        <f t="shared" si="38"/>
        <v>3.0509574813372353E-2</v>
      </c>
      <c r="J513" s="18">
        <f t="shared" si="39"/>
        <v>4.3913790237686268E-2</v>
      </c>
      <c r="K513" s="18">
        <f t="shared" si="40"/>
        <v>0.10445270549359775</v>
      </c>
      <c r="L513" s="19">
        <f t="shared" si="41"/>
        <v>6.9987688228051681E-2</v>
      </c>
    </row>
    <row r="514" spans="2:12" hidden="1" outlineLevel="1" x14ac:dyDescent="0.3">
      <c r="B514" s="4">
        <v>44451</v>
      </c>
      <c r="C514" s="18">
        <f t="shared" si="32"/>
        <v>-1.1224742312409886E-2</v>
      </c>
      <c r="D514" s="18">
        <f t="shared" si="33"/>
        <v>-4.1129786312116612E-2</v>
      </c>
      <c r="E514" s="18">
        <f t="shared" si="34"/>
        <v>-6.9870350533742243E-2</v>
      </c>
      <c r="F514" s="18">
        <f t="shared" si="35"/>
        <v>-1.6614929785661481E-2</v>
      </c>
      <c r="G514" s="18">
        <f t="shared" si="36"/>
        <v>-4.1718855381057796E-2</v>
      </c>
      <c r="H514" s="18">
        <f t="shared" si="37"/>
        <v>-8.2823144262479276E-2</v>
      </c>
      <c r="I514" s="18">
        <f t="shared" si="38"/>
        <v>-5.764313359135198E-2</v>
      </c>
      <c r="J514" s="18">
        <f t="shared" si="39"/>
        <v>1.7068614130434812E-2</v>
      </c>
      <c r="K514" s="18">
        <f t="shared" si="40"/>
        <v>-4.4355019671787788E-2</v>
      </c>
      <c r="L514" s="19">
        <f t="shared" si="41"/>
        <v>-3.6165693043016423E-2</v>
      </c>
    </row>
    <row r="515" spans="2:12" hidden="1" outlineLevel="1" x14ac:dyDescent="0.3">
      <c r="B515" s="4">
        <v>44444</v>
      </c>
      <c r="C515" s="18">
        <f t="shared" si="32"/>
        <v>-9.521348222908399E-3</v>
      </c>
      <c r="D515" s="18">
        <f t="shared" si="33"/>
        <v>1.7837818553712026E-4</v>
      </c>
      <c r="E515" s="18">
        <f t="shared" si="34"/>
        <v>-5.1252114656055614E-2</v>
      </c>
      <c r="F515" s="18">
        <f t="shared" si="35"/>
        <v>-4.3892613414303616E-3</v>
      </c>
      <c r="G515" s="18">
        <f t="shared" si="36"/>
        <v>-1.2610956306914445E-2</v>
      </c>
      <c r="H515" s="18">
        <f t="shared" si="37"/>
        <v>-4.9114211976728939E-2</v>
      </c>
      <c r="I515" s="18">
        <f t="shared" si="38"/>
        <v>-1.2009494298322654E-2</v>
      </c>
      <c r="J515" s="18">
        <f t="shared" si="39"/>
        <v>-4.8530516823912517E-3</v>
      </c>
      <c r="K515" s="18">
        <f t="shared" si="40"/>
        <v>-7.1240725086878842E-2</v>
      </c>
      <c r="L515" s="19">
        <f t="shared" si="41"/>
        <v>-6.0563483754844216E-2</v>
      </c>
    </row>
    <row r="516" spans="2:12" hidden="1" outlineLevel="1" x14ac:dyDescent="0.3">
      <c r="B516" s="4">
        <v>44437</v>
      </c>
      <c r="C516" s="18">
        <f t="shared" si="32"/>
        <v>1.3359150771089956E-2</v>
      </c>
      <c r="D516" s="18">
        <f t="shared" si="33"/>
        <v>5.3503911730434783E-3</v>
      </c>
      <c r="E516" s="18">
        <f t="shared" si="34"/>
        <v>-1.9857016089875668E-2</v>
      </c>
      <c r="F516" s="18">
        <f t="shared" si="35"/>
        <v>-1.0930941812362205E-2</v>
      </c>
      <c r="G516" s="18">
        <f t="shared" si="36"/>
        <v>6.0732573024553371E-3</v>
      </c>
      <c r="H516" s="18">
        <f t="shared" si="37"/>
        <v>4.9130102768397688E-3</v>
      </c>
      <c r="I516" s="18">
        <f t="shared" si="38"/>
        <v>-1.5492497434162589E-2</v>
      </c>
      <c r="J516" s="18">
        <f t="shared" si="39"/>
        <v>-3.8908873530429933E-3</v>
      </c>
      <c r="K516" s="18">
        <f t="shared" si="40"/>
        <v>-1.3797171798891061E-2</v>
      </c>
      <c r="L516" s="19">
        <f t="shared" si="41"/>
        <v>2.5083334147939063E-2</v>
      </c>
    </row>
    <row r="517" spans="2:12" hidden="1" outlineLevel="1" x14ac:dyDescent="0.3">
      <c r="B517" s="4">
        <v>44430</v>
      </c>
      <c r="C517" s="18">
        <f t="shared" si="32"/>
        <v>-3.1729812797627988E-2</v>
      </c>
      <c r="D517" s="18">
        <f t="shared" si="33"/>
        <v>4.7897251525617079E-3</v>
      </c>
      <c r="E517" s="18">
        <f t="shared" si="34"/>
        <v>-1.0044242496711653E-2</v>
      </c>
      <c r="F517" s="18">
        <f t="shared" si="35"/>
        <v>-3.0743397954510754E-2</v>
      </c>
      <c r="G517" s="18">
        <f t="shared" si="36"/>
        <v>2.3929498348069789E-3</v>
      </c>
      <c r="H517" s="18">
        <f t="shared" si="37"/>
        <v>-4.168459601739527E-2</v>
      </c>
      <c r="I517" s="18">
        <f t="shared" si="38"/>
        <v>-5.4587810488919919E-2</v>
      </c>
      <c r="J517" s="18">
        <f t="shared" si="39"/>
        <v>3.063802905874935E-3</v>
      </c>
      <c r="K517" s="18">
        <f t="shared" si="40"/>
        <v>-1.9459123194399797E-2</v>
      </c>
      <c r="L517" s="19">
        <f t="shared" si="41"/>
        <v>-3.170743336670967E-2</v>
      </c>
    </row>
    <row r="518" spans="2:12" hidden="1" outlineLevel="1" x14ac:dyDescent="0.3">
      <c r="B518" s="4">
        <v>44423</v>
      </c>
      <c r="C518" s="18">
        <f t="shared" si="32"/>
        <v>-4.3182403457503349E-2</v>
      </c>
      <c r="D518" s="18">
        <f t="shared" si="33"/>
        <v>1.4135897647155726E-2</v>
      </c>
      <c r="E518" s="18">
        <f t="shared" si="34"/>
        <v>-3.9212810380825913E-2</v>
      </c>
      <c r="F518" s="18">
        <f t="shared" si="35"/>
        <v>-2.3497543152324663E-2</v>
      </c>
      <c r="G518" s="18">
        <f t="shared" si="36"/>
        <v>-3.1964458291863118E-2</v>
      </c>
      <c r="H518" s="18">
        <f t="shared" si="37"/>
        <v>-6.025489147049834E-2</v>
      </c>
      <c r="I518" s="18">
        <f t="shared" si="38"/>
        <v>-2.2065889658231197E-2</v>
      </c>
      <c r="J518" s="18">
        <f t="shared" si="39"/>
        <v>-6.8142456781182137E-2</v>
      </c>
      <c r="K518" s="18">
        <f t="shared" si="40"/>
        <v>-1.6167658408541952E-2</v>
      </c>
      <c r="L518" s="19">
        <f t="shared" si="41"/>
        <v>-3.3543431160133919E-2</v>
      </c>
    </row>
    <row r="519" spans="2:12" hidden="1" outlineLevel="1" x14ac:dyDescent="0.3">
      <c r="B519" s="4">
        <v>44416</v>
      </c>
      <c r="C519" s="18">
        <f t="shared" si="32"/>
        <v>-2.69991954947707E-2</v>
      </c>
      <c r="D519" s="18">
        <f t="shared" si="33"/>
        <v>-1.1977437849632122E-2</v>
      </c>
      <c r="E519" s="18">
        <f t="shared" si="34"/>
        <v>1.876779123750838E-3</v>
      </c>
      <c r="F519" s="18">
        <f t="shared" si="35"/>
        <v>-7.3221082510804836E-3</v>
      </c>
      <c r="G519" s="18">
        <f t="shared" si="36"/>
        <v>-1.1473528929683674E-2</v>
      </c>
      <c r="H519" s="18">
        <f t="shared" si="37"/>
        <v>-1.1335332689472843E-2</v>
      </c>
      <c r="I519" s="18">
        <f t="shared" si="38"/>
        <v>-1.7990551181102377E-2</v>
      </c>
      <c r="J519" s="18">
        <f t="shared" si="39"/>
        <v>4.043749084806092E-2</v>
      </c>
      <c r="K519" s="18">
        <f t="shared" si="40"/>
        <v>-3.3058026935382623E-2</v>
      </c>
      <c r="L519" s="19">
        <f t="shared" si="41"/>
        <v>-1.941223225385702E-2</v>
      </c>
    </row>
    <row r="520" spans="2:12" hidden="1" outlineLevel="1" x14ac:dyDescent="0.3">
      <c r="B520" s="4">
        <v>44409</v>
      </c>
      <c r="C520" s="18">
        <f t="shared" si="32"/>
        <v>-4.4348097992759961E-2</v>
      </c>
      <c r="D520" s="18">
        <f t="shared" si="33"/>
        <v>-3.6209326911781914E-2</v>
      </c>
      <c r="E520" s="18">
        <f t="shared" si="34"/>
        <v>-6.2077619431746833E-2</v>
      </c>
      <c r="F520" s="18">
        <f t="shared" si="35"/>
        <v>-2.8432168968318461E-2</v>
      </c>
      <c r="G520" s="18">
        <f t="shared" si="36"/>
        <v>-8.5708686935680789E-2</v>
      </c>
      <c r="H520" s="18">
        <f t="shared" si="37"/>
        <v>-2.0555269922879149E-2</v>
      </c>
      <c r="I520" s="18">
        <f t="shared" si="38"/>
        <v>-1.9372137478029794E-3</v>
      </c>
      <c r="J520" s="18">
        <f t="shared" si="39"/>
        <v>-4.3012266019984979E-2</v>
      </c>
      <c r="K520" s="18">
        <f t="shared" si="40"/>
        <v>-2.1494974367994413E-2</v>
      </c>
      <c r="L520" s="19">
        <f t="shared" si="41"/>
        <v>-4.53085868085501E-3</v>
      </c>
    </row>
    <row r="521" spans="2:12" hidden="1" outlineLevel="1" x14ac:dyDescent="0.3">
      <c r="B521" s="4">
        <v>44402</v>
      </c>
      <c r="C521" s="18">
        <f t="shared" si="32"/>
        <v>-4.3008249277952104E-2</v>
      </c>
      <c r="D521" s="18">
        <f t="shared" si="33"/>
        <v>-2.4059233980316286E-2</v>
      </c>
      <c r="E521" s="18">
        <f t="shared" si="34"/>
        <v>-2.3814074385535844E-2</v>
      </c>
      <c r="F521" s="18">
        <f t="shared" si="35"/>
        <v>-1.8127090301003346E-2</v>
      </c>
      <c r="G521" s="18">
        <f t="shared" si="36"/>
        <v>-4.3533097024152978E-2</v>
      </c>
      <c r="H521" s="18">
        <f t="shared" si="37"/>
        <v>-1.6419775120471103E-2</v>
      </c>
      <c r="I521" s="18">
        <f t="shared" si="38"/>
        <v>7.950280220062611E-3</v>
      </c>
      <c r="J521" s="18">
        <f t="shared" si="39"/>
        <v>-2.3609665595728413E-2</v>
      </c>
      <c r="K521" s="18">
        <f t="shared" si="40"/>
        <v>-3.5220102233789463E-2</v>
      </c>
      <c r="L521" s="19">
        <f t="shared" si="41"/>
        <v>6.1434551585188846E-2</v>
      </c>
    </row>
    <row r="522" spans="2:12" hidden="1" outlineLevel="1" x14ac:dyDescent="0.3">
      <c r="B522" s="4">
        <v>44395</v>
      </c>
      <c r="C522" s="18">
        <f t="shared" si="32"/>
        <v>1.4330519173110234E-2</v>
      </c>
      <c r="D522" s="18">
        <f t="shared" si="33"/>
        <v>-1.2444816325001495E-2</v>
      </c>
      <c r="E522" s="18">
        <f t="shared" si="34"/>
        <v>-3.0200093977602038E-2</v>
      </c>
      <c r="F522" s="18">
        <f t="shared" si="35"/>
        <v>2.0437359493153506E-2</v>
      </c>
      <c r="G522" s="18">
        <f t="shared" si="36"/>
        <v>-6.4940661386377441E-2</v>
      </c>
      <c r="H522" s="18">
        <f t="shared" si="37"/>
        <v>-7.0991706426718815E-2</v>
      </c>
      <c r="I522" s="18">
        <f t="shared" si="38"/>
        <v>-3.3099745582768403E-2</v>
      </c>
      <c r="J522" s="18">
        <f t="shared" si="39"/>
        <v>-7.0293943852900553E-2</v>
      </c>
      <c r="K522" s="18">
        <f t="shared" si="40"/>
        <v>-2.6770950588052678E-2</v>
      </c>
      <c r="L522" s="19">
        <f t="shared" si="41"/>
        <v>-7.7784771533665031E-2</v>
      </c>
    </row>
    <row r="523" spans="2:12" hidden="1" outlineLevel="1" x14ac:dyDescent="0.3">
      <c r="B523" s="4">
        <v>44388</v>
      </c>
      <c r="C523" s="18">
        <f t="shared" si="32"/>
        <v>-5.6168668060349036E-3</v>
      </c>
      <c r="D523" s="18">
        <f t="shared" si="33"/>
        <v>-2.2010192597088918E-2</v>
      </c>
      <c r="E523" s="18">
        <f t="shared" si="34"/>
        <v>1.1073314019804714E-2</v>
      </c>
      <c r="F523" s="18">
        <f t="shared" si="35"/>
        <v>-3.5716670004673157E-2</v>
      </c>
      <c r="G523" s="18">
        <f t="shared" si="36"/>
        <v>-3.7356904529282753E-2</v>
      </c>
      <c r="H523" s="18">
        <f t="shared" si="37"/>
        <v>-1.6645985569189836E-2</v>
      </c>
      <c r="I523" s="18">
        <f t="shared" si="38"/>
        <v>-6.4970521900842959E-2</v>
      </c>
      <c r="J523" s="18">
        <f t="shared" si="39"/>
        <v>1.8194960245259129E-3</v>
      </c>
      <c r="K523" s="18">
        <f t="shared" si="40"/>
        <v>-5.5313819880111526E-2</v>
      </c>
      <c r="L523" s="19">
        <f t="shared" si="41"/>
        <v>-3.0009917989954116E-2</v>
      </c>
    </row>
    <row r="524" spans="2:12" hidden="1" outlineLevel="1" x14ac:dyDescent="0.3">
      <c r="B524" s="4">
        <v>44381</v>
      </c>
      <c r="C524" s="18">
        <f t="shared" si="32"/>
        <v>4.1785907523419485E-3</v>
      </c>
      <c r="D524" s="18">
        <f t="shared" si="33"/>
        <v>4.7907521028234257E-3</v>
      </c>
      <c r="E524" s="18">
        <f t="shared" si="34"/>
        <v>-2.8014056946607524E-2</v>
      </c>
      <c r="F524" s="18">
        <f t="shared" si="35"/>
        <v>-8.9933536416505144E-2</v>
      </c>
      <c r="G524" s="18">
        <f t="shared" si="36"/>
        <v>-4.660047299432224E-2</v>
      </c>
      <c r="H524" s="18">
        <f t="shared" si="37"/>
        <v>-5.4681073805428748E-2</v>
      </c>
      <c r="I524" s="18">
        <f t="shared" si="38"/>
        <v>-2.3436728590975009E-2</v>
      </c>
      <c r="J524" s="18">
        <f t="shared" si="39"/>
        <v>-1.877145842663086E-2</v>
      </c>
      <c r="K524" s="18">
        <f t="shared" si="40"/>
        <v>-6.7317110240475486E-2</v>
      </c>
      <c r="L524" s="19">
        <f t="shared" si="41"/>
        <v>-4.2042768401956976E-2</v>
      </c>
    </row>
    <row r="525" spans="2:12" hidden="1" outlineLevel="1" x14ac:dyDescent="0.3">
      <c r="B525" s="4">
        <v>44374</v>
      </c>
      <c r="C525" s="18">
        <f t="shared" si="32"/>
        <v>3.6564703132911713E-2</v>
      </c>
      <c r="D525" s="18">
        <f t="shared" si="33"/>
        <v>3.1335658306201886E-3</v>
      </c>
      <c r="E525" s="18">
        <f t="shared" si="34"/>
        <v>7.9808541670947086E-3</v>
      </c>
      <c r="F525" s="18">
        <f t="shared" si="35"/>
        <v>2.4343856979840428E-2</v>
      </c>
      <c r="G525" s="18">
        <f t="shared" si="36"/>
        <v>3.5802518729789012E-2</v>
      </c>
      <c r="H525" s="18">
        <f t="shared" si="37"/>
        <v>-2.7735479660648821E-3</v>
      </c>
      <c r="I525" s="18">
        <f t="shared" si="38"/>
        <v>5.5639412695088097E-2</v>
      </c>
      <c r="J525" s="18">
        <f t="shared" si="39"/>
        <v>-8.1048187730574539E-2</v>
      </c>
      <c r="K525" s="18">
        <f t="shared" si="40"/>
        <v>-3.3351590401911935E-2</v>
      </c>
      <c r="L525" s="19">
        <f t="shared" si="41"/>
        <v>-3.663449289001619E-2</v>
      </c>
    </row>
    <row r="526" spans="2:12" hidden="1" outlineLevel="1" x14ac:dyDescent="0.3">
      <c r="B526" s="4">
        <v>44367</v>
      </c>
      <c r="C526" s="18">
        <f t="shared" si="32"/>
        <v>1.6643233578310879E-2</v>
      </c>
      <c r="D526" s="18">
        <f t="shared" si="33"/>
        <v>4.0859263250396793E-3</v>
      </c>
      <c r="E526" s="18">
        <f t="shared" si="34"/>
        <v>1.1178478626381994E-2</v>
      </c>
      <c r="F526" s="18">
        <f t="shared" si="35"/>
        <v>1.6524322317118312E-2</v>
      </c>
      <c r="G526" s="18">
        <f t="shared" si="36"/>
        <v>8.7260880947015451E-5</v>
      </c>
      <c r="H526" s="18">
        <f t="shared" si="37"/>
        <v>4.269311426970801E-2</v>
      </c>
      <c r="I526" s="18">
        <f t="shared" si="38"/>
        <v>-0.10529052385285331</v>
      </c>
      <c r="J526" s="18">
        <f t="shared" si="39"/>
        <v>2.4142593052451922E-3</v>
      </c>
      <c r="K526" s="18">
        <f t="shared" si="40"/>
        <v>-4.0739682792400922E-2</v>
      </c>
      <c r="L526" s="19">
        <f t="shared" si="41"/>
        <v>-2.3648125424415412E-2</v>
      </c>
    </row>
    <row r="527" spans="2:12" hidden="1" outlineLevel="1" x14ac:dyDescent="0.3">
      <c r="B527" s="4">
        <v>44360</v>
      </c>
      <c r="C527" s="18">
        <f t="shared" si="32"/>
        <v>-2.4699381514427188E-2</v>
      </c>
      <c r="D527" s="18">
        <f t="shared" si="33"/>
        <v>-4.5036987824042751E-2</v>
      </c>
      <c r="E527" s="18">
        <f t="shared" si="34"/>
        <v>-2.0497420187036486E-2</v>
      </c>
      <c r="F527" s="18">
        <f t="shared" si="35"/>
        <v>4.2009132420091078E-3</v>
      </c>
      <c r="G527" s="18">
        <f t="shared" si="36"/>
        <v>-1.725675728080045E-2</v>
      </c>
      <c r="H527" s="18">
        <f t="shared" si="37"/>
        <v>-3.3912851223263818E-2</v>
      </c>
      <c r="I527" s="18">
        <f t="shared" si="38"/>
        <v>-3.0930515304678941E-2</v>
      </c>
      <c r="J527" s="18">
        <f t="shared" si="39"/>
        <v>-2.6602991976438561E-2</v>
      </c>
      <c r="K527" s="18">
        <f t="shared" si="40"/>
        <v>-1.6592547754221476E-2</v>
      </c>
      <c r="L527" s="19">
        <f t="shared" si="41"/>
        <v>-3.0907582302267089E-2</v>
      </c>
    </row>
    <row r="528" spans="2:12" hidden="1" outlineLevel="1" x14ac:dyDescent="0.3">
      <c r="B528" s="4">
        <v>44353</v>
      </c>
      <c r="C528" s="18">
        <f t="shared" si="32"/>
        <v>-7.124698005652963E-3</v>
      </c>
      <c r="D528" s="18">
        <f t="shared" si="33"/>
        <v>-3.7521406400513824E-2</v>
      </c>
      <c r="E528" s="18">
        <f t="shared" si="34"/>
        <v>8.3129282495524315E-3</v>
      </c>
      <c r="F528" s="18">
        <f t="shared" si="35"/>
        <v>8.1847944707165166E-3</v>
      </c>
      <c r="G528" s="18">
        <f t="shared" si="36"/>
        <v>2.1505800647148021E-3</v>
      </c>
      <c r="H528" s="18">
        <f t="shared" si="37"/>
        <v>2.48860649847924E-2</v>
      </c>
      <c r="I528" s="18">
        <f t="shared" si="38"/>
        <v>-7.7723069153804447E-3</v>
      </c>
      <c r="J528" s="18">
        <f t="shared" si="39"/>
        <v>4.3250197941409274E-2</v>
      </c>
      <c r="K528" s="18">
        <f t="shared" si="40"/>
        <v>-1.1367472152175262E-2</v>
      </c>
      <c r="L528" s="19">
        <f t="shared" si="41"/>
        <v>1.9893982699787927E-3</v>
      </c>
    </row>
    <row r="529" spans="2:12" hidden="1" outlineLevel="1" x14ac:dyDescent="0.3">
      <c r="B529" s="4">
        <v>44346</v>
      </c>
      <c r="C529" s="18">
        <f t="shared" si="32"/>
        <v>-3.9724672300875619E-2</v>
      </c>
      <c r="D529" s="18">
        <f t="shared" si="33"/>
        <v>-4.2327233300203604E-2</v>
      </c>
      <c r="E529" s="18">
        <f t="shared" si="34"/>
        <v>-4.7599126584086715E-2</v>
      </c>
      <c r="F529" s="18">
        <f t="shared" si="35"/>
        <v>-2.3633411510012414E-2</v>
      </c>
      <c r="G529" s="18">
        <f t="shared" si="36"/>
        <v>-5.013486110290799E-2</v>
      </c>
      <c r="H529" s="18">
        <f t="shared" si="37"/>
        <v>-7.6007539287129333E-2</v>
      </c>
      <c r="I529" s="18">
        <f t="shared" si="38"/>
        <v>-2.2990608125840084E-2</v>
      </c>
      <c r="J529" s="18">
        <f t="shared" si="39"/>
        <v>-4.7271199533793218E-2</v>
      </c>
      <c r="K529" s="18">
        <f t="shared" si="40"/>
        <v>-4.9904098171337896E-2</v>
      </c>
      <c r="L529" s="19">
        <f t="shared" si="41"/>
        <v>-7.1589238366905783E-2</v>
      </c>
    </row>
    <row r="530" spans="2:12" hidden="1" outlineLevel="1" x14ac:dyDescent="0.3">
      <c r="B530" s="4">
        <v>44339</v>
      </c>
      <c r="C530" s="18">
        <f t="shared" si="32"/>
        <v>-4.9685326267034924E-5</v>
      </c>
      <c r="D530" s="18">
        <f t="shared" si="33"/>
        <v>1.3999666156224277E-2</v>
      </c>
      <c r="E530" s="18">
        <f t="shared" si="34"/>
        <v>6.4066165993508228E-3</v>
      </c>
      <c r="F530" s="18">
        <f t="shared" si="35"/>
        <v>-4.619364375461954E-3</v>
      </c>
      <c r="G530" s="18">
        <f t="shared" si="36"/>
        <v>6.9124185174054276E-3</v>
      </c>
      <c r="H530" s="18">
        <f t="shared" si="37"/>
        <v>1.9148764776043325E-2</v>
      </c>
      <c r="I530" s="18">
        <f t="shared" si="38"/>
        <v>8.1233313798267925E-3</v>
      </c>
      <c r="J530" s="18">
        <f t="shared" si="39"/>
        <v>2.944565356548523E-3</v>
      </c>
      <c r="K530" s="18">
        <f t="shared" si="40"/>
        <v>1.3957077099506998E-2</v>
      </c>
      <c r="L530" s="19">
        <f t="shared" si="41"/>
        <v>-4.088952654232425E-2</v>
      </c>
    </row>
    <row r="531" spans="2:12" hidden="1" outlineLevel="1" x14ac:dyDescent="0.3">
      <c r="B531" s="4">
        <v>44332</v>
      </c>
      <c r="C531" s="18">
        <f t="shared" si="32"/>
        <v>-2.0070556668930095E-2</v>
      </c>
      <c r="D531" s="18">
        <f t="shared" si="33"/>
        <v>-3.5979616083825938E-2</v>
      </c>
      <c r="E531" s="18">
        <f t="shared" si="34"/>
        <v>-1.2625214234769366E-2</v>
      </c>
      <c r="F531" s="18">
        <f t="shared" si="35"/>
        <v>-4.8264340077965429E-2</v>
      </c>
      <c r="G531" s="18">
        <f t="shared" si="36"/>
        <v>-4.4575957184026405E-2</v>
      </c>
      <c r="H531" s="18">
        <f t="shared" si="37"/>
        <v>-6.9916215788963787E-2</v>
      </c>
      <c r="I531" s="18">
        <f t="shared" si="38"/>
        <v>-3.7511909183393422E-2</v>
      </c>
      <c r="J531" s="18">
        <f t="shared" si="39"/>
        <v>3.8124414943409013E-2</v>
      </c>
      <c r="K531" s="18">
        <f t="shared" si="40"/>
        <v>-7.7502814493599637E-2</v>
      </c>
      <c r="L531" s="19">
        <f t="shared" si="41"/>
        <v>-6.0075358801033096E-2</v>
      </c>
    </row>
    <row r="532" spans="2:12" hidden="1" outlineLevel="1" x14ac:dyDescent="0.3">
      <c r="B532" s="4">
        <v>44325</v>
      </c>
      <c r="C532" s="18">
        <f t="shared" si="32"/>
        <v>-9.41431787604885E-3</v>
      </c>
      <c r="D532" s="18">
        <f t="shared" si="33"/>
        <v>-2.8131055527095383E-2</v>
      </c>
      <c r="E532" s="18">
        <f t="shared" si="34"/>
        <v>-2.1810615290071556E-2</v>
      </c>
      <c r="F532" s="18">
        <f t="shared" si="35"/>
        <v>-2.7774527013848416E-2</v>
      </c>
      <c r="G532" s="18">
        <f t="shared" si="36"/>
        <v>-2.8870288379708842E-2</v>
      </c>
      <c r="H532" s="18">
        <f t="shared" si="37"/>
        <v>-1.567258900643409E-2</v>
      </c>
      <c r="I532" s="18">
        <f t="shared" si="38"/>
        <v>-4.6347560566404988E-2</v>
      </c>
      <c r="J532" s="18">
        <f t="shared" si="39"/>
        <v>9.4816515014892744E-3</v>
      </c>
      <c r="K532" s="18">
        <f t="shared" si="40"/>
        <v>1.5706747121371212E-3</v>
      </c>
      <c r="L532" s="19">
        <f t="shared" si="41"/>
        <v>5.8104618341241476E-3</v>
      </c>
    </row>
    <row r="533" spans="2:12" hidden="1" outlineLevel="1" x14ac:dyDescent="0.3">
      <c r="B533" s="4">
        <v>44318</v>
      </c>
      <c r="C533" s="18">
        <f t="shared" si="32"/>
        <v>2.6675448145481395E-2</v>
      </c>
      <c r="D533" s="18">
        <f t="shared" si="33"/>
        <v>2.7463293150601142E-2</v>
      </c>
      <c r="E533" s="18">
        <f t="shared" si="34"/>
        <v>6.6460928028215793E-3</v>
      </c>
      <c r="F533" s="18">
        <f t="shared" si="35"/>
        <v>3.3703807727801571E-2</v>
      </c>
      <c r="G533" s="18">
        <f t="shared" si="36"/>
        <v>3.0194455845322876E-2</v>
      </c>
      <c r="H533" s="18">
        <f t="shared" si="37"/>
        <v>4.7312426892441417E-2</v>
      </c>
      <c r="I533" s="18">
        <f t="shared" si="38"/>
        <v>-8.6732405020978343E-3</v>
      </c>
      <c r="J533" s="18">
        <f t="shared" si="39"/>
        <v>-3.4998917280207875E-2</v>
      </c>
      <c r="K533" s="18">
        <f t="shared" si="40"/>
        <v>3.2058080238277942E-2</v>
      </c>
      <c r="L533" s="19">
        <f t="shared" si="41"/>
        <v>9.3146840620381699E-3</v>
      </c>
    </row>
    <row r="534" spans="2:12" hidden="1" outlineLevel="1" x14ac:dyDescent="0.3">
      <c r="B534" s="4">
        <v>44311</v>
      </c>
      <c r="C534" s="18">
        <f t="shared" si="32"/>
        <v>-3.1041222104780331E-2</v>
      </c>
      <c r="D534" s="18">
        <f t="shared" si="33"/>
        <v>1.330884703748092E-3</v>
      </c>
      <c r="E534" s="18">
        <f t="shared" si="34"/>
        <v>-1.9040215475238931E-2</v>
      </c>
      <c r="F534" s="18">
        <f t="shared" si="35"/>
        <v>-4.3667274773900533E-2</v>
      </c>
      <c r="G534" s="18">
        <f t="shared" si="36"/>
        <v>-2.0943028501900551E-2</v>
      </c>
      <c r="H534" s="18">
        <f t="shared" si="37"/>
        <v>3.2280453559120126E-2</v>
      </c>
      <c r="I534" s="18">
        <f t="shared" si="38"/>
        <v>-9.7580237273396819E-2</v>
      </c>
      <c r="J534" s="18">
        <f t="shared" si="39"/>
        <v>-2.4277018877450818E-2</v>
      </c>
      <c r="K534" s="18">
        <f t="shared" si="40"/>
        <v>-4.4092809707305003E-2</v>
      </c>
      <c r="L534" s="19">
        <f t="shared" si="41"/>
        <v>-0.15135694742290917</v>
      </c>
    </row>
    <row r="535" spans="2:12" hidden="1" outlineLevel="1" x14ac:dyDescent="0.3">
      <c r="B535" s="4">
        <v>44304</v>
      </c>
      <c r="C535" s="18">
        <f t="shared" si="32"/>
        <v>2.4327745361365727E-2</v>
      </c>
      <c r="D535" s="18">
        <f t="shared" si="33"/>
        <v>-1.5177165938994319E-2</v>
      </c>
      <c r="E535" s="18">
        <f t="shared" si="34"/>
        <v>5.156595307721501E-2</v>
      </c>
      <c r="F535" s="18">
        <f t="shared" si="35"/>
        <v>-3.4621316665313762E-2</v>
      </c>
      <c r="G535" s="18">
        <f t="shared" si="36"/>
        <v>-1.0624023931548709E-2</v>
      </c>
      <c r="H535" s="18">
        <f t="shared" si="37"/>
        <v>2.7744360321184658E-3</v>
      </c>
      <c r="I535" s="18">
        <f t="shared" si="38"/>
        <v>-8.0108161258603761E-2</v>
      </c>
      <c r="J535" s="18">
        <f t="shared" si="39"/>
        <v>-6.0829943510945728E-2</v>
      </c>
      <c r="K535" s="18">
        <f t="shared" si="40"/>
        <v>-3.8699053108275039E-2</v>
      </c>
      <c r="L535" s="19">
        <f t="shared" si="41"/>
        <v>-6.2912810860735746E-3</v>
      </c>
    </row>
    <row r="536" spans="2:12" hidden="1" outlineLevel="1" x14ac:dyDescent="0.3">
      <c r="B536" s="4">
        <v>44297</v>
      </c>
      <c r="C536" s="18">
        <f t="shared" si="32"/>
        <v>2.7544196295514967E-2</v>
      </c>
      <c r="D536" s="18">
        <f t="shared" si="33"/>
        <v>1.4958682670848766E-2</v>
      </c>
      <c r="E536" s="18">
        <f t="shared" si="34"/>
        <v>5.9746959050671844E-2</v>
      </c>
      <c r="F536" s="18">
        <f t="shared" si="35"/>
        <v>-1.3664073996216053E-2</v>
      </c>
      <c r="G536" s="18">
        <f t="shared" si="36"/>
        <v>6.3250333481547294E-2</v>
      </c>
      <c r="H536" s="18">
        <f t="shared" si="37"/>
        <v>4.8411874717415593E-2</v>
      </c>
      <c r="I536" s="18">
        <f t="shared" si="38"/>
        <v>4.623047897982957E-2</v>
      </c>
      <c r="J536" s="18">
        <f t="shared" si="39"/>
        <v>3.0395322854650519E-2</v>
      </c>
      <c r="K536" s="18">
        <f t="shared" si="40"/>
        <v>6.9533666428742702E-3</v>
      </c>
      <c r="L536" s="19">
        <f t="shared" si="41"/>
        <v>0.11257453525078898</v>
      </c>
    </row>
    <row r="537" spans="2:12" hidden="1" outlineLevel="1" x14ac:dyDescent="0.3">
      <c r="B537" s="4">
        <v>44290</v>
      </c>
      <c r="C537" s="18">
        <f t="shared" ref="C537:C540" si="42">E268/E267-1</f>
        <v>3.9776949249761939E-2</v>
      </c>
      <c r="D537" s="18">
        <f t="shared" si="33"/>
        <v>6.4487133773102778E-2</v>
      </c>
      <c r="E537" s="18">
        <f t="shared" si="34"/>
        <v>3.2240617769898616E-2</v>
      </c>
      <c r="F537" s="18">
        <f t="shared" si="35"/>
        <v>-4.0707587382779131E-2</v>
      </c>
      <c r="G537" s="18">
        <f t="shared" si="36"/>
        <v>4.2268687924725601E-2</v>
      </c>
      <c r="H537" s="18">
        <f t="shared" si="37"/>
        <v>7.0586534479758933E-2</v>
      </c>
      <c r="I537" s="18">
        <f t="shared" si="38"/>
        <v>5.8777253315351663E-2</v>
      </c>
      <c r="J537" s="18">
        <f t="shared" si="39"/>
        <v>4.3356851095432525E-2</v>
      </c>
      <c r="K537" s="18">
        <f t="shared" si="40"/>
        <v>5.5112854349662399E-2</v>
      </c>
      <c r="L537" s="19">
        <f t="shared" si="41"/>
        <v>-1.2925802739638392E-3</v>
      </c>
    </row>
    <row r="538" spans="2:12" collapsed="1" x14ac:dyDescent="0.3">
      <c r="B538" s="4">
        <v>44283</v>
      </c>
      <c r="C538" s="18">
        <f t="shared" si="42"/>
        <v>-4.7332474509545697E-2</v>
      </c>
      <c r="D538" s="18">
        <f t="shared" ref="D538:D540" si="43">F269/F268-1</f>
        <v>-3.8751683566299322E-2</v>
      </c>
      <c r="E538" s="18">
        <f t="shared" ref="E538:E540" si="44">G269/G268-1</f>
        <v>-4.0936523645960676E-2</v>
      </c>
      <c r="F538" s="18">
        <f t="shared" ref="F538:F540" si="45">H269/H268-1</f>
        <v>-7.4872250610975466E-2</v>
      </c>
      <c r="G538" s="18">
        <f t="shared" ref="G538:G540" si="46">I269/I268-1</f>
        <v>-5.7787407340535335E-2</v>
      </c>
      <c r="H538" s="18">
        <f t="shared" ref="H538:H540" si="47">J269/J268-1</f>
        <v>-6.0702743776835932E-2</v>
      </c>
      <c r="I538" s="18">
        <f t="shared" ref="I538:I540" si="48">K269/K268-1</f>
        <v>-5.9576767569549549E-2</v>
      </c>
      <c r="J538" s="18">
        <f t="shared" ref="J538:J540" si="49">L269/L268-1</f>
        <v>-8.6299185695575376E-2</v>
      </c>
      <c r="K538" s="18">
        <f t="shared" ref="K538:K540" si="50">M269/M268-1</f>
        <v>-3.0315923837889613E-2</v>
      </c>
      <c r="L538" s="19">
        <f t="shared" ref="L538:L540" si="51">N269/N268-1</f>
        <v>-7.3993402465394542E-2</v>
      </c>
    </row>
    <row r="539" spans="2:12" x14ac:dyDescent="0.3">
      <c r="B539" s="4">
        <v>44276</v>
      </c>
      <c r="C539" s="18">
        <f t="shared" si="42"/>
        <v>-3.1025860367177804E-2</v>
      </c>
      <c r="D539" s="18">
        <f t="shared" si="43"/>
        <v>-3.5377221512370771E-2</v>
      </c>
      <c r="E539" s="18">
        <f t="shared" si="44"/>
        <v>-4.3938366905091897E-2</v>
      </c>
      <c r="F539" s="18">
        <f t="shared" si="45"/>
        <v>-3.0019212295869346E-2</v>
      </c>
      <c r="G539" s="18">
        <f t="shared" si="46"/>
        <v>-1.1604139164502758E-3</v>
      </c>
      <c r="H539" s="18">
        <f t="shared" si="47"/>
        <v>-4.0253999814812036E-2</v>
      </c>
      <c r="I539" s="18">
        <f t="shared" si="48"/>
        <v>-6.737330309777656E-2</v>
      </c>
      <c r="J539" s="18">
        <f t="shared" si="49"/>
        <v>-2.647159639774388E-2</v>
      </c>
      <c r="K539" s="18">
        <f t="shared" si="50"/>
        <v>-6.4398050853328948E-2</v>
      </c>
      <c r="L539" s="19">
        <f t="shared" si="51"/>
        <v>-4.6839046174299903E-2</v>
      </c>
    </row>
    <row r="540" spans="2:12" x14ac:dyDescent="0.3">
      <c r="B540" s="9">
        <v>44269</v>
      </c>
      <c r="C540" s="20">
        <f t="shared" si="42"/>
        <v>-5.4123798852331317E-3</v>
      </c>
      <c r="D540" s="20">
        <f t="shared" si="43"/>
        <v>6.178925423907522E-3</v>
      </c>
      <c r="E540" s="20">
        <f t="shared" si="44"/>
        <v>1.9788359788359688E-3</v>
      </c>
      <c r="F540" s="20">
        <f t="shared" si="45"/>
        <v>1.634067838573916E-2</v>
      </c>
      <c r="G540" s="20">
        <f t="shared" si="46"/>
        <v>-1.5667800006394783E-3</v>
      </c>
      <c r="H540" s="20">
        <f t="shared" si="47"/>
        <v>3.2391069225183866E-2</v>
      </c>
      <c r="I540" s="20">
        <f t="shared" si="48"/>
        <v>6.616716726628602E-2</v>
      </c>
      <c r="J540" s="20">
        <f t="shared" si="49"/>
        <v>2.5927052158187136E-2</v>
      </c>
      <c r="K540" s="20">
        <f t="shared" si="50"/>
        <v>1.8987966676951462E-2</v>
      </c>
      <c r="L540" s="21">
        <f t="shared" si="51"/>
        <v>6.1050410400386168E-2</v>
      </c>
    </row>
    <row r="542" spans="2:12" x14ac:dyDescent="0.3">
      <c r="B542" s="15" t="s">
        <v>18</v>
      </c>
    </row>
    <row r="544" spans="2:12" x14ac:dyDescent="0.3">
      <c r="C544" s="61" t="s">
        <v>4</v>
      </c>
      <c r="D544" s="57" t="s">
        <v>5</v>
      </c>
      <c r="E544" s="57" t="s">
        <v>6</v>
      </c>
      <c r="F544" s="57" t="s">
        <v>7</v>
      </c>
      <c r="G544" s="57" t="s">
        <v>8</v>
      </c>
      <c r="H544" s="57" t="s">
        <v>9</v>
      </c>
      <c r="I544" s="57" t="s">
        <v>10</v>
      </c>
      <c r="J544" s="57" t="s">
        <v>11</v>
      </c>
      <c r="K544" s="57" t="s">
        <v>12</v>
      </c>
      <c r="L544" s="59" t="s">
        <v>13</v>
      </c>
    </row>
    <row r="545" spans="2:12" x14ac:dyDescent="0.3">
      <c r="C545" s="62"/>
      <c r="D545" s="58"/>
      <c r="E545" s="58"/>
      <c r="F545" s="58"/>
      <c r="G545" s="58"/>
      <c r="H545" s="58"/>
      <c r="I545" s="58"/>
      <c r="J545" s="58"/>
      <c r="K545" s="58"/>
      <c r="L545" s="60"/>
    </row>
    <row r="546" spans="2:12" x14ac:dyDescent="0.3">
      <c r="B546" s="15" t="s">
        <v>19</v>
      </c>
      <c r="C546" s="22">
        <f>AVERAGE(C281:C540)</f>
        <v>1.1304279088531826E-3</v>
      </c>
      <c r="D546" s="22">
        <f t="shared" ref="D546:L546" si="52">AVERAGE(D281:D540)</f>
        <v>7.6289180852359651E-4</v>
      </c>
      <c r="E546" s="22">
        <f t="shared" si="52"/>
        <v>-7.5039000107188399E-4</v>
      </c>
      <c r="F546" s="22">
        <f t="shared" si="52"/>
        <v>7.2161874165389546E-4</v>
      </c>
      <c r="G546" s="22">
        <f t="shared" si="52"/>
        <v>-5.9098733913822191E-4</v>
      </c>
      <c r="H546" s="22">
        <f t="shared" si="52"/>
        <v>7.6205166020019228E-4</v>
      </c>
      <c r="I546" s="22">
        <f t="shared" si="52"/>
        <v>-4.9578057965392365E-3</v>
      </c>
      <c r="J546" s="22">
        <f t="shared" si="52"/>
        <v>-1.7797615603848973E-3</v>
      </c>
      <c r="K546" s="22">
        <f t="shared" si="52"/>
        <v>-6.9257917836266304E-5</v>
      </c>
      <c r="L546" s="22">
        <f t="shared" si="52"/>
        <v>-1.05400989158445E-3</v>
      </c>
    </row>
    <row r="547" spans="2:12" x14ac:dyDescent="0.3">
      <c r="B547" s="15" t="s">
        <v>20</v>
      </c>
      <c r="C547" s="16">
        <f>_xlfn.VAR.S(C281:C540)</f>
        <v>9.3606746274567864E-4</v>
      </c>
      <c r="D547" s="16">
        <f t="shared" ref="D547:L547" si="53">_xlfn.VAR.S(D281:D540)</f>
        <v>1.1879146217149866E-3</v>
      </c>
      <c r="E547" s="16">
        <f t="shared" si="53"/>
        <v>1.2524070992713824E-3</v>
      </c>
      <c r="F547" s="16">
        <f t="shared" si="53"/>
        <v>1.3307337895275982E-3</v>
      </c>
      <c r="G547" s="16">
        <f t="shared" si="53"/>
        <v>1.5611657583100766E-3</v>
      </c>
      <c r="H547" s="16">
        <f t="shared" si="53"/>
        <v>1.9571624955512755E-3</v>
      </c>
      <c r="I547" s="16">
        <f t="shared" si="53"/>
        <v>2.2989368885893767E-3</v>
      </c>
      <c r="J547" s="16">
        <f t="shared" si="53"/>
        <v>2.0747400941543643E-3</v>
      </c>
      <c r="K547" s="16">
        <f t="shared" si="53"/>
        <v>2.0253049299227967E-3</v>
      </c>
      <c r="L547" s="16">
        <f t="shared" si="53"/>
        <v>2.7804072111991549E-3</v>
      </c>
    </row>
    <row r="548" spans="2:12" x14ac:dyDescent="0.3">
      <c r="B548" s="15" t="s">
        <v>53</v>
      </c>
      <c r="C548" s="16">
        <v>0.05</v>
      </c>
      <c r="D548" s="16">
        <v>0.05</v>
      </c>
      <c r="E548" s="16">
        <v>7.4999999999999997E-2</v>
      </c>
      <c r="F548" s="16">
        <v>0.05</v>
      </c>
      <c r="G548" s="16">
        <v>7.4999999999999997E-2</v>
      </c>
      <c r="H548" s="16">
        <v>0.05</v>
      </c>
      <c r="I548" s="16">
        <v>0.35</v>
      </c>
      <c r="J548" s="16">
        <v>0.16500000000000001</v>
      </c>
      <c r="K548" s="16">
        <v>0.06</v>
      </c>
      <c r="L548" s="16">
        <v>0.15</v>
      </c>
    </row>
    <row r="549" spans="2:12" x14ac:dyDescent="0.3">
      <c r="B549" s="15" t="s">
        <v>63</v>
      </c>
      <c r="C549" s="16">
        <f>SQRT(_xlfn.VAR.S(C281:C540)*252)</f>
        <v>0.48568405431093886</v>
      </c>
      <c r="D549" s="16">
        <f t="shared" ref="C549:L549" si="54">SQRT(_xlfn.VAR.S(D281:D540)*252)</f>
        <v>0.54713296799971456</v>
      </c>
      <c r="E549" s="16">
        <f t="shared" si="54"/>
        <v>0.56178874055679362</v>
      </c>
      <c r="F549" s="16">
        <f t="shared" si="54"/>
        <v>0.57908972962828031</v>
      </c>
      <c r="G549" s="16">
        <f t="shared" si="54"/>
        <v>0.62722704907723748</v>
      </c>
      <c r="H549" s="16">
        <f t="shared" si="54"/>
        <v>0.70228551806150852</v>
      </c>
      <c r="I549" s="16">
        <f t="shared" si="54"/>
        <v>0.76113868376566107</v>
      </c>
      <c r="J549" s="16">
        <f t="shared" si="54"/>
        <v>0.723072958785557</v>
      </c>
      <c r="K549" s="16">
        <f t="shared" si="54"/>
        <v>0.71440663654570347</v>
      </c>
      <c r="L549" s="16">
        <f t="shared" si="54"/>
        <v>0.83705592239837057</v>
      </c>
    </row>
    <row r="550" spans="2:12" x14ac:dyDescent="0.3">
      <c r="C550" s="16"/>
      <c r="D550" s="16"/>
      <c r="E550" s="16"/>
      <c r="F550" s="16"/>
      <c r="G550" s="16"/>
      <c r="H550" s="16"/>
      <c r="I550" s="16"/>
      <c r="J550" s="16"/>
      <c r="K550" s="16"/>
      <c r="L550" s="16"/>
    </row>
    <row r="552" spans="2:12" x14ac:dyDescent="0.3">
      <c r="B552" s="15" t="s">
        <v>30</v>
      </c>
    </row>
    <row r="553" spans="2:12" ht="15" thickBot="1" x14ac:dyDescent="0.35"/>
    <row r="554" spans="2:12" ht="14.4" customHeight="1" x14ac:dyDescent="0.3">
      <c r="B554" s="23"/>
      <c r="C554" s="28" t="s">
        <v>4</v>
      </c>
      <c r="D554" s="28" t="s">
        <v>21</v>
      </c>
      <c r="E554" s="28" t="s">
        <v>22</v>
      </c>
      <c r="F554" s="28" t="s">
        <v>23</v>
      </c>
      <c r="G554" s="28" t="s">
        <v>24</v>
      </c>
      <c r="H554" s="28" t="s">
        <v>25</v>
      </c>
      <c r="I554" s="28" t="s">
        <v>26</v>
      </c>
      <c r="J554" s="28" t="s">
        <v>27</v>
      </c>
      <c r="K554" s="28" t="s">
        <v>28</v>
      </c>
      <c r="L554" s="28" t="s">
        <v>29</v>
      </c>
    </row>
    <row r="555" spans="2:12" x14ac:dyDescent="0.3">
      <c r="B555" s="26" t="s">
        <v>4</v>
      </c>
      <c r="C555" s="24">
        <v>9.324672032735798E-4</v>
      </c>
      <c r="D555" s="24">
        <v>7.7544254191738639E-4</v>
      </c>
      <c r="E555" s="24">
        <v>7.9593881161296753E-4</v>
      </c>
      <c r="F555" s="24">
        <v>6.7425318339693553E-4</v>
      </c>
      <c r="G555" s="24">
        <v>7.9114066677429264E-4</v>
      </c>
      <c r="H555" s="24">
        <v>7.9489817731465422E-4</v>
      </c>
      <c r="I555" s="24">
        <v>7.7491778649933264E-4</v>
      </c>
      <c r="J555" s="24">
        <v>6.2478068918681636E-4</v>
      </c>
      <c r="K555" s="24">
        <v>8.3835303843309017E-4</v>
      </c>
      <c r="L555" s="24">
        <v>9.1528929075817157E-4</v>
      </c>
    </row>
    <row r="556" spans="2:12" x14ac:dyDescent="0.3">
      <c r="B556" s="26" t="s">
        <v>21</v>
      </c>
      <c r="C556" s="24">
        <v>7.7544254191738639E-4</v>
      </c>
      <c r="D556" s="24">
        <v>1.1833457193237752E-3</v>
      </c>
      <c r="E556" s="24">
        <v>8.751795039393692E-4</v>
      </c>
      <c r="F556" s="24">
        <v>7.6087255707424882E-4</v>
      </c>
      <c r="G556" s="24">
        <v>9.8645308445160411E-4</v>
      </c>
      <c r="H556" s="24">
        <v>1.0711721888707634E-3</v>
      </c>
      <c r="I556" s="24">
        <v>1.0167497715750818E-3</v>
      </c>
      <c r="J556" s="24">
        <v>7.2495489128928292E-4</v>
      </c>
      <c r="K556" s="24">
        <v>9.9355645467012863E-4</v>
      </c>
      <c r="L556" s="24">
        <v>1.1317240520243431E-3</v>
      </c>
    </row>
    <row r="557" spans="2:12" x14ac:dyDescent="0.3">
      <c r="B557" s="26" t="s">
        <v>22</v>
      </c>
      <c r="C557" s="24">
        <v>7.9593881161296753E-4</v>
      </c>
      <c r="D557" s="24">
        <v>8.751795039393692E-4</v>
      </c>
      <c r="E557" s="24">
        <v>1.2475901488895693E-3</v>
      </c>
      <c r="F557" s="24">
        <v>7.2856430282884415E-4</v>
      </c>
      <c r="G557" s="24">
        <v>9.7571896485125725E-4</v>
      </c>
      <c r="H557" s="24">
        <v>1.0040640115917653E-3</v>
      </c>
      <c r="I557" s="24">
        <v>1.0203104995234167E-3</v>
      </c>
      <c r="J557" s="24">
        <v>8.108296934018018E-4</v>
      </c>
      <c r="K557" s="24">
        <v>8.9545176762416477E-4</v>
      </c>
      <c r="L557" s="24">
        <v>1.2294516355443271E-3</v>
      </c>
    </row>
    <row r="558" spans="2:12" x14ac:dyDescent="0.3">
      <c r="B558" s="26" t="s">
        <v>23</v>
      </c>
      <c r="C558" s="24">
        <v>6.7425318339693553E-4</v>
      </c>
      <c r="D558" s="24">
        <v>7.6087255707424882E-4</v>
      </c>
      <c r="E558" s="24">
        <v>7.2856430282884415E-4</v>
      </c>
      <c r="F558" s="24">
        <v>1.3256155826447999E-3</v>
      </c>
      <c r="G558" s="24">
        <v>8.9352560226709779E-4</v>
      </c>
      <c r="H558" s="24">
        <v>9.376616745458505E-4</v>
      </c>
      <c r="I558" s="24">
        <v>9.8946504057108807E-4</v>
      </c>
      <c r="J558" s="24">
        <v>7.1958955360095292E-4</v>
      </c>
      <c r="K558" s="24">
        <v>1.0398922437638701E-3</v>
      </c>
      <c r="L558" s="24">
        <v>1.0790209558727733E-3</v>
      </c>
    </row>
    <row r="559" spans="2:12" x14ac:dyDescent="0.3">
      <c r="B559" s="26" t="s">
        <v>24</v>
      </c>
      <c r="C559" s="24">
        <v>7.9114066677429264E-4</v>
      </c>
      <c r="D559" s="24">
        <v>9.8645308445160411E-4</v>
      </c>
      <c r="E559" s="24">
        <v>9.7571896485125725E-4</v>
      </c>
      <c r="F559" s="24">
        <v>8.9352560226709779E-4</v>
      </c>
      <c r="G559" s="24">
        <v>1.5551612746242686E-3</v>
      </c>
      <c r="H559" s="24">
        <v>1.241251026270354E-3</v>
      </c>
      <c r="I559" s="24">
        <v>1.0284554413958549E-3</v>
      </c>
      <c r="J559" s="24">
        <v>8.4014651341761479E-4</v>
      </c>
      <c r="K559" s="24">
        <v>1.0986179605087536E-3</v>
      </c>
      <c r="L559" s="24">
        <v>1.1916453295398909E-3</v>
      </c>
    </row>
    <row r="560" spans="2:12" x14ac:dyDescent="0.3">
      <c r="B560" s="26" t="s">
        <v>25</v>
      </c>
      <c r="C560" s="24">
        <v>7.9489817731465422E-4</v>
      </c>
      <c r="D560" s="24">
        <v>1.0711721888707634E-3</v>
      </c>
      <c r="E560" s="24">
        <v>1.0040640115917653E-3</v>
      </c>
      <c r="F560" s="24">
        <v>9.376616745458505E-4</v>
      </c>
      <c r="G560" s="24">
        <v>1.241251026270354E-3</v>
      </c>
      <c r="H560" s="24">
        <v>1.9496349474914631E-3</v>
      </c>
      <c r="I560" s="24">
        <v>1.2435140887020117E-3</v>
      </c>
      <c r="J560" s="24">
        <v>6.7764439681596857E-4</v>
      </c>
      <c r="K560" s="24">
        <v>1.2871404082167557E-3</v>
      </c>
      <c r="L560" s="24">
        <v>1.3944714947550633E-3</v>
      </c>
    </row>
    <row r="561" spans="2:12" x14ac:dyDescent="0.3">
      <c r="B561" s="26" t="s">
        <v>26</v>
      </c>
      <c r="C561" s="24">
        <v>7.7491778649933264E-4</v>
      </c>
      <c r="D561" s="24">
        <v>1.0167497715750818E-3</v>
      </c>
      <c r="E561" s="24">
        <v>1.0203104995234167E-3</v>
      </c>
      <c r="F561" s="24">
        <v>9.8946504057108807E-4</v>
      </c>
      <c r="G561" s="24">
        <v>1.0284554413958549E-3</v>
      </c>
      <c r="H561" s="24">
        <v>1.2435140887020117E-3</v>
      </c>
      <c r="I561" s="24">
        <v>2.2900948236332631E-3</v>
      </c>
      <c r="J561" s="24">
        <v>9.5136285532550257E-4</v>
      </c>
      <c r="K561" s="24">
        <v>1.4131724791568627E-3</v>
      </c>
      <c r="L561" s="24">
        <v>1.7248506911880178E-3</v>
      </c>
    </row>
    <row r="562" spans="2:12" x14ac:dyDescent="0.3">
      <c r="B562" s="26" t="s">
        <v>27</v>
      </c>
      <c r="C562" s="24">
        <v>6.2478068918681636E-4</v>
      </c>
      <c r="D562" s="24">
        <v>7.2495489128928292E-4</v>
      </c>
      <c r="E562" s="24">
        <v>8.108296934018018E-4</v>
      </c>
      <c r="F562" s="24">
        <v>7.1958955360095292E-4</v>
      </c>
      <c r="G562" s="24">
        <v>8.4014651341761479E-4</v>
      </c>
      <c r="H562" s="24">
        <v>6.7764439681596857E-4</v>
      </c>
      <c r="I562" s="24">
        <v>9.5136285532550257E-4</v>
      </c>
      <c r="J562" s="24">
        <v>2.0667603245614627E-3</v>
      </c>
      <c r="K562" s="24">
        <v>8.2678674604422925E-4</v>
      </c>
      <c r="L562" s="24">
        <v>9.2502523894620018E-4</v>
      </c>
    </row>
    <row r="563" spans="2:12" x14ac:dyDescent="0.3">
      <c r="B563" s="26" t="s">
        <v>28</v>
      </c>
      <c r="C563" s="24">
        <v>8.3835303843309017E-4</v>
      </c>
      <c r="D563" s="24">
        <v>9.9355645467012863E-4</v>
      </c>
      <c r="E563" s="24">
        <v>8.9545176762416477E-4</v>
      </c>
      <c r="F563" s="24">
        <v>1.0398922437638701E-3</v>
      </c>
      <c r="G563" s="24">
        <v>1.0986179605087536E-3</v>
      </c>
      <c r="H563" s="24">
        <v>1.2871404082167557E-3</v>
      </c>
      <c r="I563" s="24">
        <v>1.4131724791568627E-3</v>
      </c>
      <c r="J563" s="24">
        <v>8.2678674604422925E-4</v>
      </c>
      <c r="K563" s="24">
        <v>2.0175152955769402E-3</v>
      </c>
      <c r="L563" s="24">
        <v>1.4982481015254974E-3</v>
      </c>
    </row>
    <row r="564" spans="2:12" ht="15" thickBot="1" x14ac:dyDescent="0.35">
      <c r="B564" s="27" t="s">
        <v>29</v>
      </c>
      <c r="C564" s="25">
        <v>9.1528929075817157E-4</v>
      </c>
      <c r="D564" s="25">
        <v>1.1317240520243431E-3</v>
      </c>
      <c r="E564" s="25">
        <v>1.2294516355443271E-3</v>
      </c>
      <c r="F564" s="25">
        <v>1.0790209558727733E-3</v>
      </c>
      <c r="G564" s="25">
        <v>1.1916453295398909E-3</v>
      </c>
      <c r="H564" s="25">
        <v>1.3944714947550633E-3</v>
      </c>
      <c r="I564" s="25">
        <v>1.7248506911880178E-3</v>
      </c>
      <c r="J564" s="25">
        <v>9.2502523894620018E-4</v>
      </c>
      <c r="K564" s="25">
        <v>1.4982481015254974E-3</v>
      </c>
      <c r="L564" s="25">
        <v>2.7697133373099274E-3</v>
      </c>
    </row>
    <row r="567" spans="2:12" x14ac:dyDescent="0.3">
      <c r="B567" s="15" t="s">
        <v>31</v>
      </c>
    </row>
    <row r="569" spans="2:12" x14ac:dyDescent="0.3">
      <c r="B569" s="15" t="s">
        <v>56</v>
      </c>
      <c r="C569" s="15" t="s">
        <v>57</v>
      </c>
      <c r="D569" s="15" t="s">
        <v>33</v>
      </c>
      <c r="E569" s="15" t="s">
        <v>62</v>
      </c>
      <c r="F569" s="15" t="s">
        <v>58</v>
      </c>
      <c r="G569" s="15" t="s">
        <v>59</v>
      </c>
    </row>
    <row r="570" spans="2:12" x14ac:dyDescent="0.3">
      <c r="B570" t="s">
        <v>4</v>
      </c>
      <c r="C570" s="47">
        <v>0.2</v>
      </c>
      <c r="D570" s="48">
        <v>0.05</v>
      </c>
      <c r="E570" s="46">
        <v>0.48568405431093886</v>
      </c>
      <c r="F570" s="31">
        <v>0</v>
      </c>
      <c r="G570" s="31">
        <v>0.2</v>
      </c>
    </row>
    <row r="571" spans="2:12" x14ac:dyDescent="0.3">
      <c r="B571" t="s">
        <v>21</v>
      </c>
      <c r="C571" s="47">
        <v>0</v>
      </c>
      <c r="D571" s="16">
        <v>0.05</v>
      </c>
      <c r="E571" s="16">
        <v>0.54713296799971456</v>
      </c>
      <c r="F571" s="31">
        <v>0</v>
      </c>
      <c r="G571" s="31">
        <v>0.2</v>
      </c>
    </row>
    <row r="572" spans="2:12" x14ac:dyDescent="0.3">
      <c r="B572" t="s">
        <v>22</v>
      </c>
      <c r="C572" s="47">
        <v>0.13492085360119396</v>
      </c>
      <c r="D572" s="16">
        <v>7.4999999999999997E-2</v>
      </c>
      <c r="E572" s="16">
        <v>0.56178874055679362</v>
      </c>
      <c r="F572" s="31">
        <v>0</v>
      </c>
      <c r="G572" s="31">
        <v>0.2</v>
      </c>
    </row>
    <row r="573" spans="2:12" x14ac:dyDescent="0.3">
      <c r="B573" t="s">
        <v>23</v>
      </c>
      <c r="C573" s="47">
        <v>0</v>
      </c>
      <c r="D573" s="16">
        <v>0.05</v>
      </c>
      <c r="E573" s="16">
        <v>0.57908972962828031</v>
      </c>
      <c r="F573" s="31">
        <v>0</v>
      </c>
      <c r="G573" s="31">
        <v>0.2</v>
      </c>
    </row>
    <row r="574" spans="2:12" x14ac:dyDescent="0.3">
      <c r="B574" t="s">
        <v>24</v>
      </c>
      <c r="C574" s="47">
        <v>6.507915286180363E-2</v>
      </c>
      <c r="D574" s="16">
        <v>7.4999999999999997E-2</v>
      </c>
      <c r="E574" s="16">
        <v>0.62722704907723748</v>
      </c>
      <c r="F574" s="31">
        <v>0</v>
      </c>
      <c r="G574" s="31">
        <v>0.2</v>
      </c>
    </row>
    <row r="575" spans="2:12" x14ac:dyDescent="0.3">
      <c r="B575" t="s">
        <v>25</v>
      </c>
      <c r="C575" s="47">
        <v>0</v>
      </c>
      <c r="D575" s="16">
        <v>0.05</v>
      </c>
      <c r="E575" s="16">
        <v>0.70228551806150852</v>
      </c>
      <c r="F575" s="31">
        <v>0</v>
      </c>
      <c r="G575" s="31">
        <v>0.2</v>
      </c>
    </row>
    <row r="576" spans="2:12" x14ac:dyDescent="0.3">
      <c r="B576" t="s">
        <v>26</v>
      </c>
      <c r="C576" s="47">
        <v>0.2</v>
      </c>
      <c r="D576" s="16">
        <v>0.35</v>
      </c>
      <c r="E576" s="16">
        <v>0.76113868376566107</v>
      </c>
      <c r="F576" s="31">
        <v>0</v>
      </c>
      <c r="G576" s="31">
        <v>0.2</v>
      </c>
    </row>
    <row r="577" spans="2:9" x14ac:dyDescent="0.3">
      <c r="B577" t="s">
        <v>27</v>
      </c>
      <c r="C577" s="47">
        <v>0.2</v>
      </c>
      <c r="D577" s="16">
        <v>0.16500000000000001</v>
      </c>
      <c r="E577" s="16">
        <v>0.723072958785557</v>
      </c>
      <c r="F577" s="31">
        <v>0</v>
      </c>
      <c r="G577" s="31">
        <v>0.2</v>
      </c>
    </row>
    <row r="578" spans="2:9" x14ac:dyDescent="0.3">
      <c r="B578" t="s">
        <v>28</v>
      </c>
      <c r="C578" s="47">
        <v>0</v>
      </c>
      <c r="D578" s="16">
        <v>0.06</v>
      </c>
      <c r="E578" s="16">
        <v>0.71440663654570347</v>
      </c>
      <c r="F578" s="31">
        <v>0</v>
      </c>
      <c r="G578" s="31">
        <v>0.2</v>
      </c>
    </row>
    <row r="579" spans="2:9" x14ac:dyDescent="0.3">
      <c r="B579" t="s">
        <v>29</v>
      </c>
      <c r="C579" s="47">
        <v>0.2</v>
      </c>
      <c r="D579" s="16">
        <v>0.15</v>
      </c>
      <c r="E579" s="16">
        <v>0.83705592239837057</v>
      </c>
      <c r="F579" s="31">
        <v>0</v>
      </c>
      <c r="G579" s="31">
        <v>0.2</v>
      </c>
    </row>
    <row r="580" spans="2:9" x14ac:dyDescent="0.3">
      <c r="I580" s="15" t="s">
        <v>61</v>
      </c>
    </row>
    <row r="581" spans="2:9" x14ac:dyDescent="0.3">
      <c r="B581" s="26" t="s">
        <v>60</v>
      </c>
      <c r="C581" s="50">
        <f>SUM(C570:C579)</f>
        <v>1.0000000064629975</v>
      </c>
      <c r="D581" s="51">
        <f>SUMPRODUCT(D570:D579,C570:C579)</f>
        <v>0.15800000048472482</v>
      </c>
      <c r="E581" s="52" cm="1">
        <f t="array" ref="E581">SQRT(MMULT(MMULT(TRANSPOSE(C570:C579),C555:L564),C570:C579*252))</f>
        <v>0.53844310185764543</v>
      </c>
      <c r="I581" t="str">
        <f ca="1">_xlfn.FORMULATEXT(E581)</f>
        <v>=SQRT(MMULT(MMULT(TRANSPOSE(C570:C579),C555:L564),C570:C579*252))</v>
      </c>
    </row>
    <row r="582" spans="2:9" x14ac:dyDescent="0.3">
      <c r="B582" s="53" t="s">
        <v>47</v>
      </c>
      <c r="C582" s="52">
        <f>D581/E581</f>
        <v>0.29343861949316447</v>
      </c>
      <c r="D582" s="15"/>
      <c r="E582" s="15"/>
      <c r="F582" s="15"/>
    </row>
    <row r="583" spans="2:9" x14ac:dyDescent="0.3">
      <c r="B583" s="15"/>
      <c r="C583" s="30"/>
      <c r="D583" s="30"/>
      <c r="E583" s="30"/>
      <c r="F583" s="30"/>
    </row>
    <row r="584" spans="2:9" x14ac:dyDescent="0.3">
      <c r="B584" s="15"/>
      <c r="C584" s="30"/>
      <c r="D584" s="30"/>
      <c r="E584" s="49"/>
      <c r="F584" s="30"/>
    </row>
    <row r="585" spans="2:9" x14ac:dyDescent="0.3">
      <c r="B585" s="15"/>
      <c r="C585" s="30"/>
      <c r="D585" s="30"/>
      <c r="E585" s="30"/>
      <c r="F585" s="30"/>
    </row>
    <row r="586" spans="2:9" x14ac:dyDescent="0.3">
      <c r="B586" s="15"/>
      <c r="C586" s="30"/>
      <c r="D586" s="30"/>
      <c r="E586" s="30"/>
      <c r="F586" s="30"/>
    </row>
    <row r="587" spans="2:9" x14ac:dyDescent="0.3">
      <c r="B587" s="15"/>
      <c r="C587" s="30"/>
      <c r="D587" s="30"/>
      <c r="E587" s="30"/>
      <c r="F587" s="30"/>
    </row>
    <row r="588" spans="2:9" x14ac:dyDescent="0.3">
      <c r="B588" s="15"/>
      <c r="C588" s="30"/>
      <c r="D588" s="30"/>
      <c r="E588" s="30"/>
      <c r="F588" s="30"/>
    </row>
    <row r="589" spans="2:9" x14ac:dyDescent="0.3">
      <c r="B589" s="15"/>
      <c r="C589" s="30"/>
      <c r="D589" s="30"/>
      <c r="E589" s="30"/>
      <c r="F589" s="30"/>
    </row>
    <row r="590" spans="2:9" x14ac:dyDescent="0.3">
      <c r="B590" s="15"/>
      <c r="C590" s="30"/>
      <c r="D590" s="30"/>
      <c r="E590" s="30"/>
      <c r="F590" s="30"/>
    </row>
    <row r="591" spans="2:9" x14ac:dyDescent="0.3">
      <c r="B591" s="15"/>
      <c r="C591" s="30"/>
      <c r="D591" s="30"/>
      <c r="E591" s="30"/>
      <c r="F591" s="30"/>
    </row>
    <row r="592" spans="2:9" x14ac:dyDescent="0.3">
      <c r="B592" s="15"/>
      <c r="C592" s="30"/>
      <c r="D592" s="30"/>
      <c r="E592" s="30"/>
      <c r="F592" s="30"/>
    </row>
  </sheetData>
  <mergeCells count="34">
    <mergeCell ref="I544:I545"/>
    <mergeCell ref="J544:J545"/>
    <mergeCell ref="K544:K545"/>
    <mergeCell ref="B278:B279"/>
    <mergeCell ref="C278:C279"/>
    <mergeCell ref="D278:D279"/>
    <mergeCell ref="E278:E279"/>
    <mergeCell ref="B9:B10"/>
    <mergeCell ref="C9:C10"/>
    <mergeCell ref="D9:D10"/>
    <mergeCell ref="E9:E10"/>
    <mergeCell ref="N9:N10"/>
    <mergeCell ref="H9:H10"/>
    <mergeCell ref="I9:I10"/>
    <mergeCell ref="J9:J10"/>
    <mergeCell ref="K9:K10"/>
    <mergeCell ref="L9:L10"/>
    <mergeCell ref="M9:M10"/>
    <mergeCell ref="G9:G10"/>
    <mergeCell ref="F9:F10"/>
    <mergeCell ref="K278:K279"/>
    <mergeCell ref="L278:L279"/>
    <mergeCell ref="C544:C545"/>
    <mergeCell ref="D544:D545"/>
    <mergeCell ref="E544:E545"/>
    <mergeCell ref="F544:F545"/>
    <mergeCell ref="F278:F279"/>
    <mergeCell ref="G278:G279"/>
    <mergeCell ref="H278:H279"/>
    <mergeCell ref="I278:I279"/>
    <mergeCell ref="J278:J279"/>
    <mergeCell ref="L544:L545"/>
    <mergeCell ref="G544:G545"/>
    <mergeCell ref="H544:H5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B513-FABA-46CB-B681-3A73F3DF4527}">
  <dimension ref="B2:Z253"/>
  <sheetViews>
    <sheetView tabSelected="1" zoomScale="85" zoomScaleNormal="85" workbookViewId="0">
      <selection activeCell="U18" sqref="U18"/>
    </sheetView>
  </sheetViews>
  <sheetFormatPr defaultRowHeight="14.4" x14ac:dyDescent="0.3"/>
  <cols>
    <col min="1" max="1" width="1.88671875" customWidth="1"/>
    <col min="2" max="2" width="12.6640625" bestFit="1" customWidth="1"/>
    <col min="3" max="3" width="12.109375" customWidth="1"/>
    <col min="4" max="4" width="15" customWidth="1"/>
    <col min="5" max="5" width="10.77734375" customWidth="1"/>
    <col min="6" max="6" width="15.77734375" bestFit="1" customWidth="1"/>
    <col min="7" max="7" width="13.5546875" customWidth="1"/>
    <col min="8" max="8" width="12" bestFit="1" customWidth="1"/>
    <col min="15" max="15" width="10.33203125" bestFit="1" customWidth="1"/>
    <col min="16" max="16" width="9.21875" bestFit="1" customWidth="1"/>
    <col min="23" max="23" width="12" bestFit="1" customWidth="1"/>
  </cols>
  <sheetData>
    <row r="2" spans="3:26" x14ac:dyDescent="0.3">
      <c r="C2" s="12" t="s">
        <v>35</v>
      </c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3:26" x14ac:dyDescent="0.3">
      <c r="C4" s="15" t="s">
        <v>34</v>
      </c>
      <c r="E4" s="15" t="s">
        <v>36</v>
      </c>
      <c r="F4" s="15" t="s">
        <v>37</v>
      </c>
      <c r="G4" s="15" t="s">
        <v>38</v>
      </c>
    </row>
    <row r="5" spans="3:26" x14ac:dyDescent="0.3">
      <c r="C5" t="s">
        <v>2</v>
      </c>
      <c r="E5" s="22">
        <f>W7</f>
        <v>0.12311458483484752</v>
      </c>
      <c r="F5" s="22">
        <v>0.1</v>
      </c>
      <c r="G5" s="37">
        <f>_xlfn.COVARIANCE.S(nifty50,gold)*252</f>
        <v>1.7028783624800723E-3</v>
      </c>
      <c r="O5" s="15" t="s">
        <v>1</v>
      </c>
      <c r="P5" s="15" t="s">
        <v>2</v>
      </c>
      <c r="Q5" s="15"/>
      <c r="R5" s="15" t="s">
        <v>40</v>
      </c>
      <c r="W5" s="15" t="s">
        <v>2</v>
      </c>
      <c r="X5" s="15" t="s">
        <v>40</v>
      </c>
    </row>
    <row r="6" spans="3:26" x14ac:dyDescent="0.3">
      <c r="C6" t="s">
        <v>39</v>
      </c>
      <c r="E6" s="22">
        <f>X7</f>
        <v>0.28119535526430151</v>
      </c>
      <c r="F6" s="22">
        <v>0.13500000000000001</v>
      </c>
      <c r="K6" t="s">
        <v>32</v>
      </c>
      <c r="O6" s="33">
        <v>46093</v>
      </c>
      <c r="P6" s="34">
        <v>23764.35</v>
      </c>
      <c r="Q6" s="34"/>
      <c r="R6" s="34">
        <v>136.55000000000001</v>
      </c>
      <c r="S6" s="34"/>
      <c r="T6" s="34"/>
      <c r="U6" t="s">
        <v>42</v>
      </c>
      <c r="W6" s="22">
        <f>_xlfn.STDEV.S(nifty50)</f>
        <v>7.7554898628088235E-3</v>
      </c>
      <c r="X6" s="22">
        <f>_xlfn.STDEV.S(gold)</f>
        <v>1.7713642377519025E-2</v>
      </c>
      <c r="Y6" t="str">
        <f ca="1">_xlfn.FORMULATEXT(X6)</f>
        <v>=STDEV.S(gold)</v>
      </c>
      <c r="Z6" s="22"/>
    </row>
    <row r="7" spans="3:26" x14ac:dyDescent="0.3">
      <c r="F7" s="29">
        <v>0.06</v>
      </c>
      <c r="O7" s="33">
        <v>46092</v>
      </c>
      <c r="P7" s="34">
        <v>23866.85</v>
      </c>
      <c r="Q7" s="35">
        <f>P7/P6-1</f>
        <v>4.3131834028702354E-3</v>
      </c>
      <c r="R7" s="34">
        <v>137.44999999999999</v>
      </c>
      <c r="S7" s="35">
        <f>R7/R6-1</f>
        <v>6.5909923105087476E-3</v>
      </c>
      <c r="T7" s="34"/>
      <c r="U7" t="s">
        <v>41</v>
      </c>
      <c r="W7" s="22">
        <f>SQRT(252)*W6</f>
        <v>0.12311458483484752</v>
      </c>
      <c r="X7" s="22">
        <f>SQRT(252)*X6</f>
        <v>0.28119535526430151</v>
      </c>
      <c r="Y7" t="str">
        <f ca="1">_xlfn.FORMULATEXT(X7)</f>
        <v>=SQRT(252)*X6</v>
      </c>
      <c r="Z7" s="22"/>
    </row>
    <row r="8" spans="3:26" x14ac:dyDescent="0.3">
      <c r="O8" s="33">
        <v>46091</v>
      </c>
      <c r="P8" s="34">
        <v>24261.599999999999</v>
      </c>
      <c r="Q8" s="35">
        <f t="shared" ref="Q8:S71" si="0">P8/P7-1</f>
        <v>1.6539677418679011E-2</v>
      </c>
      <c r="R8" s="34">
        <v>137.02000000000001</v>
      </c>
      <c r="S8" s="35">
        <f t="shared" si="0"/>
        <v>-3.1284103310292855E-3</v>
      </c>
      <c r="T8" s="34"/>
      <c r="W8" s="22"/>
      <c r="Z8" s="22"/>
    </row>
    <row r="9" spans="3:26" x14ac:dyDescent="0.3">
      <c r="C9" s="63" t="s">
        <v>44</v>
      </c>
      <c r="D9" s="63"/>
      <c r="E9" s="63"/>
      <c r="F9" s="63"/>
      <c r="O9" s="33">
        <v>46090</v>
      </c>
      <c r="P9" s="34">
        <v>24028.05</v>
      </c>
      <c r="Q9" s="35">
        <f t="shared" si="0"/>
        <v>-9.6263230784449094E-3</v>
      </c>
      <c r="R9" s="34">
        <v>136.09</v>
      </c>
      <c r="S9" s="35">
        <f t="shared" si="0"/>
        <v>-6.7873303167421684E-3</v>
      </c>
      <c r="T9" s="34"/>
      <c r="U9" t="s">
        <v>43</v>
      </c>
      <c r="W9" s="22">
        <f>AVERAGE(nifty50)</f>
        <v>-1.9663976018606684E-4</v>
      </c>
      <c r="X9" s="22">
        <f>AVERAGE(gold)</f>
        <v>-2.2892559127997139E-3</v>
      </c>
      <c r="Z9" s="22"/>
    </row>
    <row r="10" spans="3:26" x14ac:dyDescent="0.3">
      <c r="C10" s="38" t="s">
        <v>47</v>
      </c>
      <c r="D10" s="38" t="s">
        <v>45</v>
      </c>
      <c r="E10" s="38" t="s">
        <v>36</v>
      </c>
      <c r="F10" s="38" t="s">
        <v>46</v>
      </c>
      <c r="O10" s="33">
        <v>46087</v>
      </c>
      <c r="P10" s="34">
        <v>24450.45</v>
      </c>
      <c r="Q10" s="35">
        <f t="shared" si="0"/>
        <v>1.757945401312222E-2</v>
      </c>
      <c r="R10" s="34">
        <v>135.26</v>
      </c>
      <c r="S10" s="35">
        <f t="shared" si="0"/>
        <v>-6.0989051363069535E-3</v>
      </c>
      <c r="T10" s="34"/>
      <c r="W10" s="22"/>
      <c r="Z10" s="22"/>
    </row>
    <row r="11" spans="3:26" x14ac:dyDescent="0.3">
      <c r="C11" s="32">
        <f>F11/E11</f>
        <v>0.38967126494621163</v>
      </c>
      <c r="D11" s="36">
        <v>-0.3</v>
      </c>
      <c r="E11" s="16">
        <f>SQRT(D11^2*$E$5^2+(1-D11)^2*$E$6^2+2*(1-D11)*$G$5)</f>
        <v>0.37339165878727071</v>
      </c>
      <c r="F11" s="39">
        <f>D11*$F$5+(1-D11)*$F$6</f>
        <v>0.14550000000000002</v>
      </c>
      <c r="O11" s="33">
        <v>46086</v>
      </c>
      <c r="P11" s="34">
        <v>24765.9</v>
      </c>
      <c r="Q11" s="35">
        <f t="shared" si="0"/>
        <v>1.2901603037980935E-2</v>
      </c>
      <c r="R11" s="34">
        <v>136.94</v>
      </c>
      <c r="S11" s="35">
        <f t="shared" si="0"/>
        <v>1.242052343634481E-2</v>
      </c>
      <c r="T11" s="34"/>
      <c r="W11" s="22"/>
      <c r="Z11" s="22"/>
    </row>
    <row r="12" spans="3:26" x14ac:dyDescent="0.3">
      <c r="C12" s="32">
        <f t="shared" ref="C12:C27" si="1">F12/E12</f>
        <v>0.4124089315987034</v>
      </c>
      <c r="D12" s="36">
        <f>D11+10%</f>
        <v>-0.19999999999999998</v>
      </c>
      <c r="E12" s="16">
        <f t="shared" ref="E12:E28" si="2">SQRT(D12^2*$E$5^2+(1-D12)^2*$E$6^2+2*(1-D12)*$G$5)</f>
        <v>0.34431844007242268</v>
      </c>
      <c r="F12" s="39">
        <f t="shared" ref="F12:F28" si="3">D12*$F$5+(1-D12)*$F$6</f>
        <v>0.14200000000000002</v>
      </c>
      <c r="O12" s="33">
        <v>46085</v>
      </c>
      <c r="P12" s="34">
        <v>24480.5</v>
      </c>
      <c r="Q12" s="35">
        <f t="shared" si="0"/>
        <v>-1.1523909892230955E-2</v>
      </c>
      <c r="R12" s="34">
        <v>138.30000000000001</v>
      </c>
      <c r="S12" s="35">
        <f t="shared" si="0"/>
        <v>9.9313567985981344E-3</v>
      </c>
      <c r="T12" s="34"/>
      <c r="W12" s="22"/>
      <c r="Z12" s="22"/>
    </row>
    <row r="13" spans="3:26" x14ac:dyDescent="0.3">
      <c r="C13" s="32">
        <f t="shared" si="1"/>
        <v>0.43891220304905282</v>
      </c>
      <c r="D13" s="36">
        <f t="shared" ref="D13:D27" si="4">D12+10%</f>
        <v>-9.9999999999999978E-2</v>
      </c>
      <c r="E13" s="16">
        <f t="shared" si="2"/>
        <v>0.31555285781042924</v>
      </c>
      <c r="F13" s="39">
        <f t="shared" si="3"/>
        <v>0.13850000000000001</v>
      </c>
      <c r="O13" s="33">
        <v>46083</v>
      </c>
      <c r="P13" s="34">
        <v>24865.7</v>
      </c>
      <c r="Q13" s="35">
        <f t="shared" si="0"/>
        <v>1.5734972733400188E-2</v>
      </c>
      <c r="R13" s="34">
        <v>143.55000000000001</v>
      </c>
      <c r="S13" s="35">
        <f t="shared" si="0"/>
        <v>3.7960954446854656E-2</v>
      </c>
      <c r="T13" s="34"/>
      <c r="W13" s="22"/>
      <c r="Z13" s="22"/>
    </row>
    <row r="14" spans="3:26" x14ac:dyDescent="0.3">
      <c r="C14" s="32">
        <f t="shared" si="1"/>
        <v>0.47007638521703632</v>
      </c>
      <c r="D14" s="36">
        <f t="shared" si="4"/>
        <v>0</v>
      </c>
      <c r="E14" s="16">
        <f t="shared" si="2"/>
        <v>0.28718736836284581</v>
      </c>
      <c r="F14" s="39">
        <f t="shared" si="3"/>
        <v>0.13500000000000001</v>
      </c>
      <c r="O14" s="33">
        <v>46080</v>
      </c>
      <c r="P14" s="34">
        <v>25178.65</v>
      </c>
      <c r="Q14" s="35">
        <f t="shared" si="0"/>
        <v>1.2585609896363259E-2</v>
      </c>
      <c r="R14" s="34">
        <v>136.29</v>
      </c>
      <c r="S14" s="35">
        <f t="shared" si="0"/>
        <v>-5.0574712643678299E-2</v>
      </c>
      <c r="T14" s="34"/>
      <c r="W14" s="22"/>
      <c r="Z14" s="22"/>
    </row>
    <row r="15" spans="3:26" x14ac:dyDescent="0.3">
      <c r="C15" s="32">
        <f t="shared" si="1"/>
        <v>0.50703041134748206</v>
      </c>
      <c r="D15" s="36">
        <f t="shared" si="4"/>
        <v>0.1</v>
      </c>
      <c r="E15" s="16">
        <f t="shared" si="2"/>
        <v>0.25935327952129361</v>
      </c>
      <c r="F15" s="39">
        <f t="shared" si="3"/>
        <v>0.13150000000000001</v>
      </c>
      <c r="O15" s="33">
        <v>46079</v>
      </c>
      <c r="P15" s="34">
        <v>25496.55</v>
      </c>
      <c r="Q15" s="35">
        <f t="shared" si="0"/>
        <v>1.262577620325156E-2</v>
      </c>
      <c r="R15" s="34">
        <v>135.01</v>
      </c>
      <c r="S15" s="35">
        <f t="shared" si="0"/>
        <v>-9.391738205297484E-3</v>
      </c>
      <c r="T15" s="34"/>
      <c r="W15" s="22"/>
      <c r="Z15" s="22"/>
    </row>
    <row r="16" spans="3:26" x14ac:dyDescent="0.3">
      <c r="C16" s="32">
        <f t="shared" si="1"/>
        <v>0.55114986243210995</v>
      </c>
      <c r="D16" s="36">
        <f t="shared" si="4"/>
        <v>0.2</v>
      </c>
      <c r="E16" s="16">
        <f t="shared" si="2"/>
        <v>0.23224173446249732</v>
      </c>
      <c r="F16" s="39">
        <f t="shared" si="3"/>
        <v>0.128</v>
      </c>
      <c r="O16" s="33">
        <v>46078</v>
      </c>
      <c r="P16" s="34">
        <v>25482.5</v>
      </c>
      <c r="Q16" s="35">
        <f t="shared" si="0"/>
        <v>-5.5105494664964283E-4</v>
      </c>
      <c r="R16" s="34">
        <v>136.37</v>
      </c>
      <c r="S16" s="35">
        <f t="shared" si="0"/>
        <v>1.0073327901636953E-2</v>
      </c>
      <c r="T16" s="34"/>
      <c r="W16" s="22"/>
      <c r="Z16" s="22"/>
    </row>
    <row r="17" spans="2:26" x14ac:dyDescent="0.3">
      <c r="C17" s="32">
        <f t="shared" si="1"/>
        <v>0.6039642749736498</v>
      </c>
      <c r="D17" s="36">
        <f t="shared" si="4"/>
        <v>0.30000000000000004</v>
      </c>
      <c r="E17" s="16">
        <f t="shared" si="2"/>
        <v>0.20613802034140477</v>
      </c>
      <c r="F17" s="39">
        <f t="shared" si="3"/>
        <v>0.1245</v>
      </c>
      <c r="O17" s="33">
        <v>46077</v>
      </c>
      <c r="P17" s="34">
        <v>25424.65</v>
      </c>
      <c r="Q17" s="35">
        <f t="shared" si="0"/>
        <v>-2.2701854213675876E-3</v>
      </c>
      <c r="R17" s="34">
        <v>135.71</v>
      </c>
      <c r="S17" s="35">
        <f t="shared" si="0"/>
        <v>-4.8397741438732655E-3</v>
      </c>
      <c r="T17" s="34"/>
      <c r="W17" s="22"/>
      <c r="Z17" s="22"/>
    </row>
    <row r="18" spans="2:26" x14ac:dyDescent="0.3">
      <c r="C18" s="32">
        <f t="shared" si="1"/>
        <v>0.66674910689843203</v>
      </c>
      <c r="D18" s="36">
        <f t="shared" si="4"/>
        <v>0.4</v>
      </c>
      <c r="E18" s="16">
        <f t="shared" si="2"/>
        <v>0.18147755842203522</v>
      </c>
      <c r="F18" s="39">
        <f t="shared" si="3"/>
        <v>0.12100000000000001</v>
      </c>
      <c r="O18" s="33">
        <v>46076</v>
      </c>
      <c r="P18" s="34">
        <v>25713</v>
      </c>
      <c r="Q18" s="35">
        <f t="shared" si="0"/>
        <v>1.1341355731544045E-2</v>
      </c>
      <c r="R18" s="34">
        <v>134.72</v>
      </c>
      <c r="S18" s="35">
        <f t="shared" si="0"/>
        <v>-7.2949672094908546E-3</v>
      </c>
      <c r="T18" s="34"/>
      <c r="W18" s="22"/>
      <c r="Z18" s="22"/>
    </row>
    <row r="19" spans="2:26" x14ac:dyDescent="0.3">
      <c r="C19" s="32">
        <f t="shared" si="1"/>
        <v>0.73930250411929044</v>
      </c>
      <c r="D19" s="36">
        <f t="shared" si="4"/>
        <v>0.5</v>
      </c>
      <c r="E19" s="16">
        <f t="shared" si="2"/>
        <v>0.15893358854502238</v>
      </c>
      <c r="F19" s="39">
        <f t="shared" si="3"/>
        <v>0.11750000000000001</v>
      </c>
      <c r="O19" s="33">
        <v>46073</v>
      </c>
      <c r="P19" s="34">
        <v>25571.25</v>
      </c>
      <c r="Q19" s="35">
        <f t="shared" si="0"/>
        <v>-5.5127756387819415E-3</v>
      </c>
      <c r="R19" s="34">
        <v>132.16</v>
      </c>
      <c r="S19" s="35">
        <f t="shared" si="0"/>
        <v>-1.9002375296912177E-2</v>
      </c>
      <c r="T19" s="34"/>
      <c r="W19" s="22"/>
      <c r="Z19" s="22"/>
    </row>
    <row r="20" spans="2:26" x14ac:dyDescent="0.3">
      <c r="C20" s="32">
        <f t="shared" si="1"/>
        <v>0.81699488642552187</v>
      </c>
      <c r="D20" s="36">
        <f t="shared" si="4"/>
        <v>0.6</v>
      </c>
      <c r="E20" s="16">
        <f t="shared" si="2"/>
        <v>0.13953575707036248</v>
      </c>
      <c r="F20" s="39">
        <f t="shared" si="3"/>
        <v>0.114</v>
      </c>
      <c r="O20" s="33">
        <v>46072</v>
      </c>
      <c r="P20" s="34">
        <v>25454.35</v>
      </c>
      <c r="Q20" s="35">
        <f t="shared" si="0"/>
        <v>-4.5715403040524905E-3</v>
      </c>
      <c r="R20" s="34">
        <v>131.49</v>
      </c>
      <c r="S20" s="35">
        <f t="shared" si="0"/>
        <v>-5.0696125907989664E-3</v>
      </c>
      <c r="T20" s="34"/>
      <c r="W20" s="22"/>
      <c r="Z20" s="22"/>
    </row>
    <row r="21" spans="2:26" x14ac:dyDescent="0.3">
      <c r="C21" s="32">
        <f t="shared" si="1"/>
        <v>0.88569848484656732</v>
      </c>
      <c r="D21" s="36">
        <f t="shared" si="4"/>
        <v>0.7</v>
      </c>
      <c r="E21" s="16">
        <f t="shared" si="2"/>
        <v>0.12476029020095061</v>
      </c>
      <c r="F21" s="39">
        <f t="shared" si="3"/>
        <v>0.1105</v>
      </c>
      <c r="O21" s="33">
        <v>46071</v>
      </c>
      <c r="P21" s="34">
        <v>25819.35</v>
      </c>
      <c r="Q21" s="35">
        <f t="shared" si="0"/>
        <v>1.4339395820360812E-2</v>
      </c>
      <c r="R21" s="34">
        <v>129</v>
      </c>
      <c r="S21" s="35">
        <f t="shared" si="0"/>
        <v>-1.8936801277663728E-2</v>
      </c>
      <c r="T21" s="34"/>
      <c r="W21" s="22"/>
      <c r="Z21" s="22"/>
    </row>
    <row r="22" spans="2:26" x14ac:dyDescent="0.3">
      <c r="C22" s="32">
        <f t="shared" si="1"/>
        <v>0.91939216071520791</v>
      </c>
      <c r="D22" s="36">
        <f t="shared" si="4"/>
        <v>0.79999999999999993</v>
      </c>
      <c r="E22" s="16">
        <f t="shared" si="2"/>
        <v>0.11638124031508298</v>
      </c>
      <c r="F22" s="39">
        <f t="shared" si="3"/>
        <v>0.10700000000000001</v>
      </c>
      <c r="O22" s="33">
        <v>46070</v>
      </c>
      <c r="P22" s="34">
        <v>25725.4</v>
      </c>
      <c r="Q22" s="35">
        <f t="shared" si="0"/>
        <v>-3.638743810359224E-3</v>
      </c>
      <c r="R22" s="34">
        <v>128.88999999999999</v>
      </c>
      <c r="S22" s="35">
        <f t="shared" si="0"/>
        <v>-8.5271317829471727E-4</v>
      </c>
      <c r="T22" s="34"/>
      <c r="W22" s="22"/>
      <c r="Z22" s="22"/>
    </row>
    <row r="23" spans="2:26" x14ac:dyDescent="0.3">
      <c r="C23" s="32">
        <f t="shared" si="1"/>
        <v>0.89381648598582464</v>
      </c>
      <c r="D23" s="36">
        <f t="shared" si="4"/>
        <v>0.89999999999999991</v>
      </c>
      <c r="E23" s="16">
        <f t="shared" si="2"/>
        <v>0.11579558178080131</v>
      </c>
      <c r="F23" s="39">
        <f t="shared" si="3"/>
        <v>0.10350000000000001</v>
      </c>
      <c r="O23" s="33">
        <v>46069</v>
      </c>
      <c r="P23" s="34">
        <v>25682.75</v>
      </c>
      <c r="Q23" s="35">
        <f t="shared" si="0"/>
        <v>-1.6578945322521799E-3</v>
      </c>
      <c r="R23" s="34">
        <v>131.63</v>
      </c>
      <c r="S23" s="35">
        <f t="shared" si="0"/>
        <v>2.1258437427263521E-2</v>
      </c>
      <c r="T23" s="34"/>
      <c r="W23" s="22"/>
      <c r="Z23" s="22"/>
    </row>
    <row r="24" spans="2:26" x14ac:dyDescent="0.3">
      <c r="C24" s="32">
        <f t="shared" si="1"/>
        <v>0.81225144960806517</v>
      </c>
      <c r="D24" s="36">
        <f t="shared" si="4"/>
        <v>0.99999999999999989</v>
      </c>
      <c r="E24" s="16">
        <f t="shared" si="2"/>
        <v>0.12311458483484751</v>
      </c>
      <c r="F24" s="39">
        <f t="shared" si="3"/>
        <v>0.1</v>
      </c>
      <c r="O24" s="33">
        <v>46066</v>
      </c>
      <c r="P24" s="34">
        <v>25471.1</v>
      </c>
      <c r="Q24" s="35">
        <f t="shared" si="0"/>
        <v>-8.2409399304981257E-3</v>
      </c>
      <c r="R24" s="34">
        <v>130.62</v>
      </c>
      <c r="S24" s="35">
        <f t="shared" si="0"/>
        <v>-7.6730228671274547E-3</v>
      </c>
      <c r="T24" s="34"/>
      <c r="W24" s="22"/>
      <c r="Z24" s="22"/>
    </row>
    <row r="25" spans="2:26" x14ac:dyDescent="0.3">
      <c r="C25" s="32">
        <f t="shared" si="1"/>
        <v>0.70397936110554571</v>
      </c>
      <c r="D25" s="36">
        <f t="shared" si="4"/>
        <v>1.0999999999999999</v>
      </c>
      <c r="E25" s="16">
        <f t="shared" si="2"/>
        <v>0.13707788229537601</v>
      </c>
      <c r="F25" s="39">
        <f t="shared" si="3"/>
        <v>9.6500000000000002E-2</v>
      </c>
      <c r="O25" s="33">
        <v>46065</v>
      </c>
      <c r="P25" s="34">
        <v>25807.200000000001</v>
      </c>
      <c r="Q25" s="35">
        <f t="shared" si="0"/>
        <v>1.3195346883330572E-2</v>
      </c>
      <c r="R25" s="34">
        <v>133.31</v>
      </c>
      <c r="S25" s="35">
        <f t="shared" si="0"/>
        <v>2.0594089725922471E-2</v>
      </c>
      <c r="T25" s="34"/>
      <c r="W25" s="22"/>
      <c r="Z25" s="22"/>
    </row>
    <row r="26" spans="2:26" x14ac:dyDescent="0.3">
      <c r="C26" s="32">
        <f t="shared" si="1"/>
        <v>0.59649646913916565</v>
      </c>
      <c r="D26" s="36">
        <f t="shared" si="4"/>
        <v>1.2</v>
      </c>
      <c r="E26" s="16">
        <f t="shared" si="2"/>
        <v>0.15591039479950825</v>
      </c>
      <c r="F26" s="39">
        <f t="shared" si="3"/>
        <v>9.2999999999999999E-2</v>
      </c>
      <c r="O26" s="33">
        <v>46064</v>
      </c>
      <c r="P26" s="34">
        <v>25953.85</v>
      </c>
      <c r="Q26" s="35">
        <f t="shared" si="0"/>
        <v>5.6825227068413309E-3</v>
      </c>
      <c r="R26" s="34">
        <v>133.52000000000001</v>
      </c>
      <c r="S26" s="35">
        <f t="shared" si="0"/>
        <v>1.5752756732427819E-3</v>
      </c>
      <c r="T26" s="34"/>
      <c r="W26" s="22"/>
      <c r="Z26" s="22"/>
    </row>
    <row r="27" spans="2:26" x14ac:dyDescent="0.3">
      <c r="C27" s="32">
        <f t="shared" si="1"/>
        <v>0.50260029866057798</v>
      </c>
      <c r="D27" s="36">
        <f t="shared" si="4"/>
        <v>1.3</v>
      </c>
      <c r="E27" s="16">
        <f t="shared" si="2"/>
        <v>0.17807390930430425</v>
      </c>
      <c r="F27" s="39">
        <f t="shared" si="3"/>
        <v>8.9499999999999996E-2</v>
      </c>
      <c r="H27" s="15" t="s">
        <v>48</v>
      </c>
      <c r="O27" s="33">
        <v>46063</v>
      </c>
      <c r="P27" s="34">
        <v>25935.15</v>
      </c>
      <c r="Q27" s="35">
        <f t="shared" si="0"/>
        <v>-7.2050967390180354E-4</v>
      </c>
      <c r="R27" s="34">
        <v>132.96</v>
      </c>
      <c r="S27" s="35">
        <f t="shared" si="0"/>
        <v>-4.1941282204913666E-3</v>
      </c>
      <c r="T27" s="34"/>
      <c r="W27" s="22"/>
      <c r="Z27" s="22"/>
    </row>
    <row r="28" spans="2:26" x14ac:dyDescent="0.3">
      <c r="B28" s="15" t="s">
        <v>49</v>
      </c>
      <c r="C28" s="40">
        <f>F28/E28</f>
        <v>0.91939216071520791</v>
      </c>
      <c r="D28" s="41">
        <f>INDEX(D11:D27,MATCH(MAX(C11:C27),C11:C27,0))</f>
        <v>0.79999999999999993</v>
      </c>
      <c r="E28" s="42">
        <f t="shared" si="2"/>
        <v>0.11638124031508298</v>
      </c>
      <c r="F28" s="43">
        <f t="shared" si="3"/>
        <v>0.10700000000000001</v>
      </c>
      <c r="H28" t="str">
        <f ca="1">_xlfn.FORMULATEXT(E27)</f>
        <v>=SQRT(D27^2*$E$5^2+(1-D27)^2*$E$6^2+2*(1-D27)*$G$5)</v>
      </c>
      <c r="O28" s="33">
        <v>46062</v>
      </c>
      <c r="P28" s="34">
        <v>25867.3</v>
      </c>
      <c r="Q28" s="35">
        <f t="shared" si="0"/>
        <v>-2.6161406431041145E-3</v>
      </c>
      <c r="R28" s="34">
        <v>132.27000000000001</v>
      </c>
      <c r="S28" s="35">
        <f t="shared" si="0"/>
        <v>-5.1895306859205403E-3</v>
      </c>
      <c r="T28" s="34"/>
      <c r="W28" s="22"/>
      <c r="Z28" s="22"/>
    </row>
    <row r="29" spans="2:26" x14ac:dyDescent="0.3">
      <c r="O29" s="33">
        <v>46059</v>
      </c>
      <c r="P29" s="34">
        <v>25693.7</v>
      </c>
      <c r="Q29" s="35">
        <f t="shared" si="0"/>
        <v>-6.7111758861573279E-3</v>
      </c>
      <c r="R29" s="34">
        <v>130.01</v>
      </c>
      <c r="S29" s="35">
        <f t="shared" si="0"/>
        <v>-1.708626294700244E-2</v>
      </c>
      <c r="T29" s="34"/>
      <c r="W29" s="22"/>
      <c r="Z29" s="22"/>
    </row>
    <row r="30" spans="2:26" x14ac:dyDescent="0.3">
      <c r="H30" s="15" t="s">
        <v>50</v>
      </c>
      <c r="O30" s="33">
        <v>46058</v>
      </c>
      <c r="P30" s="34">
        <v>25642.799999999999</v>
      </c>
      <c r="Q30" s="35">
        <f t="shared" si="0"/>
        <v>-1.9810303693124087E-3</v>
      </c>
      <c r="R30" s="34">
        <v>131.75</v>
      </c>
      <c r="S30" s="35">
        <f t="shared" si="0"/>
        <v>1.3383585878009363E-2</v>
      </c>
      <c r="T30" s="34"/>
      <c r="W30" s="22"/>
      <c r="Z30" s="22"/>
    </row>
    <row r="31" spans="2:26" x14ac:dyDescent="0.3">
      <c r="H31" t="str">
        <f ca="1">_xlfn.FORMULATEXT(D28)</f>
        <v>=INDEX(D11:D27,MATCH(MAX(C11:C27),C11:C27,0))</v>
      </c>
      <c r="O31" s="33">
        <v>46057</v>
      </c>
      <c r="P31" s="34">
        <v>25776</v>
      </c>
      <c r="Q31" s="35">
        <f t="shared" si="0"/>
        <v>5.1944405447144071E-3</v>
      </c>
      <c r="R31" s="34">
        <v>134.77000000000001</v>
      </c>
      <c r="S31" s="35">
        <f t="shared" si="0"/>
        <v>2.2922201138519949E-2</v>
      </c>
      <c r="T31" s="34"/>
      <c r="W31" s="22"/>
      <c r="Z31" s="22"/>
    </row>
    <row r="32" spans="2:26" x14ac:dyDescent="0.3">
      <c r="O32" s="33">
        <v>46056</v>
      </c>
      <c r="P32" s="34">
        <v>25727.55</v>
      </c>
      <c r="Q32" s="35">
        <f t="shared" si="0"/>
        <v>-1.8796554934823462E-3</v>
      </c>
      <c r="R32" s="34">
        <v>129.96</v>
      </c>
      <c r="S32" s="35">
        <f t="shared" si="0"/>
        <v>-3.5690435556874678E-2</v>
      </c>
      <c r="T32" s="34"/>
      <c r="W32" s="22"/>
      <c r="Z32" s="22"/>
    </row>
    <row r="33" spans="8:26" x14ac:dyDescent="0.3">
      <c r="H33" s="15" t="s">
        <v>51</v>
      </c>
      <c r="I33" s="15" t="s">
        <v>52</v>
      </c>
      <c r="O33" s="33">
        <v>46055</v>
      </c>
      <c r="P33" s="34">
        <v>25088.400000000001</v>
      </c>
      <c r="Q33" s="35">
        <f t="shared" si="0"/>
        <v>-2.4843018476302547E-2</v>
      </c>
      <c r="R33" s="34">
        <v>124.24</v>
      </c>
      <c r="S33" s="35">
        <f t="shared" si="0"/>
        <v>-4.4013542628501212E-2</v>
      </c>
      <c r="T33" s="34"/>
      <c r="W33" s="22"/>
      <c r="Z33" s="22"/>
    </row>
    <row r="34" spans="8:26" x14ac:dyDescent="0.3">
      <c r="H34">
        <v>0</v>
      </c>
      <c r="I34">
        <v>0</v>
      </c>
      <c r="O34" s="33">
        <v>46054</v>
      </c>
      <c r="P34" s="34">
        <v>24825.45</v>
      </c>
      <c r="Q34" s="35">
        <f t="shared" si="0"/>
        <v>-1.0480939398287648E-2</v>
      </c>
      <c r="R34" s="34">
        <v>129.59</v>
      </c>
      <c r="S34" s="35">
        <f t="shared" si="0"/>
        <v>4.3061815840309103E-2</v>
      </c>
      <c r="T34" s="34"/>
      <c r="W34" s="22"/>
      <c r="Z34" s="22"/>
    </row>
    <row r="35" spans="8:26" x14ac:dyDescent="0.3">
      <c r="H35" s="22">
        <v>0.1164</v>
      </c>
      <c r="I35" s="22">
        <v>0.107</v>
      </c>
      <c r="O35" s="33">
        <v>46052</v>
      </c>
      <c r="P35" s="34">
        <v>25320.65</v>
      </c>
      <c r="Q35" s="35">
        <f t="shared" si="0"/>
        <v>1.9947271852071236E-2</v>
      </c>
      <c r="R35" s="34">
        <v>139.62</v>
      </c>
      <c r="S35" s="35">
        <f t="shared" si="0"/>
        <v>7.7397947372482401E-2</v>
      </c>
      <c r="T35" s="34"/>
      <c r="W35" s="22"/>
      <c r="Z35" s="22"/>
    </row>
    <row r="36" spans="8:26" x14ac:dyDescent="0.3">
      <c r="O36" s="33">
        <v>46051</v>
      </c>
      <c r="P36" s="34">
        <v>25418.9</v>
      </c>
      <c r="Q36" s="35">
        <f t="shared" si="0"/>
        <v>3.8802321425397412E-3</v>
      </c>
      <c r="R36" s="34">
        <v>153.33000000000001</v>
      </c>
      <c r="S36" s="35">
        <f t="shared" si="0"/>
        <v>9.8195100988397233E-2</v>
      </c>
      <c r="T36" s="34"/>
      <c r="W36" s="22"/>
      <c r="Z36" s="22"/>
    </row>
    <row r="37" spans="8:26" x14ac:dyDescent="0.3">
      <c r="O37" s="33">
        <v>46050</v>
      </c>
      <c r="P37" s="34">
        <v>25342.75</v>
      </c>
      <c r="Q37" s="35">
        <f t="shared" si="0"/>
        <v>-2.9958023360571184E-3</v>
      </c>
      <c r="R37" s="34">
        <v>141.27000000000001</v>
      </c>
      <c r="S37" s="35">
        <f t="shared" si="0"/>
        <v>-7.8653883780082201E-2</v>
      </c>
      <c r="T37" s="34"/>
      <c r="W37" s="22"/>
      <c r="Z37" s="22"/>
    </row>
    <row r="38" spans="8:26" x14ac:dyDescent="0.3">
      <c r="O38" s="33">
        <v>46049</v>
      </c>
      <c r="P38" s="34">
        <v>25175.4</v>
      </c>
      <c r="Q38" s="35">
        <f t="shared" si="0"/>
        <v>-6.6034664746327243E-3</v>
      </c>
      <c r="R38" s="34">
        <v>136.32</v>
      </c>
      <c r="S38" s="35">
        <f t="shared" si="0"/>
        <v>-3.5039286472711928E-2</v>
      </c>
      <c r="T38" s="34"/>
      <c r="W38" s="22"/>
      <c r="Z38" s="22"/>
    </row>
    <row r="39" spans="8:26" x14ac:dyDescent="0.3">
      <c r="O39" s="33">
        <v>46045</v>
      </c>
      <c r="P39" s="34">
        <v>25048.65</v>
      </c>
      <c r="Q39" s="35">
        <f t="shared" si="0"/>
        <v>-5.0346767082151134E-3</v>
      </c>
      <c r="R39" s="34">
        <v>132.41999999999999</v>
      </c>
      <c r="S39" s="35">
        <f t="shared" si="0"/>
        <v>-2.8609154929577496E-2</v>
      </c>
      <c r="T39" s="34"/>
      <c r="W39" s="22"/>
      <c r="Z39" s="22"/>
    </row>
    <row r="40" spans="8:26" x14ac:dyDescent="0.3">
      <c r="O40" s="33">
        <v>46044</v>
      </c>
      <c r="P40" s="34">
        <v>25289.9</v>
      </c>
      <c r="Q40" s="35">
        <f t="shared" si="0"/>
        <v>9.6312575727635075E-3</v>
      </c>
      <c r="R40" s="34">
        <v>128.86000000000001</v>
      </c>
      <c r="S40" s="35">
        <f t="shared" si="0"/>
        <v>-2.6884156471831844E-2</v>
      </c>
      <c r="T40" s="34"/>
      <c r="W40" s="22"/>
      <c r="Z40" s="22"/>
    </row>
    <row r="41" spans="8:26" x14ac:dyDescent="0.3">
      <c r="O41" s="33">
        <v>46043</v>
      </c>
      <c r="P41" s="34">
        <v>25157.5</v>
      </c>
      <c r="Q41" s="35">
        <f t="shared" si="0"/>
        <v>-5.235291559080979E-3</v>
      </c>
      <c r="R41" s="34">
        <v>137.27000000000001</v>
      </c>
      <c r="S41" s="35">
        <f t="shared" si="0"/>
        <v>6.5264628278752124E-2</v>
      </c>
      <c r="T41" s="34"/>
      <c r="W41" s="22"/>
      <c r="Z41" s="22"/>
    </row>
    <row r="42" spans="8:26" x14ac:dyDescent="0.3">
      <c r="O42" s="33">
        <v>46042</v>
      </c>
      <c r="P42" s="34">
        <v>25232.5</v>
      </c>
      <c r="Q42" s="35">
        <f t="shared" si="0"/>
        <v>2.9812183245552237E-3</v>
      </c>
      <c r="R42" s="34">
        <v>128.47</v>
      </c>
      <c r="S42" s="35">
        <f t="shared" si="0"/>
        <v>-6.4107233918554773E-2</v>
      </c>
      <c r="T42" s="34"/>
      <c r="W42" s="22"/>
      <c r="Z42" s="22"/>
    </row>
    <row r="43" spans="8:26" x14ac:dyDescent="0.3">
      <c r="O43" s="33">
        <v>46041</v>
      </c>
      <c r="P43" s="34">
        <v>25585.5</v>
      </c>
      <c r="Q43" s="35">
        <f t="shared" si="0"/>
        <v>1.3989893985930868E-2</v>
      </c>
      <c r="R43" s="34">
        <v>124.86</v>
      </c>
      <c r="S43" s="35">
        <f t="shared" si="0"/>
        <v>-2.8099945512571001E-2</v>
      </c>
      <c r="T43" s="34"/>
      <c r="W43" s="22"/>
      <c r="Z43" s="22"/>
    </row>
    <row r="44" spans="8:26" x14ac:dyDescent="0.3">
      <c r="O44" s="33">
        <v>46038</v>
      </c>
      <c r="P44" s="34">
        <v>25694.35</v>
      </c>
      <c r="Q44" s="35">
        <f t="shared" si="0"/>
        <v>4.2543628226925367E-3</v>
      </c>
      <c r="R44" s="34">
        <v>121.93</v>
      </c>
      <c r="S44" s="35">
        <f t="shared" si="0"/>
        <v>-2.3466282236104363E-2</v>
      </c>
      <c r="T44" s="34"/>
      <c r="W44" s="22"/>
      <c r="Z44" s="22"/>
    </row>
    <row r="45" spans="8:26" x14ac:dyDescent="0.3">
      <c r="O45" s="33">
        <v>46036</v>
      </c>
      <c r="P45" s="34">
        <v>25665.599999999999</v>
      </c>
      <c r="Q45" s="35">
        <f t="shared" si="0"/>
        <v>-1.1189230317171228E-3</v>
      </c>
      <c r="R45" s="34">
        <v>122.28</v>
      </c>
      <c r="S45" s="35">
        <f t="shared" si="0"/>
        <v>2.8704994669070949E-3</v>
      </c>
      <c r="T45" s="34"/>
      <c r="W45" s="22"/>
      <c r="Z45" s="22"/>
    </row>
    <row r="46" spans="8:26" x14ac:dyDescent="0.3">
      <c r="O46" s="33">
        <v>46035</v>
      </c>
      <c r="P46" s="34">
        <v>25732.3</v>
      </c>
      <c r="Q46" s="35">
        <f t="shared" si="0"/>
        <v>2.5988093011657387E-3</v>
      </c>
      <c r="R46" s="34">
        <v>120.68</v>
      </c>
      <c r="S46" s="35">
        <f t="shared" si="0"/>
        <v>-1.3084723585214175E-2</v>
      </c>
      <c r="T46" s="34"/>
      <c r="W46" s="22"/>
      <c r="Z46" s="22"/>
    </row>
    <row r="47" spans="8:26" x14ac:dyDescent="0.3">
      <c r="O47" s="33">
        <v>46034</v>
      </c>
      <c r="P47" s="34">
        <v>25790.25</v>
      </c>
      <c r="Q47" s="35">
        <f t="shared" si="0"/>
        <v>2.2520334365758732E-3</v>
      </c>
      <c r="R47" s="34">
        <v>121.11</v>
      </c>
      <c r="S47" s="35">
        <f t="shared" si="0"/>
        <v>3.5631421942325936E-3</v>
      </c>
      <c r="T47" s="34"/>
      <c r="W47" s="22"/>
      <c r="Z47" s="22"/>
    </row>
    <row r="48" spans="8:26" x14ac:dyDescent="0.3">
      <c r="O48" s="33">
        <v>46031</v>
      </c>
      <c r="P48" s="34">
        <v>25683.3</v>
      </c>
      <c r="Q48" s="35">
        <f t="shared" si="0"/>
        <v>-4.1469159856922788E-3</v>
      </c>
      <c r="R48" s="34">
        <v>117.57</v>
      </c>
      <c r="S48" s="35">
        <f t="shared" si="0"/>
        <v>-2.9229625959871219E-2</v>
      </c>
      <c r="T48" s="34"/>
      <c r="W48" s="22"/>
      <c r="Z48" s="22"/>
    </row>
    <row r="49" spans="15:26" x14ac:dyDescent="0.3">
      <c r="O49" s="33">
        <v>46030</v>
      </c>
      <c r="P49" s="34">
        <v>25876.85</v>
      </c>
      <c r="Q49" s="35">
        <f t="shared" si="0"/>
        <v>7.5360253549972001E-3</v>
      </c>
      <c r="R49" s="34">
        <v>116.24</v>
      </c>
      <c r="S49" s="35">
        <f t="shared" si="0"/>
        <v>-1.1312409628306486E-2</v>
      </c>
      <c r="T49" s="34"/>
      <c r="W49" s="22"/>
      <c r="Z49" s="22"/>
    </row>
    <row r="50" spans="15:26" x14ac:dyDescent="0.3">
      <c r="O50" s="33">
        <v>46029</v>
      </c>
      <c r="P50" s="34">
        <v>26140.75</v>
      </c>
      <c r="Q50" s="35">
        <f t="shared" si="0"/>
        <v>1.0198304662275337E-2</v>
      </c>
      <c r="R50" s="34">
        <v>117.04</v>
      </c>
      <c r="S50" s="35">
        <f t="shared" si="0"/>
        <v>6.8823124569856731E-3</v>
      </c>
      <c r="T50" s="34"/>
      <c r="W50" s="22"/>
      <c r="Z50" s="22"/>
    </row>
    <row r="51" spans="15:26" x14ac:dyDescent="0.3">
      <c r="O51" s="33">
        <v>46028</v>
      </c>
      <c r="P51" s="34">
        <v>26178.7</v>
      </c>
      <c r="Q51" s="35">
        <f t="shared" si="0"/>
        <v>1.45175635741146E-3</v>
      </c>
      <c r="R51" s="34">
        <v>117.21</v>
      </c>
      <c r="S51" s="35">
        <f t="shared" si="0"/>
        <v>1.452494873547483E-3</v>
      </c>
      <c r="T51" s="34"/>
      <c r="W51" s="22"/>
      <c r="Z51" s="22"/>
    </row>
    <row r="52" spans="15:26" x14ac:dyDescent="0.3">
      <c r="O52" s="33">
        <v>46027</v>
      </c>
      <c r="P52" s="34">
        <v>26250.3</v>
      </c>
      <c r="Q52" s="35">
        <f t="shared" si="0"/>
        <v>2.7350479588366117E-3</v>
      </c>
      <c r="R52" s="34">
        <v>116.93</v>
      </c>
      <c r="S52" s="35">
        <f t="shared" si="0"/>
        <v>-2.3888746693967455E-3</v>
      </c>
      <c r="T52" s="34"/>
      <c r="W52" s="22"/>
      <c r="Z52" s="22"/>
    </row>
    <row r="53" spans="15:26" x14ac:dyDescent="0.3">
      <c r="O53" s="33">
        <v>46024</v>
      </c>
      <c r="P53" s="34">
        <v>26328.55</v>
      </c>
      <c r="Q53" s="35">
        <f t="shared" si="0"/>
        <v>2.9809183133144845E-3</v>
      </c>
      <c r="R53" s="34">
        <v>115.74</v>
      </c>
      <c r="S53" s="35">
        <f t="shared" si="0"/>
        <v>-1.0177028991704584E-2</v>
      </c>
      <c r="T53" s="34"/>
      <c r="W53" s="22"/>
      <c r="Z53" s="22"/>
    </row>
    <row r="54" spans="15:26" x14ac:dyDescent="0.3">
      <c r="O54" s="33">
        <v>46023</v>
      </c>
      <c r="P54" s="34">
        <v>26146.55</v>
      </c>
      <c r="Q54" s="35">
        <f t="shared" si="0"/>
        <v>-6.9126480569571269E-3</v>
      </c>
      <c r="R54" s="34">
        <v>114.48</v>
      </c>
      <c r="S54" s="35">
        <f t="shared" si="0"/>
        <v>-1.0886469673405785E-2</v>
      </c>
      <c r="T54" s="34"/>
      <c r="W54" s="22"/>
      <c r="Z54" s="22"/>
    </row>
    <row r="55" spans="15:26" x14ac:dyDescent="0.3">
      <c r="O55" s="33">
        <v>46022</v>
      </c>
      <c r="P55" s="34">
        <v>26129.599999999999</v>
      </c>
      <c r="Q55" s="35">
        <f t="shared" si="0"/>
        <v>-6.4826908330162247E-4</v>
      </c>
      <c r="R55" s="34">
        <v>114.29</v>
      </c>
      <c r="S55" s="35">
        <f t="shared" si="0"/>
        <v>-1.6596785464709773E-3</v>
      </c>
      <c r="T55" s="34"/>
      <c r="W55" s="22"/>
      <c r="Z55" s="22"/>
    </row>
    <row r="56" spans="15:26" x14ac:dyDescent="0.3">
      <c r="O56" s="33">
        <v>46021</v>
      </c>
      <c r="P56" s="34">
        <v>25938.85</v>
      </c>
      <c r="Q56" s="35">
        <f t="shared" si="0"/>
        <v>-7.300150021431584E-3</v>
      </c>
      <c r="R56" s="34">
        <v>114.84</v>
      </c>
      <c r="S56" s="35">
        <f t="shared" si="0"/>
        <v>4.8123195380171957E-3</v>
      </c>
      <c r="T56" s="34"/>
      <c r="W56" s="22"/>
      <c r="Z56" s="22"/>
    </row>
    <row r="57" spans="15:26" x14ac:dyDescent="0.3">
      <c r="O57" s="33">
        <v>46020</v>
      </c>
      <c r="P57" s="34">
        <v>25942.1</v>
      </c>
      <c r="Q57" s="35">
        <f t="shared" si="0"/>
        <v>1.2529468345734429E-4</v>
      </c>
      <c r="R57" s="34">
        <v>117.35</v>
      </c>
      <c r="S57" s="35">
        <f t="shared" si="0"/>
        <v>2.1856495994426961E-2</v>
      </c>
      <c r="T57" s="34"/>
      <c r="W57" s="22"/>
      <c r="Z57" s="22"/>
    </row>
    <row r="58" spans="15:26" x14ac:dyDescent="0.3">
      <c r="O58" s="33">
        <v>46017</v>
      </c>
      <c r="P58" s="34">
        <v>26042.3</v>
      </c>
      <c r="Q58" s="35">
        <f t="shared" si="0"/>
        <v>3.8624475273782988E-3</v>
      </c>
      <c r="R58" s="34">
        <v>118.31</v>
      </c>
      <c r="S58" s="35">
        <f t="shared" si="0"/>
        <v>8.1806561567960845E-3</v>
      </c>
      <c r="T58" s="34"/>
      <c r="W58" s="22"/>
      <c r="Z58" s="22"/>
    </row>
    <row r="59" spans="15:26" x14ac:dyDescent="0.3">
      <c r="O59" s="33">
        <v>46015</v>
      </c>
      <c r="P59" s="34">
        <v>26142.1</v>
      </c>
      <c r="Q59" s="35">
        <f t="shared" si="0"/>
        <v>3.8322268002441984E-3</v>
      </c>
      <c r="R59" s="34">
        <v>117.34</v>
      </c>
      <c r="S59" s="35">
        <f t="shared" si="0"/>
        <v>-8.1987997633335974E-3</v>
      </c>
      <c r="T59" s="34"/>
      <c r="W59" s="22"/>
      <c r="Z59" s="22"/>
    </row>
    <row r="60" spans="15:26" x14ac:dyDescent="0.3">
      <c r="O60" s="33">
        <v>46014</v>
      </c>
      <c r="P60" s="34">
        <v>26177.15</v>
      </c>
      <c r="Q60" s="35">
        <f t="shared" si="0"/>
        <v>1.34074921295535E-3</v>
      </c>
      <c r="R60" s="34">
        <v>117.26</v>
      </c>
      <c r="S60" s="35">
        <f t="shared" si="0"/>
        <v>-6.8177944434977267E-4</v>
      </c>
      <c r="T60" s="34"/>
      <c r="W60" s="22"/>
      <c r="Z60" s="22"/>
    </row>
    <row r="61" spans="15:26" x14ac:dyDescent="0.3">
      <c r="O61" s="33">
        <v>46013</v>
      </c>
      <c r="P61" s="34">
        <v>26172.400000000001</v>
      </c>
      <c r="Q61" s="35">
        <f t="shared" si="0"/>
        <v>-1.8145596445751089E-4</v>
      </c>
      <c r="R61" s="34">
        <v>115.52</v>
      </c>
      <c r="S61" s="35">
        <f t="shared" si="0"/>
        <v>-1.4838819716868623E-2</v>
      </c>
      <c r="T61" s="34"/>
      <c r="W61" s="22"/>
      <c r="Z61" s="22"/>
    </row>
    <row r="62" spans="15:26" x14ac:dyDescent="0.3">
      <c r="O62" s="33">
        <v>46010</v>
      </c>
      <c r="P62" s="34">
        <v>25966.400000000001</v>
      </c>
      <c r="Q62" s="35">
        <f t="shared" si="0"/>
        <v>-7.8708868884779237E-3</v>
      </c>
      <c r="R62" s="34">
        <v>113.58</v>
      </c>
      <c r="S62" s="35">
        <f t="shared" si="0"/>
        <v>-1.6793628808864258E-2</v>
      </c>
      <c r="T62" s="34"/>
      <c r="W62" s="22"/>
      <c r="Z62" s="22"/>
    </row>
    <row r="63" spans="15:26" x14ac:dyDescent="0.3">
      <c r="O63" s="33">
        <v>46009</v>
      </c>
      <c r="P63" s="34">
        <v>25815.55</v>
      </c>
      <c r="Q63" s="35">
        <f t="shared" si="0"/>
        <v>-5.8094306488385428E-3</v>
      </c>
      <c r="R63" s="34">
        <v>113.96</v>
      </c>
      <c r="S63" s="35">
        <f t="shared" si="0"/>
        <v>3.3456594470857581E-3</v>
      </c>
      <c r="T63" s="34"/>
      <c r="W63" s="22"/>
      <c r="Z63" s="22"/>
    </row>
    <row r="64" spans="15:26" x14ac:dyDescent="0.3">
      <c r="O64" s="33">
        <v>46008</v>
      </c>
      <c r="P64" s="34">
        <v>25818.55</v>
      </c>
      <c r="Q64" s="35">
        <f t="shared" si="0"/>
        <v>1.1620902905429276E-4</v>
      </c>
      <c r="R64" s="34">
        <v>113.87</v>
      </c>
      <c r="S64" s="35">
        <f t="shared" si="0"/>
        <v>-7.8975078975074275E-4</v>
      </c>
      <c r="T64" s="34"/>
      <c r="W64" s="22"/>
      <c r="Z64" s="22"/>
    </row>
    <row r="65" spans="15:26" x14ac:dyDescent="0.3">
      <c r="O65" s="33">
        <v>46007</v>
      </c>
      <c r="P65" s="34">
        <v>25860.1</v>
      </c>
      <c r="Q65" s="35">
        <f t="shared" si="0"/>
        <v>1.6093080362762358E-3</v>
      </c>
      <c r="R65" s="34">
        <v>113.22</v>
      </c>
      <c r="S65" s="35">
        <f t="shared" si="0"/>
        <v>-5.7082638096075389E-3</v>
      </c>
      <c r="T65" s="34"/>
      <c r="W65" s="22"/>
      <c r="Z65" s="22"/>
    </row>
    <row r="66" spans="15:26" x14ac:dyDescent="0.3">
      <c r="O66" s="33">
        <v>46006</v>
      </c>
      <c r="P66" s="34">
        <v>26027.3</v>
      </c>
      <c r="Q66" s="35">
        <f t="shared" si="0"/>
        <v>6.4655589112183609E-3</v>
      </c>
      <c r="R66" s="34">
        <v>114.67</v>
      </c>
      <c r="S66" s="35">
        <f t="shared" si="0"/>
        <v>1.2806924571630462E-2</v>
      </c>
      <c r="T66" s="34"/>
      <c r="W66" s="22"/>
      <c r="Z66" s="22"/>
    </row>
    <row r="67" spans="15:26" x14ac:dyDescent="0.3">
      <c r="O67" s="33">
        <v>46003</v>
      </c>
      <c r="P67" s="34">
        <v>26046.95</v>
      </c>
      <c r="Q67" s="35">
        <f t="shared" si="0"/>
        <v>7.5497650543865369E-4</v>
      </c>
      <c r="R67" s="34">
        <v>113.38</v>
      </c>
      <c r="S67" s="35">
        <f t="shared" si="0"/>
        <v>-1.1249672974622871E-2</v>
      </c>
      <c r="T67" s="34"/>
      <c r="W67" s="22"/>
      <c r="Z67" s="22"/>
    </row>
    <row r="68" spans="15:26" x14ac:dyDescent="0.3">
      <c r="O68" s="33">
        <v>46002</v>
      </c>
      <c r="P68" s="34">
        <v>25898.55</v>
      </c>
      <c r="Q68" s="35">
        <f t="shared" si="0"/>
        <v>-5.697404110654114E-3</v>
      </c>
      <c r="R68" s="34">
        <v>110.85</v>
      </c>
      <c r="S68" s="35">
        <f t="shared" si="0"/>
        <v>-2.2314341153642614E-2</v>
      </c>
      <c r="T68" s="34"/>
      <c r="W68" s="22"/>
      <c r="Z68" s="22"/>
    </row>
    <row r="69" spans="15:26" x14ac:dyDescent="0.3">
      <c r="O69" s="33">
        <v>46001</v>
      </c>
      <c r="P69" s="34">
        <v>25758</v>
      </c>
      <c r="Q69" s="35">
        <f t="shared" si="0"/>
        <v>-5.4269447517332203E-3</v>
      </c>
      <c r="R69" s="34">
        <v>109.96</v>
      </c>
      <c r="S69" s="35">
        <f t="shared" si="0"/>
        <v>-8.0288678394226931E-3</v>
      </c>
      <c r="T69" s="34"/>
      <c r="W69" s="22"/>
      <c r="Z69" s="22"/>
    </row>
    <row r="70" spans="15:26" x14ac:dyDescent="0.3">
      <c r="O70" s="33">
        <v>46000</v>
      </c>
      <c r="P70" s="34">
        <v>25839.65</v>
      </c>
      <c r="Q70" s="35">
        <f t="shared" si="0"/>
        <v>3.1698889665348062E-3</v>
      </c>
      <c r="R70" s="34">
        <v>110.01</v>
      </c>
      <c r="S70" s="35">
        <f t="shared" si="0"/>
        <v>4.5471080392878171E-4</v>
      </c>
      <c r="T70" s="34"/>
      <c r="W70" s="22"/>
      <c r="Z70" s="22"/>
    </row>
    <row r="71" spans="15:26" x14ac:dyDescent="0.3">
      <c r="O71" s="33">
        <v>45999</v>
      </c>
      <c r="P71" s="34">
        <v>25960.55</v>
      </c>
      <c r="Q71" s="35">
        <f t="shared" si="0"/>
        <v>4.6788559442560995E-3</v>
      </c>
      <c r="R71" s="34">
        <v>110.74</v>
      </c>
      <c r="S71" s="35">
        <f t="shared" si="0"/>
        <v>6.6357603854194647E-3</v>
      </c>
      <c r="T71" s="34"/>
      <c r="W71" s="22"/>
      <c r="Z71" s="22"/>
    </row>
    <row r="72" spans="15:26" x14ac:dyDescent="0.3">
      <c r="O72" s="33">
        <v>45996</v>
      </c>
      <c r="P72" s="34">
        <v>26186.45</v>
      </c>
      <c r="Q72" s="35">
        <f t="shared" ref="Q72:S135" si="5">P72/P71-1</f>
        <v>8.7016646411575138E-3</v>
      </c>
      <c r="R72" s="34">
        <v>110.64</v>
      </c>
      <c r="S72" s="35">
        <f t="shared" si="5"/>
        <v>-9.0301607368603598E-4</v>
      </c>
      <c r="T72" s="34"/>
      <c r="W72" s="22"/>
      <c r="Z72" s="22"/>
    </row>
    <row r="73" spans="15:26" x14ac:dyDescent="0.3">
      <c r="O73" s="33">
        <v>45995</v>
      </c>
      <c r="P73" s="34">
        <v>26033.75</v>
      </c>
      <c r="Q73" s="35">
        <f t="shared" si="5"/>
        <v>-5.8312600600692877E-3</v>
      </c>
      <c r="R73" s="34">
        <v>109.75</v>
      </c>
      <c r="S73" s="35">
        <f t="shared" si="5"/>
        <v>-8.0441070137382553E-3</v>
      </c>
      <c r="T73" s="34"/>
      <c r="W73" s="22"/>
      <c r="Z73" s="22"/>
    </row>
    <row r="74" spans="15:26" x14ac:dyDescent="0.3">
      <c r="O74" s="33">
        <v>45994</v>
      </c>
      <c r="P74" s="34">
        <v>25986</v>
      </c>
      <c r="Q74" s="35">
        <f t="shared" si="5"/>
        <v>-1.8341575839054824E-3</v>
      </c>
      <c r="R74" s="34">
        <v>110.11</v>
      </c>
      <c r="S74" s="35">
        <f t="shared" si="5"/>
        <v>3.2801822323462737E-3</v>
      </c>
      <c r="T74" s="34"/>
      <c r="W74" s="22"/>
      <c r="Z74" s="22"/>
    </row>
    <row r="75" spans="15:26" x14ac:dyDescent="0.3">
      <c r="O75" s="33">
        <v>45993</v>
      </c>
      <c r="P75" s="34">
        <v>26032.2</v>
      </c>
      <c r="Q75" s="35">
        <f t="shared" si="5"/>
        <v>1.7778803971368884E-3</v>
      </c>
      <c r="R75" s="34">
        <v>109.24</v>
      </c>
      <c r="S75" s="35">
        <f t="shared" si="5"/>
        <v>-7.901189719371593E-3</v>
      </c>
      <c r="T75" s="34"/>
      <c r="W75" s="22"/>
      <c r="Z75" s="22"/>
    </row>
    <row r="76" spans="15:26" x14ac:dyDescent="0.3">
      <c r="O76" s="33">
        <v>45992</v>
      </c>
      <c r="P76" s="34">
        <v>26175.75</v>
      </c>
      <c r="Q76" s="35">
        <f t="shared" si="5"/>
        <v>5.5143245672666374E-3</v>
      </c>
      <c r="R76" s="34">
        <v>110.56</v>
      </c>
      <c r="S76" s="35">
        <f t="shared" si="5"/>
        <v>1.2083485902599778E-2</v>
      </c>
      <c r="T76" s="34"/>
      <c r="W76" s="22"/>
      <c r="Z76" s="22"/>
    </row>
    <row r="77" spans="15:26" x14ac:dyDescent="0.3">
      <c r="O77" s="33">
        <v>45989</v>
      </c>
      <c r="P77" s="34">
        <v>26202.95</v>
      </c>
      <c r="Q77" s="35">
        <f t="shared" si="5"/>
        <v>1.0391297288521173E-3</v>
      </c>
      <c r="R77" s="34">
        <v>108.09</v>
      </c>
      <c r="S77" s="35">
        <f t="shared" si="5"/>
        <v>-2.2340810419681612E-2</v>
      </c>
      <c r="T77" s="34"/>
      <c r="W77" s="22"/>
      <c r="Z77" s="22"/>
    </row>
    <row r="78" spans="15:26" x14ac:dyDescent="0.3">
      <c r="O78" s="33">
        <v>45988</v>
      </c>
      <c r="P78" s="34">
        <v>26215.55</v>
      </c>
      <c r="Q78" s="35">
        <f t="shared" si="5"/>
        <v>4.8086188768814431E-4</v>
      </c>
      <c r="R78" s="34">
        <v>107.67</v>
      </c>
      <c r="S78" s="35">
        <f t="shared" si="5"/>
        <v>-3.8856508465168194E-3</v>
      </c>
      <c r="T78" s="34"/>
      <c r="W78" s="22"/>
      <c r="Z78" s="22"/>
    </row>
    <row r="79" spans="15:26" x14ac:dyDescent="0.3">
      <c r="O79" s="33">
        <v>45987</v>
      </c>
      <c r="P79" s="34">
        <v>26205.3</v>
      </c>
      <c r="Q79" s="35">
        <f t="shared" si="5"/>
        <v>-3.9098931740899623E-4</v>
      </c>
      <c r="R79" s="34">
        <v>107.68</v>
      </c>
      <c r="S79" s="35">
        <f t="shared" si="5"/>
        <v>9.2876381536211028E-5</v>
      </c>
      <c r="T79" s="34"/>
      <c r="W79" s="22"/>
      <c r="Z79" s="22"/>
    </row>
    <row r="80" spans="15:26" x14ac:dyDescent="0.3">
      <c r="O80" s="33">
        <v>45986</v>
      </c>
      <c r="P80" s="34">
        <v>25884.799999999999</v>
      </c>
      <c r="Q80" s="35">
        <f t="shared" si="5"/>
        <v>-1.2230350348975239E-2</v>
      </c>
      <c r="R80" s="34">
        <v>106.95</v>
      </c>
      <c r="S80" s="35">
        <f t="shared" si="5"/>
        <v>-6.7793462109956293E-3</v>
      </c>
      <c r="T80" s="34"/>
      <c r="W80" s="22"/>
      <c r="Z80" s="22"/>
    </row>
    <row r="81" spans="15:26" x14ac:dyDescent="0.3">
      <c r="O81" s="33">
        <v>45985</v>
      </c>
      <c r="P81" s="34">
        <v>25959.5</v>
      </c>
      <c r="Q81" s="35">
        <f t="shared" si="5"/>
        <v>2.8858635183584003E-3</v>
      </c>
      <c r="R81" s="34">
        <v>105.77</v>
      </c>
      <c r="S81" s="35">
        <f t="shared" si="5"/>
        <v>-1.1033193080879022E-2</v>
      </c>
      <c r="T81" s="34"/>
      <c r="W81" s="22"/>
      <c r="Z81" s="22"/>
    </row>
    <row r="82" spans="15:26" x14ac:dyDescent="0.3">
      <c r="O82" s="33">
        <v>45982</v>
      </c>
      <c r="P82" s="34">
        <v>26068.15</v>
      </c>
      <c r="Q82" s="35">
        <f t="shared" si="5"/>
        <v>4.1853656657486749E-3</v>
      </c>
      <c r="R82" s="34">
        <v>105.54</v>
      </c>
      <c r="S82" s="35">
        <f t="shared" si="5"/>
        <v>-2.1745296397843727E-3</v>
      </c>
      <c r="T82" s="34"/>
      <c r="W82" s="22"/>
      <c r="Z82" s="22"/>
    </row>
    <row r="83" spans="15:26" x14ac:dyDescent="0.3">
      <c r="O83" s="33">
        <v>45981</v>
      </c>
      <c r="P83" s="34">
        <v>26192.15</v>
      </c>
      <c r="Q83" s="35">
        <f t="shared" si="5"/>
        <v>4.7567625627442656E-3</v>
      </c>
      <c r="R83" s="34">
        <v>105.08</v>
      </c>
      <c r="S83" s="35">
        <f t="shared" si="5"/>
        <v>-4.3585370475649476E-3</v>
      </c>
      <c r="T83" s="34"/>
      <c r="W83" s="22"/>
      <c r="Z83" s="22"/>
    </row>
    <row r="84" spans="15:26" x14ac:dyDescent="0.3">
      <c r="O84" s="33">
        <v>45980</v>
      </c>
      <c r="P84" s="34">
        <v>26052.65</v>
      </c>
      <c r="Q84" s="35">
        <f t="shared" si="5"/>
        <v>-5.3260232550592645E-3</v>
      </c>
      <c r="R84" s="34">
        <v>105.62</v>
      </c>
      <c r="S84" s="35">
        <f t="shared" si="5"/>
        <v>5.1389417586600317E-3</v>
      </c>
      <c r="T84" s="34"/>
      <c r="W84" s="22"/>
      <c r="Z84" s="22"/>
    </row>
    <row r="85" spans="15:26" x14ac:dyDescent="0.3">
      <c r="O85" s="33">
        <v>45979</v>
      </c>
      <c r="P85" s="34">
        <v>25910.05</v>
      </c>
      <c r="Q85" s="35">
        <f t="shared" si="5"/>
        <v>-5.4735314833617155E-3</v>
      </c>
      <c r="R85" s="34">
        <v>104.16</v>
      </c>
      <c r="S85" s="35">
        <f t="shared" si="5"/>
        <v>-1.3823139556902175E-2</v>
      </c>
      <c r="T85" s="34"/>
      <c r="W85" s="22"/>
      <c r="Z85" s="22"/>
    </row>
    <row r="86" spans="15:26" x14ac:dyDescent="0.3">
      <c r="O86" s="33">
        <v>45978</v>
      </c>
      <c r="P86" s="34">
        <v>26013.45</v>
      </c>
      <c r="Q86" s="35">
        <f t="shared" si="5"/>
        <v>3.9907294659795589E-3</v>
      </c>
      <c r="R86" s="34">
        <v>105.41</v>
      </c>
      <c r="S86" s="35">
        <f t="shared" si="5"/>
        <v>1.2000768049155175E-2</v>
      </c>
      <c r="T86" s="34"/>
      <c r="W86" s="22"/>
      <c r="Z86" s="22"/>
    </row>
    <row r="87" spans="15:26" x14ac:dyDescent="0.3">
      <c r="O87" s="33">
        <v>45975</v>
      </c>
      <c r="P87" s="34">
        <v>25910.05</v>
      </c>
      <c r="Q87" s="35">
        <f t="shared" si="5"/>
        <v>-3.9748668477268545E-3</v>
      </c>
      <c r="R87" s="34">
        <v>107.29</v>
      </c>
      <c r="S87" s="35">
        <f t="shared" si="5"/>
        <v>1.7835120007589467E-2</v>
      </c>
      <c r="T87" s="34"/>
      <c r="W87" s="22"/>
      <c r="Z87" s="22"/>
    </row>
    <row r="88" spans="15:26" x14ac:dyDescent="0.3">
      <c r="O88" s="33">
        <v>45974</v>
      </c>
      <c r="P88" s="34">
        <v>25879.15</v>
      </c>
      <c r="Q88" s="35">
        <f t="shared" si="5"/>
        <v>-1.1925874322896712E-3</v>
      </c>
      <c r="R88" s="34">
        <v>109</v>
      </c>
      <c r="S88" s="35">
        <f t="shared" si="5"/>
        <v>1.593811165998682E-2</v>
      </c>
      <c r="T88" s="34"/>
      <c r="W88" s="22"/>
      <c r="Z88" s="22"/>
    </row>
    <row r="89" spans="15:26" x14ac:dyDescent="0.3">
      <c r="O89" s="33">
        <v>45973</v>
      </c>
      <c r="P89" s="34">
        <v>25875.8</v>
      </c>
      <c r="Q89" s="35">
        <f t="shared" si="5"/>
        <v>-1.2944783735180376E-4</v>
      </c>
      <c r="R89" s="34">
        <v>106.21</v>
      </c>
      <c r="S89" s="35">
        <f t="shared" si="5"/>
        <v>-2.5596330275229451E-2</v>
      </c>
      <c r="T89" s="34"/>
      <c r="W89" s="22"/>
      <c r="Z89" s="22"/>
    </row>
    <row r="90" spans="15:26" x14ac:dyDescent="0.3">
      <c r="O90" s="33">
        <v>45972</v>
      </c>
      <c r="P90" s="34">
        <v>25694.95</v>
      </c>
      <c r="Q90" s="35">
        <f t="shared" si="5"/>
        <v>-6.989155890832266E-3</v>
      </c>
      <c r="R90" s="34">
        <v>106.85</v>
      </c>
      <c r="S90" s="35">
        <f t="shared" si="5"/>
        <v>6.0257979474624968E-3</v>
      </c>
      <c r="T90" s="34"/>
      <c r="W90" s="22"/>
      <c r="Z90" s="22"/>
    </row>
    <row r="91" spans="15:26" x14ac:dyDescent="0.3">
      <c r="O91" s="33">
        <v>45971</v>
      </c>
      <c r="P91" s="34">
        <v>25574.35</v>
      </c>
      <c r="Q91" s="35">
        <f t="shared" si="5"/>
        <v>-4.6935292732619427E-3</v>
      </c>
      <c r="R91" s="34">
        <v>105.17</v>
      </c>
      <c r="S91" s="35">
        <f t="shared" si="5"/>
        <v>-1.5722976134768252E-2</v>
      </c>
      <c r="T91" s="34"/>
      <c r="W91" s="22"/>
      <c r="Z91" s="22"/>
    </row>
    <row r="92" spans="15:26" x14ac:dyDescent="0.3">
      <c r="O92" s="33">
        <v>45968</v>
      </c>
      <c r="P92" s="34">
        <v>25492.3</v>
      </c>
      <c r="Q92" s="35">
        <f t="shared" si="5"/>
        <v>-3.2082926838804537E-3</v>
      </c>
      <c r="R92" s="34">
        <v>103.23</v>
      </c>
      <c r="S92" s="35">
        <f t="shared" si="5"/>
        <v>-1.8446324997622887E-2</v>
      </c>
      <c r="T92" s="34"/>
      <c r="W92" s="22"/>
      <c r="Z92" s="22"/>
    </row>
    <row r="93" spans="15:26" x14ac:dyDescent="0.3">
      <c r="O93" s="33">
        <v>45967</v>
      </c>
      <c r="P93" s="34">
        <v>25509.7</v>
      </c>
      <c r="Q93" s="35">
        <f t="shared" si="5"/>
        <v>6.8255904724168204E-4</v>
      </c>
      <c r="R93" s="34">
        <v>103.35</v>
      </c>
      <c r="S93" s="35">
        <f t="shared" si="5"/>
        <v>1.1624527753559821E-3</v>
      </c>
      <c r="T93" s="34"/>
      <c r="W93" s="22"/>
      <c r="Z93" s="22"/>
    </row>
    <row r="94" spans="15:26" x14ac:dyDescent="0.3">
      <c r="O94" s="33">
        <v>45965</v>
      </c>
      <c r="P94" s="34">
        <v>25597.65</v>
      </c>
      <c r="Q94" s="35">
        <f t="shared" si="5"/>
        <v>3.4477081267125786E-3</v>
      </c>
      <c r="R94" s="34">
        <v>102.89</v>
      </c>
      <c r="S94" s="35">
        <f t="shared" si="5"/>
        <v>-4.4508950169327433E-3</v>
      </c>
      <c r="T94" s="34"/>
      <c r="W94" s="22"/>
      <c r="Z94" s="22"/>
    </row>
    <row r="95" spans="15:26" x14ac:dyDescent="0.3">
      <c r="O95" s="33">
        <v>45964</v>
      </c>
      <c r="P95" s="34">
        <v>25763.35</v>
      </c>
      <c r="Q95" s="35">
        <f t="shared" si="5"/>
        <v>6.4732504741644714E-3</v>
      </c>
      <c r="R95" s="34">
        <v>103.18</v>
      </c>
      <c r="S95" s="35">
        <f t="shared" si="5"/>
        <v>2.8185440761978597E-3</v>
      </c>
      <c r="T95" s="34"/>
      <c r="W95" s="22"/>
      <c r="Z95" s="22"/>
    </row>
    <row r="96" spans="15:26" x14ac:dyDescent="0.3">
      <c r="O96" s="33">
        <v>45961</v>
      </c>
      <c r="P96" s="34">
        <v>25722.1</v>
      </c>
      <c r="Q96" s="35">
        <f t="shared" si="5"/>
        <v>-1.6011116566750916E-3</v>
      </c>
      <c r="R96" s="34">
        <v>103.34</v>
      </c>
      <c r="S96" s="35">
        <f t="shared" si="5"/>
        <v>1.5506881178521947E-3</v>
      </c>
      <c r="T96" s="34"/>
      <c r="W96" s="22"/>
      <c r="Z96" s="22"/>
    </row>
    <row r="97" spans="15:26" x14ac:dyDescent="0.3">
      <c r="O97" s="33">
        <v>45960</v>
      </c>
      <c r="P97" s="34">
        <v>25877.85</v>
      </c>
      <c r="Q97" s="35">
        <f t="shared" si="5"/>
        <v>6.0551043655066028E-3</v>
      </c>
      <c r="R97" s="34">
        <v>102.76</v>
      </c>
      <c r="S97" s="35">
        <f t="shared" si="5"/>
        <v>-5.6125411263788783E-3</v>
      </c>
      <c r="T97" s="34"/>
      <c r="W97" s="22"/>
      <c r="Z97" s="22"/>
    </row>
    <row r="98" spans="15:26" x14ac:dyDescent="0.3">
      <c r="O98" s="33">
        <v>45959</v>
      </c>
      <c r="P98" s="34">
        <v>26053.9</v>
      </c>
      <c r="Q98" s="35">
        <f t="shared" si="5"/>
        <v>6.803115405646265E-3</v>
      </c>
      <c r="R98" s="34">
        <v>103.09</v>
      </c>
      <c r="S98" s="35">
        <f t="shared" si="5"/>
        <v>3.2113662903854312E-3</v>
      </c>
      <c r="T98" s="34"/>
      <c r="W98" s="22"/>
      <c r="Z98" s="22"/>
    </row>
    <row r="99" spans="15:26" x14ac:dyDescent="0.3">
      <c r="O99" s="33">
        <v>45958</v>
      </c>
      <c r="P99" s="34">
        <v>25936.2</v>
      </c>
      <c r="Q99" s="35">
        <f t="shared" si="5"/>
        <v>-4.5175578320328924E-3</v>
      </c>
      <c r="R99" s="34">
        <v>100.14</v>
      </c>
      <c r="S99" s="35">
        <f t="shared" si="5"/>
        <v>-2.8615772625860902E-2</v>
      </c>
      <c r="T99" s="34"/>
      <c r="W99" s="22"/>
      <c r="Z99" s="22"/>
    </row>
    <row r="100" spans="15:26" x14ac:dyDescent="0.3">
      <c r="O100" s="33">
        <v>45957</v>
      </c>
      <c r="P100" s="34">
        <v>25966.05</v>
      </c>
      <c r="Q100" s="35">
        <f t="shared" si="5"/>
        <v>1.1509010572094969E-3</v>
      </c>
      <c r="R100" s="34">
        <v>103.34</v>
      </c>
      <c r="S100" s="35">
        <f t="shared" si="5"/>
        <v>3.195526263231474E-2</v>
      </c>
      <c r="T100" s="34"/>
      <c r="W100" s="22"/>
      <c r="Z100" s="22"/>
    </row>
    <row r="101" spans="15:26" x14ac:dyDescent="0.3">
      <c r="O101" s="33">
        <v>45954</v>
      </c>
      <c r="P101" s="34">
        <v>25795.15</v>
      </c>
      <c r="Q101" s="35">
        <f t="shared" si="5"/>
        <v>-6.581671066642758E-3</v>
      </c>
      <c r="R101" s="34">
        <v>103.72</v>
      </c>
      <c r="S101" s="35">
        <f t="shared" si="5"/>
        <v>3.6771821172827401E-3</v>
      </c>
      <c r="T101" s="34"/>
      <c r="W101" s="22"/>
      <c r="Z101" s="22"/>
    </row>
    <row r="102" spans="15:26" x14ac:dyDescent="0.3">
      <c r="O102" s="33">
        <v>45953</v>
      </c>
      <c r="P102" s="34">
        <v>25891.4</v>
      </c>
      <c r="Q102" s="35">
        <f t="shared" si="5"/>
        <v>3.7313215856469295E-3</v>
      </c>
      <c r="R102" s="34">
        <v>104.76</v>
      </c>
      <c r="S102" s="35">
        <f t="shared" si="5"/>
        <v>1.0026995757809631E-2</v>
      </c>
      <c r="T102" s="34"/>
      <c r="W102" s="22"/>
      <c r="Z102" s="22"/>
    </row>
    <row r="103" spans="15:26" x14ac:dyDescent="0.3">
      <c r="O103" s="33">
        <v>45951</v>
      </c>
      <c r="P103" s="34">
        <v>25868.6</v>
      </c>
      <c r="Q103" s="35">
        <f t="shared" si="5"/>
        <v>-8.8060128073430555E-4</v>
      </c>
      <c r="R103" s="34">
        <v>109.17</v>
      </c>
      <c r="S103" s="35">
        <f t="shared" si="5"/>
        <v>4.209621993127155E-2</v>
      </c>
      <c r="T103" s="34"/>
      <c r="W103" s="22"/>
      <c r="Z103" s="22"/>
    </row>
    <row r="104" spans="15:26" x14ac:dyDescent="0.3">
      <c r="O104" s="33">
        <v>45950</v>
      </c>
      <c r="P104" s="34">
        <v>25843.15</v>
      </c>
      <c r="Q104" s="35">
        <f t="shared" si="5"/>
        <v>-9.8381821977211459E-4</v>
      </c>
      <c r="R104" s="34">
        <v>108.23</v>
      </c>
      <c r="S104" s="35">
        <f t="shared" si="5"/>
        <v>-8.6104241091874423E-3</v>
      </c>
      <c r="T104" s="34"/>
      <c r="W104" s="22"/>
      <c r="Z104" s="22"/>
    </row>
    <row r="105" spans="15:26" x14ac:dyDescent="0.3">
      <c r="O105" s="33">
        <v>45947</v>
      </c>
      <c r="P105" s="34">
        <v>25709.85</v>
      </c>
      <c r="Q105" s="35">
        <f t="shared" si="5"/>
        <v>-5.1580399448211134E-3</v>
      </c>
      <c r="R105" s="34">
        <v>111.83</v>
      </c>
      <c r="S105" s="35">
        <f t="shared" si="5"/>
        <v>3.3262496535156449E-2</v>
      </c>
      <c r="T105" s="34"/>
      <c r="W105" s="22"/>
      <c r="Z105" s="22"/>
    </row>
    <row r="106" spans="15:26" x14ac:dyDescent="0.3">
      <c r="O106" s="33">
        <v>45946</v>
      </c>
      <c r="P106" s="34">
        <v>25585.3</v>
      </c>
      <c r="Q106" s="35">
        <f t="shared" si="5"/>
        <v>-4.8444467781803002E-3</v>
      </c>
      <c r="R106" s="34">
        <v>108.82</v>
      </c>
      <c r="S106" s="35">
        <f t="shared" si="5"/>
        <v>-2.6915854421890373E-2</v>
      </c>
      <c r="T106" s="34"/>
      <c r="W106" s="22"/>
      <c r="Z106" s="22"/>
    </row>
    <row r="107" spans="15:26" x14ac:dyDescent="0.3">
      <c r="O107" s="33">
        <v>45945</v>
      </c>
      <c r="P107" s="34">
        <v>25323.55</v>
      </c>
      <c r="Q107" s="35">
        <f t="shared" si="5"/>
        <v>-1.0230483910683041E-2</v>
      </c>
      <c r="R107" s="34">
        <v>108.9</v>
      </c>
      <c r="S107" s="35">
        <f t="shared" si="5"/>
        <v>7.3515897812903575E-4</v>
      </c>
      <c r="T107" s="34"/>
      <c r="W107" s="22"/>
      <c r="Z107" s="22"/>
    </row>
    <row r="108" spans="15:26" x14ac:dyDescent="0.3">
      <c r="O108" s="33">
        <v>45944</v>
      </c>
      <c r="P108" s="34">
        <v>25145.5</v>
      </c>
      <c r="Q108" s="35">
        <f t="shared" si="5"/>
        <v>-7.0310047366975992E-3</v>
      </c>
      <c r="R108" s="34">
        <v>108.61</v>
      </c>
      <c r="S108" s="35">
        <f t="shared" si="5"/>
        <v>-2.6629935720845488E-3</v>
      </c>
      <c r="T108" s="34"/>
      <c r="W108" s="22"/>
      <c r="Z108" s="22"/>
    </row>
    <row r="109" spans="15:26" x14ac:dyDescent="0.3">
      <c r="O109" s="33">
        <v>45943</v>
      </c>
      <c r="P109" s="34">
        <v>25227.35</v>
      </c>
      <c r="Q109" s="35">
        <f t="shared" si="5"/>
        <v>3.2550555765444855E-3</v>
      </c>
      <c r="R109" s="34">
        <v>106.11</v>
      </c>
      <c r="S109" s="35">
        <f t="shared" si="5"/>
        <v>-2.3018138292974832E-2</v>
      </c>
      <c r="T109" s="34"/>
      <c r="W109" s="22"/>
      <c r="Z109" s="22"/>
    </row>
    <row r="110" spans="15:26" x14ac:dyDescent="0.3">
      <c r="O110" s="33">
        <v>45940</v>
      </c>
      <c r="P110" s="34">
        <v>25285.35</v>
      </c>
      <c r="Q110" s="35">
        <f t="shared" si="5"/>
        <v>2.2990920568350948E-3</v>
      </c>
      <c r="R110" s="34">
        <v>104.02</v>
      </c>
      <c r="S110" s="35">
        <f t="shared" si="5"/>
        <v>-1.9696541325040062E-2</v>
      </c>
      <c r="T110" s="34"/>
      <c r="W110" s="22"/>
      <c r="Z110" s="22"/>
    </row>
    <row r="111" spans="15:26" x14ac:dyDescent="0.3">
      <c r="O111" s="33">
        <v>45939</v>
      </c>
      <c r="P111" s="34">
        <v>25181.8</v>
      </c>
      <c r="Q111" s="35">
        <f t="shared" si="5"/>
        <v>-4.0952567395744488E-3</v>
      </c>
      <c r="R111" s="34">
        <v>104.69</v>
      </c>
      <c r="S111" s="35">
        <f t="shared" si="5"/>
        <v>6.4410690251874847E-3</v>
      </c>
      <c r="T111" s="34"/>
      <c r="W111" s="22"/>
      <c r="Z111" s="22"/>
    </row>
    <row r="112" spans="15:26" x14ac:dyDescent="0.3">
      <c r="O112" s="33">
        <v>45938</v>
      </c>
      <c r="P112" s="34">
        <v>25046.15</v>
      </c>
      <c r="Q112" s="35">
        <f t="shared" si="5"/>
        <v>-5.38682699409887E-3</v>
      </c>
      <c r="R112" s="34">
        <v>105.25</v>
      </c>
      <c r="S112" s="35">
        <f t="shared" si="5"/>
        <v>5.3491259910212197E-3</v>
      </c>
      <c r="T112" s="34"/>
      <c r="W112" s="22"/>
      <c r="Z112" s="22"/>
    </row>
    <row r="113" spans="15:26" x14ac:dyDescent="0.3">
      <c r="O113" s="33">
        <v>45937</v>
      </c>
      <c r="P113" s="34">
        <v>25108.3</v>
      </c>
      <c r="Q113" s="35">
        <f t="shared" si="5"/>
        <v>2.481419299972254E-3</v>
      </c>
      <c r="R113" s="34">
        <v>103.11</v>
      </c>
      <c r="S113" s="35">
        <f t="shared" si="5"/>
        <v>-2.0332541567695928E-2</v>
      </c>
      <c r="T113" s="34"/>
      <c r="W113" s="22"/>
      <c r="Z113" s="22"/>
    </row>
    <row r="114" spans="15:26" x14ac:dyDescent="0.3">
      <c r="O114" s="33">
        <v>45936</v>
      </c>
      <c r="P114" s="34">
        <v>25077.65</v>
      </c>
      <c r="Q114" s="35">
        <f t="shared" si="5"/>
        <v>-1.2207118761524693E-3</v>
      </c>
      <c r="R114" s="34">
        <v>102.46</v>
      </c>
      <c r="S114" s="35">
        <f t="shared" si="5"/>
        <v>-6.3039472408108477E-3</v>
      </c>
      <c r="T114" s="34"/>
      <c r="W114" s="22"/>
      <c r="Z114" s="22"/>
    </row>
    <row r="115" spans="15:26" x14ac:dyDescent="0.3">
      <c r="O115" s="33">
        <v>45933</v>
      </c>
      <c r="P115" s="34">
        <v>24894.25</v>
      </c>
      <c r="Q115" s="35">
        <f t="shared" si="5"/>
        <v>-7.3132849369857977E-3</v>
      </c>
      <c r="R115" s="34">
        <v>99.88</v>
      </c>
      <c r="S115" s="35">
        <f t="shared" si="5"/>
        <v>-2.5180558266640674E-2</v>
      </c>
      <c r="T115" s="34"/>
      <c r="W115" s="22"/>
      <c r="Z115" s="22"/>
    </row>
    <row r="116" spans="15:26" x14ac:dyDescent="0.3">
      <c r="O116" s="33">
        <v>45931</v>
      </c>
      <c r="P116" s="34">
        <v>24836.3</v>
      </c>
      <c r="Q116" s="35">
        <f t="shared" si="5"/>
        <v>-2.3278467919298773E-3</v>
      </c>
      <c r="R116" s="34">
        <v>101.33</v>
      </c>
      <c r="S116" s="35">
        <f t="shared" si="5"/>
        <v>1.4517420905086231E-2</v>
      </c>
      <c r="T116" s="34"/>
      <c r="W116" s="22"/>
      <c r="Z116" s="22"/>
    </row>
    <row r="117" spans="15:26" x14ac:dyDescent="0.3">
      <c r="O117" s="33">
        <v>45930</v>
      </c>
      <c r="P117" s="34">
        <v>24611.1</v>
      </c>
      <c r="Q117" s="35">
        <f t="shared" si="5"/>
        <v>-9.0673731594480556E-3</v>
      </c>
      <c r="R117" s="34">
        <v>99.57</v>
      </c>
      <c r="S117" s="35">
        <f t="shared" si="5"/>
        <v>-1.736899240106593E-2</v>
      </c>
      <c r="T117" s="34"/>
      <c r="W117" s="22"/>
      <c r="Z117" s="22"/>
    </row>
    <row r="118" spans="15:26" x14ac:dyDescent="0.3">
      <c r="O118" s="33">
        <v>45929</v>
      </c>
      <c r="P118" s="34">
        <v>24634.9</v>
      </c>
      <c r="Q118" s="35">
        <f t="shared" si="5"/>
        <v>9.6704332597896681E-4</v>
      </c>
      <c r="R118" s="34">
        <v>99.66</v>
      </c>
      <c r="S118" s="35">
        <f t="shared" si="5"/>
        <v>9.0388671286545375E-4</v>
      </c>
      <c r="T118" s="34"/>
      <c r="W118" s="22"/>
      <c r="Z118" s="22"/>
    </row>
    <row r="119" spans="15:26" x14ac:dyDescent="0.3">
      <c r="O119" s="33">
        <v>45926</v>
      </c>
      <c r="P119" s="34">
        <v>24654.7</v>
      </c>
      <c r="Q119" s="35">
        <f t="shared" si="5"/>
        <v>8.0373778663589412E-4</v>
      </c>
      <c r="R119" s="34">
        <v>97.38</v>
      </c>
      <c r="S119" s="35">
        <f t="shared" si="5"/>
        <v>-2.2877784467188467E-2</v>
      </c>
      <c r="T119" s="34"/>
      <c r="W119" s="22"/>
      <c r="Z119" s="22"/>
    </row>
    <row r="120" spans="15:26" x14ac:dyDescent="0.3">
      <c r="O120" s="33">
        <v>45925</v>
      </c>
      <c r="P120" s="34">
        <v>24890.85</v>
      </c>
      <c r="Q120" s="35">
        <f t="shared" si="5"/>
        <v>9.5782954162897394E-3</v>
      </c>
      <c r="R120" s="34">
        <v>97.59</v>
      </c>
      <c r="S120" s="35">
        <f t="shared" si="5"/>
        <v>2.1565003080714629E-3</v>
      </c>
      <c r="T120" s="34"/>
      <c r="W120" s="22"/>
      <c r="Z120" s="22"/>
    </row>
    <row r="121" spans="15:26" x14ac:dyDescent="0.3">
      <c r="O121" s="33">
        <v>45924</v>
      </c>
      <c r="P121" s="34">
        <v>25056.9</v>
      </c>
      <c r="Q121" s="35">
        <f t="shared" si="5"/>
        <v>6.671126136712946E-3</v>
      </c>
      <c r="R121" s="34">
        <v>97.81</v>
      </c>
      <c r="S121" s="35">
        <f t="shared" si="5"/>
        <v>2.2543293370222983E-3</v>
      </c>
      <c r="T121" s="34"/>
      <c r="W121" s="22"/>
      <c r="Z121" s="22"/>
    </row>
    <row r="122" spans="15:26" x14ac:dyDescent="0.3">
      <c r="O122" s="33">
        <v>45923</v>
      </c>
      <c r="P122" s="34">
        <v>25169.5</v>
      </c>
      <c r="Q122" s="35">
        <f t="shared" si="5"/>
        <v>4.4937721745306192E-3</v>
      </c>
      <c r="R122" s="34">
        <v>98.36</v>
      </c>
      <c r="S122" s="35">
        <f t="shared" si="5"/>
        <v>5.6231469174929938E-3</v>
      </c>
      <c r="T122" s="34"/>
      <c r="W122" s="22"/>
      <c r="Z122" s="22"/>
    </row>
    <row r="123" spans="15:26" x14ac:dyDescent="0.3">
      <c r="O123" s="33">
        <v>45922</v>
      </c>
      <c r="P123" s="34">
        <v>25202.35</v>
      </c>
      <c r="Q123" s="35">
        <f t="shared" si="5"/>
        <v>1.3051510757067231E-3</v>
      </c>
      <c r="R123" s="34">
        <v>96.35</v>
      </c>
      <c r="S123" s="35">
        <f t="shared" si="5"/>
        <v>-2.0435136234241646E-2</v>
      </c>
      <c r="T123" s="34"/>
      <c r="W123" s="22"/>
      <c r="Z123" s="22"/>
    </row>
    <row r="124" spans="15:26" x14ac:dyDescent="0.3">
      <c r="O124" s="33">
        <v>45919</v>
      </c>
      <c r="P124" s="34">
        <v>25327.05</v>
      </c>
      <c r="Q124" s="35">
        <f t="shared" si="5"/>
        <v>4.9479512823209504E-3</v>
      </c>
      <c r="R124" s="34">
        <v>94.29</v>
      </c>
      <c r="S124" s="35">
        <f t="shared" si="5"/>
        <v>-2.1380384016606024E-2</v>
      </c>
      <c r="T124" s="34"/>
      <c r="W124" s="22"/>
      <c r="Z124" s="22"/>
    </row>
    <row r="125" spans="15:26" x14ac:dyDescent="0.3">
      <c r="O125" s="33">
        <v>45918</v>
      </c>
      <c r="P125" s="34">
        <v>25423.599999999999</v>
      </c>
      <c r="Q125" s="35">
        <f t="shared" si="5"/>
        <v>3.8121297190158998E-3</v>
      </c>
      <c r="R125" s="34">
        <v>94.5</v>
      </c>
      <c r="S125" s="35">
        <f t="shared" si="5"/>
        <v>2.2271714922048602E-3</v>
      </c>
      <c r="T125" s="34"/>
      <c r="W125" s="22"/>
      <c r="Z125" s="22"/>
    </row>
    <row r="126" spans="15:26" x14ac:dyDescent="0.3">
      <c r="O126" s="33">
        <v>45917</v>
      </c>
      <c r="P126" s="34">
        <v>25330.25</v>
      </c>
      <c r="Q126" s="35">
        <f t="shared" si="5"/>
        <v>-3.6717852703785914E-3</v>
      </c>
      <c r="R126" s="34">
        <v>94.41</v>
      </c>
      <c r="S126" s="35">
        <f t="shared" si="5"/>
        <v>-9.5238095238103782E-4</v>
      </c>
      <c r="T126" s="34"/>
      <c r="W126" s="22"/>
      <c r="Z126" s="22"/>
    </row>
    <row r="127" spans="15:26" x14ac:dyDescent="0.3">
      <c r="O127" s="33">
        <v>45916</v>
      </c>
      <c r="P127" s="34">
        <v>25239.1</v>
      </c>
      <c r="Q127" s="35">
        <f t="shared" si="5"/>
        <v>-3.5984642867717964E-3</v>
      </c>
      <c r="R127" s="34">
        <v>95.62</v>
      </c>
      <c r="S127" s="35">
        <f t="shared" si="5"/>
        <v>1.2816438936553487E-2</v>
      </c>
      <c r="T127" s="34"/>
      <c r="W127" s="22"/>
      <c r="Z127" s="22"/>
    </row>
    <row r="128" spans="15:26" x14ac:dyDescent="0.3">
      <c r="O128" s="33">
        <v>45915</v>
      </c>
      <c r="P128" s="34">
        <v>25069.200000000001</v>
      </c>
      <c r="Q128" s="35">
        <f t="shared" si="5"/>
        <v>-6.7316187978175845E-3</v>
      </c>
      <c r="R128" s="34">
        <v>93.97</v>
      </c>
      <c r="S128" s="35">
        <f t="shared" si="5"/>
        <v>-1.7255804225057569E-2</v>
      </c>
      <c r="T128" s="34"/>
      <c r="W128" s="22"/>
      <c r="Z128" s="22"/>
    </row>
    <row r="129" spans="15:26" x14ac:dyDescent="0.3">
      <c r="O129" s="33">
        <v>45912</v>
      </c>
      <c r="P129" s="34">
        <v>25114</v>
      </c>
      <c r="Q129" s="35">
        <f t="shared" si="5"/>
        <v>1.7870534360888701E-3</v>
      </c>
      <c r="R129" s="34">
        <v>94.29</v>
      </c>
      <c r="S129" s="35">
        <f t="shared" si="5"/>
        <v>3.4053421304671705E-3</v>
      </c>
      <c r="T129" s="34"/>
      <c r="W129" s="22"/>
      <c r="Z129" s="22"/>
    </row>
    <row r="130" spans="15:26" x14ac:dyDescent="0.3">
      <c r="O130" s="33">
        <v>45911</v>
      </c>
      <c r="P130" s="34">
        <v>25005.5</v>
      </c>
      <c r="Q130" s="35">
        <f t="shared" si="5"/>
        <v>-4.3202994345783452E-3</v>
      </c>
      <c r="R130" s="34">
        <v>93.63</v>
      </c>
      <c r="S130" s="35">
        <f t="shared" si="5"/>
        <v>-6.9996818326441002E-3</v>
      </c>
      <c r="T130" s="34"/>
      <c r="W130" s="22"/>
      <c r="Z130" s="22"/>
    </row>
    <row r="131" spans="15:26" x14ac:dyDescent="0.3">
      <c r="O131" s="33">
        <v>45910</v>
      </c>
      <c r="P131" s="34">
        <v>24973.1</v>
      </c>
      <c r="Q131" s="35">
        <f t="shared" si="5"/>
        <v>-1.2957149427126335E-3</v>
      </c>
      <c r="R131" s="34">
        <v>93.91</v>
      </c>
      <c r="S131" s="35">
        <f t="shared" si="5"/>
        <v>2.990494499626184E-3</v>
      </c>
      <c r="T131" s="34"/>
      <c r="W131" s="22"/>
      <c r="Z131" s="22"/>
    </row>
    <row r="132" spans="15:26" x14ac:dyDescent="0.3">
      <c r="O132" s="33">
        <v>45909</v>
      </c>
      <c r="P132" s="34">
        <v>24868.6</v>
      </c>
      <c r="Q132" s="35">
        <f t="shared" si="5"/>
        <v>-4.1845025247165824E-3</v>
      </c>
      <c r="R132" s="34">
        <v>94.52</v>
      </c>
      <c r="S132" s="35">
        <f t="shared" si="5"/>
        <v>6.4955808753062172E-3</v>
      </c>
      <c r="T132" s="34"/>
      <c r="W132" s="22"/>
      <c r="Z132" s="22"/>
    </row>
    <row r="133" spans="15:26" x14ac:dyDescent="0.3">
      <c r="O133" s="33">
        <v>45908</v>
      </c>
      <c r="P133" s="34">
        <v>24773.15</v>
      </c>
      <c r="Q133" s="35">
        <f t="shared" si="5"/>
        <v>-3.838173439598358E-3</v>
      </c>
      <c r="R133" s="34">
        <v>93.05</v>
      </c>
      <c r="S133" s="35">
        <f t="shared" si="5"/>
        <v>-1.5552264071096E-2</v>
      </c>
      <c r="T133" s="34"/>
      <c r="W133" s="22"/>
      <c r="Z133" s="22"/>
    </row>
    <row r="134" spans="15:26" x14ac:dyDescent="0.3">
      <c r="O134" s="33">
        <v>45905</v>
      </c>
      <c r="P134" s="34">
        <v>24741</v>
      </c>
      <c r="Q134" s="35">
        <f t="shared" si="5"/>
        <v>-1.2977760196019039E-3</v>
      </c>
      <c r="R134" s="34">
        <v>91.68</v>
      </c>
      <c r="S134" s="35">
        <f t="shared" si="5"/>
        <v>-1.4723267060719913E-2</v>
      </c>
      <c r="T134" s="34"/>
      <c r="W134" s="22"/>
      <c r="Z134" s="22"/>
    </row>
    <row r="135" spans="15:26" x14ac:dyDescent="0.3">
      <c r="O135" s="33">
        <v>45904</v>
      </c>
      <c r="P135" s="34">
        <v>24734.3</v>
      </c>
      <c r="Q135" s="35">
        <f t="shared" si="5"/>
        <v>-2.7080554545089175E-4</v>
      </c>
      <c r="R135" s="34">
        <v>91.04</v>
      </c>
      <c r="S135" s="35">
        <f t="shared" si="5"/>
        <v>-6.9808027923211613E-3</v>
      </c>
      <c r="T135" s="34"/>
      <c r="W135" s="22"/>
      <c r="Z135" s="22"/>
    </row>
    <row r="136" spans="15:26" x14ac:dyDescent="0.3">
      <c r="O136" s="33">
        <v>45903</v>
      </c>
      <c r="P136" s="34">
        <v>24715.05</v>
      </c>
      <c r="Q136" s="35">
        <f t="shared" ref="Q136:S199" si="6">P136/P135-1</f>
        <v>-7.7827146917441858E-4</v>
      </c>
      <c r="R136" s="34">
        <v>90.96</v>
      </c>
      <c r="S136" s="35">
        <f t="shared" si="6"/>
        <v>-8.7873462214427267E-4</v>
      </c>
      <c r="T136" s="34"/>
      <c r="W136" s="22"/>
      <c r="Z136" s="22"/>
    </row>
    <row r="137" spans="15:26" x14ac:dyDescent="0.3">
      <c r="O137" s="33">
        <v>45902</v>
      </c>
      <c r="P137" s="34">
        <v>24579.599999999999</v>
      </c>
      <c r="Q137" s="35">
        <f t="shared" si="6"/>
        <v>-5.4804663555202415E-3</v>
      </c>
      <c r="R137" s="34">
        <v>89.59</v>
      </c>
      <c r="S137" s="35">
        <f t="shared" si="6"/>
        <v>-1.5061565523306841E-2</v>
      </c>
      <c r="T137" s="34"/>
      <c r="W137" s="22"/>
      <c r="Z137" s="22"/>
    </row>
    <row r="138" spans="15:26" x14ac:dyDescent="0.3">
      <c r="O138" s="33">
        <v>45901</v>
      </c>
      <c r="P138" s="34">
        <v>24625.05</v>
      </c>
      <c r="Q138" s="35">
        <f t="shared" si="6"/>
        <v>1.8490943709417174E-3</v>
      </c>
      <c r="R138" s="34">
        <v>89.73</v>
      </c>
      <c r="S138" s="35">
        <f t="shared" si="6"/>
        <v>1.5626744056256303E-3</v>
      </c>
      <c r="T138" s="34"/>
      <c r="W138" s="22"/>
      <c r="Z138" s="22"/>
    </row>
    <row r="139" spans="15:26" x14ac:dyDescent="0.3">
      <c r="O139" s="33">
        <v>45898</v>
      </c>
      <c r="P139" s="34">
        <v>24426.85</v>
      </c>
      <c r="Q139" s="35">
        <f t="shared" si="6"/>
        <v>-8.0487146218992667E-3</v>
      </c>
      <c r="R139" s="34">
        <v>88.17</v>
      </c>
      <c r="S139" s="35">
        <f t="shared" si="6"/>
        <v>-1.7385489802741572E-2</v>
      </c>
      <c r="T139" s="34"/>
      <c r="W139" s="22"/>
      <c r="Z139" s="22"/>
    </row>
    <row r="140" spans="15:26" x14ac:dyDescent="0.3">
      <c r="O140" s="33">
        <v>45897</v>
      </c>
      <c r="P140" s="34">
        <v>24500.9</v>
      </c>
      <c r="Q140" s="35">
        <f t="shared" si="6"/>
        <v>3.0315001729654956E-3</v>
      </c>
      <c r="R140" s="34">
        <v>87.22</v>
      </c>
      <c r="S140" s="35">
        <f t="shared" si="6"/>
        <v>-1.0774639900192895E-2</v>
      </c>
      <c r="T140" s="34"/>
      <c r="W140" s="22"/>
      <c r="Z140" s="22"/>
    </row>
    <row r="141" spans="15:26" x14ac:dyDescent="0.3">
      <c r="O141" s="33">
        <v>45895</v>
      </c>
      <c r="P141" s="34">
        <v>24712.05</v>
      </c>
      <c r="Q141" s="35">
        <f t="shared" si="6"/>
        <v>8.6180507654820548E-3</v>
      </c>
      <c r="R141" s="34">
        <v>86.59</v>
      </c>
      <c r="S141" s="35">
        <f t="shared" si="6"/>
        <v>-7.2231139646870002E-3</v>
      </c>
      <c r="T141" s="34"/>
      <c r="W141" s="22"/>
      <c r="Z141" s="22"/>
    </row>
    <row r="142" spans="15:26" x14ac:dyDescent="0.3">
      <c r="O142" s="33">
        <v>45894</v>
      </c>
      <c r="P142" s="34">
        <v>24967.75</v>
      </c>
      <c r="Q142" s="35">
        <f t="shared" si="6"/>
        <v>1.0347178805481638E-2</v>
      </c>
      <c r="R142" s="34">
        <v>86.27</v>
      </c>
      <c r="S142" s="35">
        <f t="shared" si="6"/>
        <v>-3.6955768564500557E-3</v>
      </c>
      <c r="T142" s="34"/>
      <c r="W142" s="22"/>
      <c r="Z142" s="22"/>
    </row>
    <row r="143" spans="15:26" x14ac:dyDescent="0.3">
      <c r="O143" s="33">
        <v>45891</v>
      </c>
      <c r="P143" s="34">
        <v>24870.1</v>
      </c>
      <c r="Q143" s="35">
        <f t="shared" si="6"/>
        <v>-3.9110452483704927E-3</v>
      </c>
      <c r="R143" s="34">
        <v>85.38</v>
      </c>
      <c r="S143" s="35">
        <f t="shared" si="6"/>
        <v>-1.0316448359800612E-2</v>
      </c>
      <c r="T143" s="34"/>
      <c r="W143" s="22"/>
      <c r="Z143" s="22"/>
    </row>
    <row r="144" spans="15:26" x14ac:dyDescent="0.3">
      <c r="O144" s="33">
        <v>45890</v>
      </c>
      <c r="P144" s="34">
        <v>25083.75</v>
      </c>
      <c r="Q144" s="35">
        <f t="shared" si="6"/>
        <v>8.5906369495900581E-3</v>
      </c>
      <c r="R144" s="34">
        <v>85.38</v>
      </c>
      <c r="S144" s="35">
        <f t="shared" si="6"/>
        <v>0</v>
      </c>
      <c r="T144" s="34"/>
      <c r="W144" s="22"/>
      <c r="Z144" s="22"/>
    </row>
    <row r="145" spans="15:26" x14ac:dyDescent="0.3">
      <c r="O145" s="33">
        <v>45889</v>
      </c>
      <c r="P145" s="34">
        <v>25050.55</v>
      </c>
      <c r="Q145" s="35">
        <f t="shared" si="6"/>
        <v>-1.3235660537200822E-3</v>
      </c>
      <c r="R145" s="34">
        <v>84.77</v>
      </c>
      <c r="S145" s="35">
        <f t="shared" si="6"/>
        <v>-7.1445303349730871E-3</v>
      </c>
      <c r="T145" s="34"/>
      <c r="W145" s="22"/>
      <c r="Z145" s="22"/>
    </row>
    <row r="146" spans="15:26" x14ac:dyDescent="0.3">
      <c r="O146" s="33">
        <v>45888</v>
      </c>
      <c r="P146" s="34">
        <v>24980.65</v>
      </c>
      <c r="Q146" s="35">
        <f t="shared" si="6"/>
        <v>-2.7903578963335285E-3</v>
      </c>
      <c r="R146" s="34">
        <v>85</v>
      </c>
      <c r="S146" s="35">
        <f t="shared" si="6"/>
        <v>2.7132240179308376E-3</v>
      </c>
      <c r="T146" s="34"/>
      <c r="W146" s="22"/>
      <c r="Z146" s="22"/>
    </row>
    <row r="147" spans="15:26" x14ac:dyDescent="0.3">
      <c r="O147" s="33">
        <v>45887</v>
      </c>
      <c r="P147" s="34">
        <v>24876.95</v>
      </c>
      <c r="Q147" s="35">
        <f t="shared" si="6"/>
        <v>-4.1512130388920987E-3</v>
      </c>
      <c r="R147" s="34">
        <v>85.59</v>
      </c>
      <c r="S147" s="35">
        <f t="shared" si="6"/>
        <v>6.9411764705882284E-3</v>
      </c>
      <c r="T147" s="34"/>
      <c r="W147" s="22"/>
      <c r="Z147" s="22"/>
    </row>
    <row r="148" spans="15:26" x14ac:dyDescent="0.3">
      <c r="O148" s="33">
        <v>45883</v>
      </c>
      <c r="P148" s="34">
        <v>24631.3</v>
      </c>
      <c r="Q148" s="35">
        <f t="shared" si="6"/>
        <v>-9.8746027949568882E-3</v>
      </c>
      <c r="R148" s="34">
        <v>85.95</v>
      </c>
      <c r="S148" s="35">
        <f t="shared" si="6"/>
        <v>4.2060988433227919E-3</v>
      </c>
      <c r="T148" s="34"/>
      <c r="W148" s="22"/>
      <c r="Z148" s="22"/>
    </row>
    <row r="149" spans="15:26" x14ac:dyDescent="0.3">
      <c r="O149" s="33">
        <v>45882</v>
      </c>
      <c r="P149" s="34">
        <v>24619.35</v>
      </c>
      <c r="Q149" s="35">
        <f t="shared" si="6"/>
        <v>-4.8515506692703436E-4</v>
      </c>
      <c r="R149" s="34">
        <v>86.02</v>
      </c>
      <c r="S149" s="35">
        <f t="shared" si="6"/>
        <v>8.1442699243727823E-4</v>
      </c>
      <c r="T149" s="34"/>
      <c r="W149" s="22"/>
      <c r="Z149" s="22"/>
    </row>
    <row r="150" spans="15:26" x14ac:dyDescent="0.3">
      <c r="O150" s="33">
        <v>45881</v>
      </c>
      <c r="P150" s="34">
        <v>24487.4</v>
      </c>
      <c r="Q150" s="35">
        <f t="shared" si="6"/>
        <v>-5.3596053510753805E-3</v>
      </c>
      <c r="R150" s="34">
        <v>85.65</v>
      </c>
      <c r="S150" s="35">
        <f t="shared" si="6"/>
        <v>-4.3013252731921581E-3</v>
      </c>
      <c r="T150" s="34"/>
      <c r="W150" s="22"/>
      <c r="Z150" s="22"/>
    </row>
    <row r="151" spans="15:26" x14ac:dyDescent="0.3">
      <c r="O151" s="33">
        <v>45880</v>
      </c>
      <c r="P151" s="34">
        <v>24585.05</v>
      </c>
      <c r="Q151" s="35">
        <f t="shared" si="6"/>
        <v>3.987765136355792E-3</v>
      </c>
      <c r="R151" s="34">
        <v>85.93</v>
      </c>
      <c r="S151" s="35">
        <f t="shared" si="6"/>
        <v>3.2691185055457872E-3</v>
      </c>
      <c r="T151" s="34"/>
      <c r="W151" s="22"/>
      <c r="Z151" s="22"/>
    </row>
    <row r="152" spans="15:26" x14ac:dyDescent="0.3">
      <c r="O152" s="33">
        <v>45877</v>
      </c>
      <c r="P152" s="34">
        <v>24363.3</v>
      </c>
      <c r="Q152" s="35">
        <f t="shared" si="6"/>
        <v>-9.0197091321758682E-3</v>
      </c>
      <c r="R152" s="34">
        <v>87.19</v>
      </c>
      <c r="S152" s="35">
        <f t="shared" si="6"/>
        <v>1.4663097870359465E-2</v>
      </c>
      <c r="T152" s="34"/>
      <c r="W152" s="22"/>
      <c r="Z152" s="22"/>
    </row>
    <row r="153" spans="15:26" x14ac:dyDescent="0.3">
      <c r="O153" s="33">
        <v>45876</v>
      </c>
      <c r="P153" s="34">
        <v>24596.15</v>
      </c>
      <c r="Q153" s="35">
        <f t="shared" si="6"/>
        <v>9.5574080686935403E-3</v>
      </c>
      <c r="R153" s="34">
        <v>86.8</v>
      </c>
      <c r="S153" s="35">
        <f t="shared" si="6"/>
        <v>-4.4729900217914675E-3</v>
      </c>
      <c r="T153" s="34"/>
      <c r="W153" s="22"/>
      <c r="Z153" s="22"/>
    </row>
    <row r="154" spans="15:26" x14ac:dyDescent="0.3">
      <c r="O154" s="33">
        <v>45875</v>
      </c>
      <c r="P154" s="34">
        <v>24574.2</v>
      </c>
      <c r="Q154" s="35">
        <f t="shared" si="6"/>
        <v>-8.9241608950996199E-4</v>
      </c>
      <c r="R154" s="34">
        <v>86.31</v>
      </c>
      <c r="S154" s="35">
        <f t="shared" si="6"/>
        <v>-5.6451612903225534E-3</v>
      </c>
      <c r="T154" s="34"/>
      <c r="W154" s="22"/>
      <c r="Z154" s="22"/>
    </row>
    <row r="155" spans="15:26" x14ac:dyDescent="0.3">
      <c r="O155" s="33">
        <v>45874</v>
      </c>
      <c r="P155" s="34">
        <v>24649.55</v>
      </c>
      <c r="Q155" s="35">
        <f t="shared" si="6"/>
        <v>3.0662239259060531E-3</v>
      </c>
      <c r="R155" s="34">
        <v>86.38</v>
      </c>
      <c r="S155" s="35">
        <f t="shared" si="6"/>
        <v>8.1103000811011405E-4</v>
      </c>
      <c r="T155" s="34"/>
      <c r="W155" s="22"/>
      <c r="Z155" s="22"/>
    </row>
    <row r="156" spans="15:26" x14ac:dyDescent="0.3">
      <c r="O156" s="33">
        <v>45873</v>
      </c>
      <c r="P156" s="34">
        <v>24722.75</v>
      </c>
      <c r="Q156" s="35">
        <f t="shared" si="6"/>
        <v>2.9696282487916559E-3</v>
      </c>
      <c r="R156" s="34">
        <v>86.04</v>
      </c>
      <c r="S156" s="35">
        <f t="shared" si="6"/>
        <v>-3.9360963185921527E-3</v>
      </c>
      <c r="T156" s="34"/>
      <c r="W156" s="22"/>
      <c r="Z156" s="22"/>
    </row>
    <row r="157" spans="15:26" x14ac:dyDescent="0.3">
      <c r="O157" s="33">
        <v>45870</v>
      </c>
      <c r="P157" s="34">
        <v>24565.35</v>
      </c>
      <c r="Q157" s="35">
        <f t="shared" si="6"/>
        <v>-6.366605656733193E-3</v>
      </c>
      <c r="R157" s="34">
        <v>84.57</v>
      </c>
      <c r="S157" s="35">
        <f t="shared" si="6"/>
        <v>-1.7085076708507785E-2</v>
      </c>
      <c r="T157" s="34"/>
      <c r="W157" s="22"/>
      <c r="Z157" s="22"/>
    </row>
    <row r="158" spans="15:26" x14ac:dyDescent="0.3">
      <c r="O158" s="33">
        <v>45869</v>
      </c>
      <c r="P158" s="34">
        <v>24768.35</v>
      </c>
      <c r="Q158" s="35">
        <f t="shared" si="6"/>
        <v>8.2636722049553857E-3</v>
      </c>
      <c r="R158" s="34">
        <v>84.86</v>
      </c>
      <c r="S158" s="35">
        <f t="shared" si="6"/>
        <v>3.4291119782430268E-3</v>
      </c>
      <c r="T158" s="34"/>
      <c r="W158" s="22"/>
      <c r="Z158" s="22"/>
    </row>
    <row r="159" spans="15:26" x14ac:dyDescent="0.3">
      <c r="O159" s="33">
        <v>45868</v>
      </c>
      <c r="P159" s="34">
        <v>24855.05</v>
      </c>
      <c r="Q159" s="35">
        <f t="shared" si="6"/>
        <v>3.5004350309972843E-3</v>
      </c>
      <c r="R159" s="34">
        <v>85.43</v>
      </c>
      <c r="S159" s="35">
        <f t="shared" si="6"/>
        <v>6.716945557388776E-3</v>
      </c>
      <c r="T159" s="34"/>
      <c r="W159" s="22"/>
      <c r="Z159" s="22"/>
    </row>
    <row r="160" spans="15:26" x14ac:dyDescent="0.3">
      <c r="O160" s="33">
        <v>45867</v>
      </c>
      <c r="P160" s="34">
        <v>24821.1</v>
      </c>
      <c r="Q160" s="35">
        <f t="shared" si="6"/>
        <v>-1.3659196018516173E-3</v>
      </c>
      <c r="R160" s="34">
        <v>84.56</v>
      </c>
      <c r="S160" s="35">
        <f t="shared" si="6"/>
        <v>-1.0183776191033611E-2</v>
      </c>
      <c r="T160" s="34"/>
      <c r="W160" s="22"/>
      <c r="Z160" s="22"/>
    </row>
    <row r="161" spans="15:26" x14ac:dyDescent="0.3">
      <c r="O161" s="33">
        <v>45866</v>
      </c>
      <c r="P161" s="34">
        <v>24680.9</v>
      </c>
      <c r="Q161" s="35">
        <f t="shared" si="6"/>
        <v>-5.6484200941939733E-3</v>
      </c>
      <c r="R161" s="34">
        <v>84.62</v>
      </c>
      <c r="S161" s="35">
        <f t="shared" si="6"/>
        <v>7.0955534531691455E-4</v>
      </c>
      <c r="T161" s="34"/>
      <c r="W161" s="22"/>
      <c r="Z161" s="22"/>
    </row>
    <row r="162" spans="15:26" x14ac:dyDescent="0.3">
      <c r="O162" s="33">
        <v>45863</v>
      </c>
      <c r="P162" s="34">
        <v>24837</v>
      </c>
      <c r="Q162" s="35">
        <f t="shared" si="6"/>
        <v>6.3247288388996736E-3</v>
      </c>
      <c r="R162" s="34">
        <v>84.77</v>
      </c>
      <c r="S162" s="35">
        <f t="shared" si="6"/>
        <v>1.7726305837861833E-3</v>
      </c>
      <c r="T162" s="34"/>
      <c r="W162" s="22"/>
      <c r="Z162" s="22"/>
    </row>
    <row r="163" spans="15:26" x14ac:dyDescent="0.3">
      <c r="O163" s="33">
        <v>45862</v>
      </c>
      <c r="P163" s="34">
        <v>25062.1</v>
      </c>
      <c r="Q163" s="35">
        <f t="shared" si="6"/>
        <v>9.0630913556386528E-3</v>
      </c>
      <c r="R163" s="34">
        <v>84.97</v>
      </c>
      <c r="S163" s="35">
        <f t="shared" si="6"/>
        <v>2.3593252329834336E-3</v>
      </c>
      <c r="T163" s="34"/>
      <c r="W163" s="22"/>
      <c r="Z163" s="22"/>
    </row>
    <row r="164" spans="15:26" x14ac:dyDescent="0.3">
      <c r="O164" s="33">
        <v>45861</v>
      </c>
      <c r="P164" s="34">
        <v>25219.9</v>
      </c>
      <c r="Q164" s="35">
        <f t="shared" si="6"/>
        <v>6.2963598421521549E-3</v>
      </c>
      <c r="R164" s="34">
        <v>86.67</v>
      </c>
      <c r="S164" s="35">
        <f t="shared" si="6"/>
        <v>2.0007061315758579E-2</v>
      </c>
      <c r="T164" s="34"/>
      <c r="W164" s="22"/>
      <c r="Z164" s="22"/>
    </row>
    <row r="165" spans="15:26" x14ac:dyDescent="0.3">
      <c r="O165" s="33">
        <v>45860</v>
      </c>
      <c r="P165" s="34">
        <v>25060.9</v>
      </c>
      <c r="Q165" s="35">
        <f t="shared" si="6"/>
        <v>-6.3045452202427077E-3</v>
      </c>
      <c r="R165" s="34">
        <v>85.57</v>
      </c>
      <c r="S165" s="35">
        <f t="shared" si="6"/>
        <v>-1.2691819545402216E-2</v>
      </c>
      <c r="T165" s="34"/>
      <c r="W165" s="22"/>
      <c r="Z165" s="22"/>
    </row>
    <row r="166" spans="15:26" x14ac:dyDescent="0.3">
      <c r="O166" s="33">
        <v>45859</v>
      </c>
      <c r="P166" s="34">
        <v>25090.7</v>
      </c>
      <c r="Q166" s="35">
        <f t="shared" si="6"/>
        <v>1.1891033442532617E-3</v>
      </c>
      <c r="R166" s="34">
        <v>84.82</v>
      </c>
      <c r="S166" s="35">
        <f t="shared" si="6"/>
        <v>-8.7647540025710402E-3</v>
      </c>
      <c r="T166" s="34"/>
      <c r="W166" s="22"/>
      <c r="Z166" s="22"/>
    </row>
    <row r="167" spans="15:26" x14ac:dyDescent="0.3">
      <c r="O167" s="33">
        <v>45856</v>
      </c>
      <c r="P167" s="34">
        <v>24968.400000000001</v>
      </c>
      <c r="Q167" s="35">
        <f t="shared" si="6"/>
        <v>-4.8743159816186932E-3</v>
      </c>
      <c r="R167" s="34">
        <v>84.49</v>
      </c>
      <c r="S167" s="35">
        <f t="shared" si="6"/>
        <v>-3.890591841546831E-3</v>
      </c>
      <c r="T167" s="34"/>
      <c r="W167" s="22"/>
      <c r="Z167" s="22"/>
    </row>
    <row r="168" spans="15:26" x14ac:dyDescent="0.3">
      <c r="O168" s="33">
        <v>45855</v>
      </c>
      <c r="P168" s="34">
        <v>25111.45</v>
      </c>
      <c r="Q168" s="35">
        <f t="shared" si="6"/>
        <v>5.7292417615866231E-3</v>
      </c>
      <c r="R168" s="34">
        <v>83.79</v>
      </c>
      <c r="S168" s="35">
        <f t="shared" si="6"/>
        <v>-8.2850041425018839E-3</v>
      </c>
      <c r="T168" s="34"/>
      <c r="W168" s="22"/>
      <c r="Z168" s="22"/>
    </row>
    <row r="169" spans="15:26" x14ac:dyDescent="0.3">
      <c r="O169" s="33">
        <v>45854</v>
      </c>
      <c r="P169" s="34">
        <v>25212.05</v>
      </c>
      <c r="Q169" s="35">
        <f t="shared" si="6"/>
        <v>4.0061406250933018E-3</v>
      </c>
      <c r="R169" s="34">
        <v>84.04</v>
      </c>
      <c r="S169" s="35">
        <f t="shared" si="6"/>
        <v>2.9836496001909296E-3</v>
      </c>
      <c r="T169" s="34"/>
      <c r="W169" s="22"/>
      <c r="Z169" s="22"/>
    </row>
    <row r="170" spans="15:26" x14ac:dyDescent="0.3">
      <c r="O170" s="33">
        <v>45853</v>
      </c>
      <c r="P170" s="34">
        <v>25195.8</v>
      </c>
      <c r="Q170" s="35">
        <f t="shared" si="6"/>
        <v>-6.4453307049605613E-4</v>
      </c>
      <c r="R170" s="34">
        <v>84.36</v>
      </c>
      <c r="S170" s="35">
        <f t="shared" si="6"/>
        <v>3.8077106139933203E-3</v>
      </c>
      <c r="T170" s="34"/>
      <c r="W170" s="22"/>
      <c r="Z170" s="22"/>
    </row>
    <row r="171" spans="15:26" x14ac:dyDescent="0.3">
      <c r="O171" s="33">
        <v>45852</v>
      </c>
      <c r="P171" s="34">
        <v>25082.3</v>
      </c>
      <c r="Q171" s="35">
        <f t="shared" si="6"/>
        <v>-4.5047190404750026E-3</v>
      </c>
      <c r="R171" s="34">
        <v>84.7</v>
      </c>
      <c r="S171" s="35">
        <f t="shared" si="6"/>
        <v>4.030346135609264E-3</v>
      </c>
      <c r="T171" s="34"/>
      <c r="W171" s="22"/>
      <c r="Z171" s="22"/>
    </row>
    <row r="172" spans="15:26" x14ac:dyDescent="0.3">
      <c r="O172" s="33">
        <v>45849</v>
      </c>
      <c r="P172" s="34">
        <v>25149.85</v>
      </c>
      <c r="Q172" s="35">
        <f t="shared" si="6"/>
        <v>2.6931342022062932E-3</v>
      </c>
      <c r="R172" s="34">
        <v>83.67</v>
      </c>
      <c r="S172" s="35">
        <f t="shared" si="6"/>
        <v>-1.2160566706021281E-2</v>
      </c>
      <c r="T172" s="34"/>
      <c r="W172" s="22"/>
      <c r="Z172" s="22"/>
    </row>
    <row r="173" spans="15:26" x14ac:dyDescent="0.3">
      <c r="O173" s="33">
        <v>45848</v>
      </c>
      <c r="P173" s="34">
        <v>25355.25</v>
      </c>
      <c r="Q173" s="35">
        <f t="shared" si="6"/>
        <v>8.1670467219487897E-3</v>
      </c>
      <c r="R173" s="34">
        <v>83.45</v>
      </c>
      <c r="S173" s="35">
        <f t="shared" si="6"/>
        <v>-2.6293773156448319E-3</v>
      </c>
      <c r="T173" s="34"/>
      <c r="W173" s="22"/>
      <c r="Z173" s="22"/>
    </row>
    <row r="174" spans="15:26" x14ac:dyDescent="0.3">
      <c r="O174" s="33">
        <v>45847</v>
      </c>
      <c r="P174" s="34">
        <v>25476.1</v>
      </c>
      <c r="Q174" s="35">
        <f t="shared" si="6"/>
        <v>4.7662712850395916E-3</v>
      </c>
      <c r="R174" s="34">
        <v>82.64</v>
      </c>
      <c r="S174" s="35">
        <f t="shared" si="6"/>
        <v>-9.7064110245655977E-3</v>
      </c>
      <c r="T174" s="34"/>
      <c r="W174" s="22"/>
      <c r="Z174" s="22"/>
    </row>
    <row r="175" spans="15:26" x14ac:dyDescent="0.3">
      <c r="O175" s="33">
        <v>45846</v>
      </c>
      <c r="P175" s="34">
        <v>25522.5</v>
      </c>
      <c r="Q175" s="35">
        <f t="shared" si="6"/>
        <v>1.8213148794361533E-3</v>
      </c>
      <c r="R175" s="34">
        <v>83.35</v>
      </c>
      <c r="S175" s="35">
        <f t="shared" si="6"/>
        <v>8.5914811229428345E-3</v>
      </c>
      <c r="T175" s="34"/>
      <c r="W175" s="22"/>
      <c r="Z175" s="22"/>
    </row>
    <row r="176" spans="15:26" x14ac:dyDescent="0.3">
      <c r="O176" s="33">
        <v>45845</v>
      </c>
      <c r="P176" s="34">
        <v>25461.3</v>
      </c>
      <c r="Q176" s="35">
        <f t="shared" si="6"/>
        <v>-2.3978842198061345E-3</v>
      </c>
      <c r="R176" s="34">
        <v>83.09</v>
      </c>
      <c r="S176" s="35">
        <f t="shared" si="6"/>
        <v>-3.1193761247749752E-3</v>
      </c>
      <c r="T176" s="34"/>
      <c r="W176" s="22"/>
      <c r="Z176" s="22"/>
    </row>
    <row r="177" spans="15:26" x14ac:dyDescent="0.3">
      <c r="O177" s="33">
        <v>45842</v>
      </c>
      <c r="P177" s="34">
        <v>25461</v>
      </c>
      <c r="Q177" s="35">
        <f t="shared" si="6"/>
        <v>-1.1782587691855362E-5</v>
      </c>
      <c r="R177" s="34">
        <v>83.35</v>
      </c>
      <c r="S177" s="35">
        <f t="shared" si="6"/>
        <v>3.1291370802744023E-3</v>
      </c>
      <c r="T177" s="34"/>
      <c r="W177" s="22"/>
      <c r="Z177" s="22"/>
    </row>
    <row r="178" spans="15:26" x14ac:dyDescent="0.3">
      <c r="O178" s="33">
        <v>45841</v>
      </c>
      <c r="P178" s="34">
        <v>25405.3</v>
      </c>
      <c r="Q178" s="35">
        <f t="shared" si="6"/>
        <v>-2.1876595577550173E-3</v>
      </c>
      <c r="R178" s="34">
        <v>83.71</v>
      </c>
      <c r="S178" s="35">
        <f t="shared" si="6"/>
        <v>4.3191361727654698E-3</v>
      </c>
      <c r="T178" s="34"/>
      <c r="W178" s="22"/>
      <c r="Z178" s="22"/>
    </row>
    <row r="179" spans="15:26" x14ac:dyDescent="0.3">
      <c r="O179" s="33">
        <v>45840</v>
      </c>
      <c r="P179" s="34">
        <v>25453.4</v>
      </c>
      <c r="Q179" s="35">
        <f t="shared" si="6"/>
        <v>1.8933057275452025E-3</v>
      </c>
      <c r="R179" s="34">
        <v>83.82</v>
      </c>
      <c r="S179" s="35">
        <f t="shared" si="6"/>
        <v>1.3140604467805073E-3</v>
      </c>
      <c r="T179" s="34"/>
      <c r="W179" s="22"/>
      <c r="Z179" s="22"/>
    </row>
    <row r="180" spans="15:26" x14ac:dyDescent="0.3">
      <c r="O180" s="33">
        <v>45839</v>
      </c>
      <c r="P180" s="34">
        <v>25541.8</v>
      </c>
      <c r="Q180" s="35">
        <f t="shared" si="6"/>
        <v>3.4730134284612912E-3</v>
      </c>
      <c r="R180" s="34">
        <v>83.65</v>
      </c>
      <c r="S180" s="35">
        <f t="shared" si="6"/>
        <v>-2.0281555714625199E-3</v>
      </c>
      <c r="T180" s="34"/>
      <c r="W180" s="22"/>
      <c r="Z180" s="22"/>
    </row>
    <row r="181" spans="15:26" x14ac:dyDescent="0.3">
      <c r="O181" s="33">
        <v>45838</v>
      </c>
      <c r="P181" s="34">
        <v>25517.05</v>
      </c>
      <c r="Q181" s="35">
        <f t="shared" si="6"/>
        <v>-9.6899983556364422E-4</v>
      </c>
      <c r="R181" s="34">
        <v>82.61</v>
      </c>
      <c r="S181" s="35">
        <f t="shared" si="6"/>
        <v>-1.2432755528989925E-2</v>
      </c>
      <c r="T181" s="34"/>
      <c r="W181" s="22"/>
      <c r="Z181" s="22"/>
    </row>
    <row r="182" spans="15:26" x14ac:dyDescent="0.3">
      <c r="O182" s="33">
        <v>45835</v>
      </c>
      <c r="P182" s="34">
        <v>25637.8</v>
      </c>
      <c r="Q182" s="35">
        <f t="shared" si="6"/>
        <v>4.7321300855702741E-3</v>
      </c>
      <c r="R182" s="34">
        <v>82.33</v>
      </c>
      <c r="S182" s="35">
        <f t="shared" si="6"/>
        <v>-3.3894201670500168E-3</v>
      </c>
      <c r="T182" s="34"/>
      <c r="W182" s="22"/>
      <c r="Z182" s="22"/>
    </row>
    <row r="183" spans="15:26" x14ac:dyDescent="0.3">
      <c r="O183" s="33">
        <v>45834</v>
      </c>
      <c r="P183" s="34">
        <v>25549</v>
      </c>
      <c r="Q183" s="35">
        <f t="shared" si="6"/>
        <v>-3.4636357253742256E-3</v>
      </c>
      <c r="R183" s="34">
        <v>83.83</v>
      </c>
      <c r="S183" s="35">
        <f t="shared" si="6"/>
        <v>1.8219361107737253E-2</v>
      </c>
      <c r="T183" s="34"/>
      <c r="W183" s="22"/>
      <c r="Z183" s="22"/>
    </row>
    <row r="184" spans="15:26" x14ac:dyDescent="0.3">
      <c r="O184" s="33">
        <v>45833</v>
      </c>
      <c r="P184" s="34">
        <v>25244.75</v>
      </c>
      <c r="Q184" s="35">
        <f t="shared" si="6"/>
        <v>-1.1908489569063319E-2</v>
      </c>
      <c r="R184" s="34">
        <v>83.78</v>
      </c>
      <c r="S184" s="35">
        <f t="shared" si="6"/>
        <v>-5.9644518668733326E-4</v>
      </c>
      <c r="T184" s="34"/>
      <c r="W184" s="22"/>
      <c r="Z184" s="22"/>
    </row>
    <row r="185" spans="15:26" x14ac:dyDescent="0.3">
      <c r="O185" s="33">
        <v>45832</v>
      </c>
      <c r="P185" s="34">
        <v>25044.35</v>
      </c>
      <c r="Q185" s="35">
        <f t="shared" si="6"/>
        <v>-7.9382841977044816E-3</v>
      </c>
      <c r="R185" s="34">
        <v>83.61</v>
      </c>
      <c r="S185" s="35">
        <f t="shared" si="6"/>
        <v>-2.029123895917917E-3</v>
      </c>
      <c r="T185" s="34"/>
      <c r="W185" s="22"/>
      <c r="Z185" s="22"/>
    </row>
    <row r="186" spans="15:26" x14ac:dyDescent="0.3">
      <c r="O186" s="33">
        <v>45831</v>
      </c>
      <c r="P186" s="34">
        <v>24971.9</v>
      </c>
      <c r="Q186" s="35">
        <f t="shared" si="6"/>
        <v>-2.8928680520754479E-3</v>
      </c>
      <c r="R186" s="34">
        <v>85.46</v>
      </c>
      <c r="S186" s="35">
        <f t="shared" si="6"/>
        <v>2.2126539887573182E-2</v>
      </c>
      <c r="T186" s="34"/>
      <c r="W186" s="22"/>
      <c r="Z186" s="22"/>
    </row>
    <row r="187" spans="15:26" x14ac:dyDescent="0.3">
      <c r="O187" s="33">
        <v>45828</v>
      </c>
      <c r="P187" s="34">
        <v>25112.400000000001</v>
      </c>
      <c r="Q187" s="35">
        <f t="shared" si="6"/>
        <v>5.6263239881626514E-3</v>
      </c>
      <c r="R187" s="34">
        <v>84.95</v>
      </c>
      <c r="S187" s="35">
        <f t="shared" si="6"/>
        <v>-5.9677041890942029E-3</v>
      </c>
      <c r="T187" s="34"/>
      <c r="W187" s="22"/>
      <c r="Z187" s="22"/>
    </row>
    <row r="188" spans="15:26" x14ac:dyDescent="0.3">
      <c r="O188" s="33">
        <v>45827</v>
      </c>
      <c r="P188" s="34">
        <v>24793.25</v>
      </c>
      <c r="Q188" s="35">
        <f t="shared" si="6"/>
        <v>-1.2708860961118895E-2</v>
      </c>
      <c r="R188" s="34">
        <v>85.51</v>
      </c>
      <c r="S188" s="35">
        <f t="shared" si="6"/>
        <v>6.5921130076516121E-3</v>
      </c>
      <c r="T188" s="34"/>
      <c r="W188" s="22"/>
      <c r="Z188" s="22"/>
    </row>
    <row r="189" spans="15:26" x14ac:dyDescent="0.3">
      <c r="O189" s="33">
        <v>45826</v>
      </c>
      <c r="P189" s="34">
        <v>24812.05</v>
      </c>
      <c r="Q189" s="35">
        <f t="shared" si="6"/>
        <v>7.5827090034574773E-4</v>
      </c>
      <c r="R189" s="34">
        <v>85.5</v>
      </c>
      <c r="S189" s="35">
        <f t="shared" si="6"/>
        <v>-1.1694538650453001E-4</v>
      </c>
      <c r="T189" s="34"/>
      <c r="W189" s="22"/>
      <c r="Z189" s="22"/>
    </row>
    <row r="190" spans="15:26" x14ac:dyDescent="0.3">
      <c r="O190" s="33">
        <v>45825</v>
      </c>
      <c r="P190" s="34">
        <v>24853.4</v>
      </c>
      <c r="Q190" s="35">
        <f t="shared" si="6"/>
        <v>1.6665289647570525E-3</v>
      </c>
      <c r="R190" s="34">
        <v>85.24</v>
      </c>
      <c r="S190" s="35">
        <f t="shared" si="6"/>
        <v>-3.040935672514733E-3</v>
      </c>
      <c r="T190" s="34"/>
      <c r="W190" s="22"/>
      <c r="Z190" s="22"/>
    </row>
    <row r="191" spans="15:26" x14ac:dyDescent="0.3">
      <c r="O191" s="33">
        <v>45824</v>
      </c>
      <c r="P191" s="34">
        <v>24946.5</v>
      </c>
      <c r="Q191" s="35">
        <f t="shared" si="6"/>
        <v>3.7459663466568038E-3</v>
      </c>
      <c r="R191" s="34">
        <v>85.88</v>
      </c>
      <c r="S191" s="35">
        <f t="shared" si="6"/>
        <v>7.5082121069920404E-3</v>
      </c>
      <c r="T191" s="34"/>
      <c r="W191" s="22"/>
      <c r="Z191" s="22"/>
    </row>
    <row r="192" spans="15:26" x14ac:dyDescent="0.3">
      <c r="O192" s="33">
        <v>45821</v>
      </c>
      <c r="P192" s="34">
        <v>24718.6</v>
      </c>
      <c r="Q192" s="35">
        <f t="shared" si="6"/>
        <v>-9.1355500771651554E-3</v>
      </c>
      <c r="R192" s="34">
        <v>86.05</v>
      </c>
      <c r="S192" s="35">
        <f t="shared" si="6"/>
        <v>1.9795062878436021E-3</v>
      </c>
      <c r="T192" s="34"/>
      <c r="W192" s="22"/>
      <c r="Z192" s="22"/>
    </row>
    <row r="193" spans="15:26" x14ac:dyDescent="0.3">
      <c r="O193" s="33">
        <v>45820</v>
      </c>
      <c r="P193" s="34">
        <v>24888.2</v>
      </c>
      <c r="Q193" s="35">
        <f t="shared" si="6"/>
        <v>6.8612300049355479E-3</v>
      </c>
      <c r="R193" s="34">
        <v>84.08</v>
      </c>
      <c r="S193" s="35">
        <f t="shared" si="6"/>
        <v>-2.2893666472980856E-2</v>
      </c>
      <c r="T193" s="34"/>
      <c r="W193" s="22"/>
      <c r="Z193" s="22"/>
    </row>
    <row r="194" spans="15:26" x14ac:dyDescent="0.3">
      <c r="O194" s="33">
        <v>45819</v>
      </c>
      <c r="P194" s="34">
        <v>25141.4</v>
      </c>
      <c r="Q194" s="35">
        <f t="shared" si="6"/>
        <v>1.0173495873546434E-2</v>
      </c>
      <c r="R194" s="34">
        <v>83.45</v>
      </c>
      <c r="S194" s="35">
        <f t="shared" si="6"/>
        <v>-7.4928639391055318E-3</v>
      </c>
      <c r="T194" s="34"/>
      <c r="W194" s="22"/>
      <c r="Z194" s="22"/>
    </row>
    <row r="195" spans="15:26" x14ac:dyDescent="0.3">
      <c r="O195" s="33">
        <v>45818</v>
      </c>
      <c r="P195" s="34">
        <v>25104.25</v>
      </c>
      <c r="Q195" s="35">
        <f t="shared" si="6"/>
        <v>-1.477642454278616E-3</v>
      </c>
      <c r="R195" s="34">
        <v>83.29</v>
      </c>
      <c r="S195" s="35">
        <f t="shared" si="6"/>
        <v>-1.9173157579388533E-3</v>
      </c>
      <c r="T195" s="34"/>
      <c r="W195" s="22"/>
      <c r="Z195" s="22"/>
    </row>
    <row r="196" spans="15:26" x14ac:dyDescent="0.3">
      <c r="O196" s="33">
        <v>45817</v>
      </c>
      <c r="P196" s="34">
        <v>25103.200000000001</v>
      </c>
      <c r="Q196" s="35">
        <f t="shared" si="6"/>
        <v>-4.1825587300925449E-5</v>
      </c>
      <c r="R196" s="34">
        <v>83.04</v>
      </c>
      <c r="S196" s="35">
        <f t="shared" si="6"/>
        <v>-3.0015608116220616E-3</v>
      </c>
      <c r="T196" s="34"/>
      <c r="W196" s="22"/>
      <c r="Z196" s="22"/>
    </row>
    <row r="197" spans="15:26" x14ac:dyDescent="0.3">
      <c r="O197" s="33">
        <v>45814</v>
      </c>
      <c r="P197" s="34">
        <v>25003.05</v>
      </c>
      <c r="Q197" s="35">
        <f t="shared" si="6"/>
        <v>-3.9895312151438933E-3</v>
      </c>
      <c r="R197" s="34">
        <v>84.02</v>
      </c>
      <c r="S197" s="35">
        <f t="shared" si="6"/>
        <v>1.1801541425818796E-2</v>
      </c>
      <c r="T197" s="34"/>
      <c r="W197" s="22"/>
      <c r="Z197" s="22"/>
    </row>
    <row r="198" spans="15:26" x14ac:dyDescent="0.3">
      <c r="O198" s="33">
        <v>45813</v>
      </c>
      <c r="P198" s="34">
        <v>24750.9</v>
      </c>
      <c r="Q198" s="35">
        <f t="shared" si="6"/>
        <v>-1.0084769658101678E-2</v>
      </c>
      <c r="R198" s="34">
        <v>84.43</v>
      </c>
      <c r="S198" s="35">
        <f t="shared" si="6"/>
        <v>4.8797905260653529E-3</v>
      </c>
      <c r="T198" s="34"/>
      <c r="W198" s="22"/>
      <c r="Z198" s="22"/>
    </row>
    <row r="199" spans="15:26" x14ac:dyDescent="0.3">
      <c r="O199" s="33">
        <v>45812</v>
      </c>
      <c r="P199" s="34">
        <v>24620.2</v>
      </c>
      <c r="Q199" s="35">
        <f t="shared" si="6"/>
        <v>-5.280616058406018E-3</v>
      </c>
      <c r="R199" s="34">
        <v>83.87</v>
      </c>
      <c r="S199" s="35">
        <f t="shared" si="6"/>
        <v>-6.6327134904654583E-3</v>
      </c>
      <c r="T199" s="34"/>
      <c r="W199" s="22"/>
      <c r="Z199" s="22"/>
    </row>
    <row r="200" spans="15:26" x14ac:dyDescent="0.3">
      <c r="O200" s="33">
        <v>45811</v>
      </c>
      <c r="P200" s="34">
        <v>24542.5</v>
      </c>
      <c r="Q200" s="35">
        <f t="shared" ref="Q200:S253" si="7">P200/P199-1</f>
        <v>-3.1559451182362475E-3</v>
      </c>
      <c r="R200" s="34">
        <v>83.71</v>
      </c>
      <c r="S200" s="35">
        <f t="shared" si="7"/>
        <v>-1.9077143197807622E-3</v>
      </c>
      <c r="T200" s="34"/>
      <c r="W200" s="22"/>
      <c r="Z200" s="22"/>
    </row>
    <row r="201" spans="15:26" x14ac:dyDescent="0.3">
      <c r="O201" s="33">
        <v>45810</v>
      </c>
      <c r="P201" s="34">
        <v>24716.6</v>
      </c>
      <c r="Q201" s="35">
        <f t="shared" si="7"/>
        <v>7.0938168483243302E-3</v>
      </c>
      <c r="R201" s="34">
        <v>83.13</v>
      </c>
      <c r="S201" s="35">
        <f t="shared" si="7"/>
        <v>-6.9286823557519472E-3</v>
      </c>
      <c r="T201" s="34"/>
      <c r="W201" s="22"/>
      <c r="Z201" s="22"/>
    </row>
    <row r="202" spans="15:26" x14ac:dyDescent="0.3">
      <c r="O202" s="33">
        <v>45807</v>
      </c>
      <c r="P202" s="34">
        <v>24750.7</v>
      </c>
      <c r="Q202" s="35">
        <f t="shared" si="7"/>
        <v>1.3796395944427609E-3</v>
      </c>
      <c r="R202" s="34">
        <v>82.26</v>
      </c>
      <c r="S202" s="35">
        <f t="shared" si="7"/>
        <v>-1.0465535907614454E-2</v>
      </c>
      <c r="T202" s="34"/>
      <c r="W202" s="22"/>
      <c r="Z202" s="22"/>
    </row>
    <row r="203" spans="15:26" x14ac:dyDescent="0.3">
      <c r="O203" s="33">
        <v>45806</v>
      </c>
      <c r="P203" s="34">
        <v>24833.599999999999</v>
      </c>
      <c r="Q203" s="35">
        <f t="shared" si="7"/>
        <v>3.3494002189835559E-3</v>
      </c>
      <c r="R203" s="34">
        <v>81.67</v>
      </c>
      <c r="S203" s="35">
        <f t="shared" si="7"/>
        <v>-7.1723802577194906E-3</v>
      </c>
      <c r="T203" s="34"/>
      <c r="W203" s="22"/>
      <c r="Z203" s="22"/>
    </row>
    <row r="204" spans="15:26" x14ac:dyDescent="0.3">
      <c r="O204" s="33">
        <v>45805</v>
      </c>
      <c r="P204" s="34">
        <v>24752.45</v>
      </c>
      <c r="Q204" s="35">
        <f t="shared" si="7"/>
        <v>-3.2677501449648316E-3</v>
      </c>
      <c r="R204" s="34">
        <v>82.62</v>
      </c>
      <c r="S204" s="35">
        <f t="shared" si="7"/>
        <v>1.1632178278437655E-2</v>
      </c>
      <c r="T204" s="34"/>
      <c r="W204" s="22"/>
      <c r="Z204" s="22"/>
    </row>
    <row r="205" spans="15:26" x14ac:dyDescent="0.3">
      <c r="O205" s="33">
        <v>45804</v>
      </c>
      <c r="P205" s="34">
        <v>24826.2</v>
      </c>
      <c r="Q205" s="35">
        <f t="shared" si="7"/>
        <v>2.9795030390931121E-3</v>
      </c>
      <c r="R205" s="34">
        <v>82.05</v>
      </c>
      <c r="S205" s="35">
        <f t="shared" si="7"/>
        <v>-6.899055918663799E-3</v>
      </c>
      <c r="T205" s="34"/>
      <c r="W205" s="22"/>
      <c r="Z205" s="22"/>
    </row>
    <row r="206" spans="15:26" x14ac:dyDescent="0.3">
      <c r="O206" s="33">
        <v>45803</v>
      </c>
      <c r="P206" s="34">
        <v>25001.15</v>
      </c>
      <c r="Q206" s="35">
        <f t="shared" si="7"/>
        <v>7.0469906792018921E-3</v>
      </c>
      <c r="R206" s="34">
        <v>82.46</v>
      </c>
      <c r="S206" s="35">
        <f t="shared" si="7"/>
        <v>4.9969530773918969E-3</v>
      </c>
      <c r="T206" s="34"/>
      <c r="W206" s="22"/>
      <c r="Z206" s="22"/>
    </row>
    <row r="207" spans="15:26" x14ac:dyDescent="0.3">
      <c r="O207" s="33">
        <v>45800</v>
      </c>
      <c r="P207" s="34">
        <v>24853.15</v>
      </c>
      <c r="Q207" s="35">
        <f t="shared" si="7"/>
        <v>-5.9197276925261333E-3</v>
      </c>
      <c r="R207" s="34">
        <v>82.06</v>
      </c>
      <c r="S207" s="35">
        <f t="shared" si="7"/>
        <v>-4.8508367693426147E-3</v>
      </c>
      <c r="T207" s="34"/>
      <c r="W207" s="22"/>
      <c r="Z207" s="22"/>
    </row>
    <row r="208" spans="15:26" x14ac:dyDescent="0.3">
      <c r="O208" s="33">
        <v>45799</v>
      </c>
      <c r="P208" s="34">
        <v>24609.7</v>
      </c>
      <c r="Q208" s="35">
        <f t="shared" si="7"/>
        <v>-9.7955389960628914E-3</v>
      </c>
      <c r="R208" s="34">
        <v>82.36</v>
      </c>
      <c r="S208" s="35">
        <f t="shared" si="7"/>
        <v>3.6558615647086512E-3</v>
      </c>
      <c r="T208" s="34"/>
      <c r="W208" s="22"/>
      <c r="Z208" s="22"/>
    </row>
    <row r="209" spans="15:26" x14ac:dyDescent="0.3">
      <c r="O209" s="33">
        <v>45798</v>
      </c>
      <c r="P209" s="34">
        <v>24813.45</v>
      </c>
      <c r="Q209" s="35">
        <f t="shared" si="7"/>
        <v>8.2792557406226042E-3</v>
      </c>
      <c r="R209" s="34">
        <v>82.15</v>
      </c>
      <c r="S209" s="35">
        <f t="shared" si="7"/>
        <v>-2.5497814473044444E-3</v>
      </c>
      <c r="T209" s="34"/>
      <c r="W209" s="22"/>
      <c r="Z209" s="22"/>
    </row>
    <row r="210" spans="15:26" x14ac:dyDescent="0.3">
      <c r="O210" s="33">
        <v>45797</v>
      </c>
      <c r="P210" s="34">
        <v>24683.9</v>
      </c>
      <c r="Q210" s="35">
        <f t="shared" si="7"/>
        <v>-5.220958794524666E-3</v>
      </c>
      <c r="R210" s="34">
        <v>80.739999999999995</v>
      </c>
      <c r="S210" s="35">
        <f t="shared" si="7"/>
        <v>-1.7163724893487609E-2</v>
      </c>
      <c r="T210" s="34"/>
      <c r="W210" s="22"/>
      <c r="Z210" s="22"/>
    </row>
    <row r="211" spans="15:26" x14ac:dyDescent="0.3">
      <c r="O211" s="33">
        <v>45796</v>
      </c>
      <c r="P211" s="34">
        <v>24945.45</v>
      </c>
      <c r="Q211" s="35">
        <f t="shared" si="7"/>
        <v>1.0595975514404055E-2</v>
      </c>
      <c r="R211" s="34">
        <v>81.02</v>
      </c>
      <c r="S211" s="35">
        <f t="shared" si="7"/>
        <v>3.4679217240525251E-3</v>
      </c>
      <c r="T211" s="34"/>
      <c r="W211" s="22"/>
      <c r="Z211" s="22"/>
    </row>
    <row r="212" spans="15:26" x14ac:dyDescent="0.3">
      <c r="O212" s="33">
        <v>45793</v>
      </c>
      <c r="P212" s="34">
        <v>25019.8</v>
      </c>
      <c r="Q212" s="35">
        <f t="shared" si="7"/>
        <v>2.9805034585463908E-3</v>
      </c>
      <c r="R212" s="34">
        <v>80.22</v>
      </c>
      <c r="S212" s="35">
        <f t="shared" si="7"/>
        <v>-9.8741051592199369E-3</v>
      </c>
      <c r="T212" s="34"/>
      <c r="W212" s="22"/>
      <c r="Z212" s="22"/>
    </row>
    <row r="213" spans="15:26" x14ac:dyDescent="0.3">
      <c r="O213" s="33">
        <v>45792</v>
      </c>
      <c r="P213" s="34">
        <v>25062.1</v>
      </c>
      <c r="Q213" s="35">
        <f t="shared" si="7"/>
        <v>1.6906609964908448E-3</v>
      </c>
      <c r="R213" s="34">
        <v>79.73</v>
      </c>
      <c r="S213" s="35">
        <f t="shared" si="7"/>
        <v>-6.108202443280919E-3</v>
      </c>
      <c r="T213" s="34"/>
      <c r="W213" s="22"/>
      <c r="Z213" s="22"/>
    </row>
    <row r="214" spans="15:26" x14ac:dyDescent="0.3">
      <c r="O214" s="33">
        <v>45791</v>
      </c>
      <c r="P214" s="34">
        <v>24666.9</v>
      </c>
      <c r="Q214" s="35">
        <f t="shared" si="7"/>
        <v>-1.5768830225719177E-2</v>
      </c>
      <c r="R214" s="34">
        <v>81.19</v>
      </c>
      <c r="S214" s="35">
        <f t="shared" si="7"/>
        <v>1.8311802332873439E-2</v>
      </c>
      <c r="T214" s="34"/>
      <c r="W214" s="22"/>
      <c r="Z214" s="22"/>
    </row>
    <row r="215" spans="15:26" x14ac:dyDescent="0.3">
      <c r="O215" s="33">
        <v>45790</v>
      </c>
      <c r="P215" s="34">
        <v>24578.35</v>
      </c>
      <c r="Q215" s="35">
        <f t="shared" si="7"/>
        <v>-3.5898309070050427E-3</v>
      </c>
      <c r="R215" s="34">
        <v>81.62</v>
      </c>
      <c r="S215" s="35">
        <f t="shared" si="7"/>
        <v>5.2962187461511601E-3</v>
      </c>
      <c r="T215" s="34"/>
      <c r="W215" s="22"/>
      <c r="Z215" s="22"/>
    </row>
    <row r="216" spans="15:26" x14ac:dyDescent="0.3">
      <c r="O216" s="33">
        <v>45789</v>
      </c>
      <c r="P216" s="34">
        <v>24924.7</v>
      </c>
      <c r="Q216" s="35">
        <f t="shared" si="7"/>
        <v>1.4091670108042242E-2</v>
      </c>
      <c r="R216" s="34">
        <v>80.92</v>
      </c>
      <c r="S216" s="35">
        <f t="shared" si="7"/>
        <v>-8.5763293310463506E-3</v>
      </c>
      <c r="T216" s="34"/>
      <c r="W216" s="22"/>
      <c r="Z216" s="22"/>
    </row>
    <row r="217" spans="15:26" x14ac:dyDescent="0.3">
      <c r="O217" s="33">
        <v>45786</v>
      </c>
      <c r="P217" s="34">
        <v>24008</v>
      </c>
      <c r="Q217" s="35">
        <f t="shared" si="7"/>
        <v>-3.6778777678367236E-2</v>
      </c>
      <c r="R217" s="34">
        <v>83.6</v>
      </c>
      <c r="S217" s="35">
        <f t="shared" si="7"/>
        <v>3.3119130004943154E-2</v>
      </c>
      <c r="T217" s="34"/>
      <c r="W217" s="22"/>
      <c r="Z217" s="22"/>
    </row>
    <row r="218" spans="15:26" x14ac:dyDescent="0.3">
      <c r="O218" s="33">
        <v>45785</v>
      </c>
      <c r="P218" s="34">
        <v>24273.8</v>
      </c>
      <c r="Q218" s="35">
        <f t="shared" si="7"/>
        <v>1.1071309563478904E-2</v>
      </c>
      <c r="R218" s="34">
        <v>83.62</v>
      </c>
      <c r="S218" s="35">
        <f t="shared" si="7"/>
        <v>2.3923444976081676E-4</v>
      </c>
      <c r="T218" s="34"/>
      <c r="W218" s="22"/>
      <c r="Z218" s="22"/>
    </row>
    <row r="219" spans="15:26" x14ac:dyDescent="0.3">
      <c r="O219" s="33">
        <v>45784</v>
      </c>
      <c r="P219" s="34">
        <v>24414.400000000001</v>
      </c>
      <c r="Q219" s="35">
        <f t="shared" si="7"/>
        <v>5.7922533760681461E-3</v>
      </c>
      <c r="R219" s="34">
        <v>84.02</v>
      </c>
      <c r="S219" s="35">
        <f t="shared" si="7"/>
        <v>4.7835446065533915E-3</v>
      </c>
      <c r="T219" s="34"/>
      <c r="W219" s="22"/>
      <c r="Z219" s="22"/>
    </row>
    <row r="220" spans="15:26" x14ac:dyDescent="0.3">
      <c r="O220" s="33">
        <v>45783</v>
      </c>
      <c r="P220" s="34">
        <v>24379.599999999999</v>
      </c>
      <c r="Q220" s="35">
        <f t="shared" si="7"/>
        <v>-1.4253882954323727E-3</v>
      </c>
      <c r="R220" s="34">
        <v>84.28</v>
      </c>
      <c r="S220" s="35">
        <f t="shared" si="7"/>
        <v>3.0945013092120721E-3</v>
      </c>
      <c r="T220" s="34"/>
      <c r="W220" s="22"/>
      <c r="Z220" s="22"/>
    </row>
    <row r="221" spans="15:26" x14ac:dyDescent="0.3">
      <c r="O221" s="33">
        <v>45782</v>
      </c>
      <c r="P221" s="34">
        <v>24461.15</v>
      </c>
      <c r="Q221" s="35">
        <f t="shared" si="7"/>
        <v>3.3450097622602648E-3</v>
      </c>
      <c r="R221" s="34">
        <v>82.34</v>
      </c>
      <c r="S221" s="35">
        <f t="shared" si="7"/>
        <v>-2.3018509729473169E-2</v>
      </c>
      <c r="T221" s="34"/>
      <c r="W221" s="22"/>
      <c r="Z221" s="22"/>
    </row>
    <row r="222" spans="15:26" x14ac:dyDescent="0.3">
      <c r="O222" s="33">
        <v>45779</v>
      </c>
      <c r="P222" s="34">
        <v>24346.7</v>
      </c>
      <c r="Q222" s="35">
        <f t="shared" si="7"/>
        <v>-4.6788478873642791E-3</v>
      </c>
      <c r="R222" s="34">
        <v>81.2</v>
      </c>
      <c r="S222" s="35">
        <f t="shared" si="7"/>
        <v>-1.3845032790867129E-2</v>
      </c>
      <c r="T222" s="34"/>
      <c r="W222" s="22"/>
      <c r="Z222" s="22"/>
    </row>
    <row r="223" spans="15:26" x14ac:dyDescent="0.3">
      <c r="O223" s="33">
        <v>45777</v>
      </c>
      <c r="P223" s="34">
        <v>24334.2</v>
      </c>
      <c r="Q223" s="35">
        <f t="shared" si="7"/>
        <v>-5.1341660266068789E-4</v>
      </c>
      <c r="R223" s="34">
        <v>81.59</v>
      </c>
      <c r="S223" s="35">
        <f t="shared" si="7"/>
        <v>4.8029556650246441E-3</v>
      </c>
      <c r="T223" s="34"/>
      <c r="W223" s="22"/>
      <c r="Z223" s="22"/>
    </row>
    <row r="224" spans="15:26" x14ac:dyDescent="0.3">
      <c r="O224" s="33">
        <v>45776</v>
      </c>
      <c r="P224" s="34">
        <v>24335.95</v>
      </c>
      <c r="Q224" s="35">
        <f t="shared" si="7"/>
        <v>7.1915246854237225E-5</v>
      </c>
      <c r="R224" s="34">
        <v>82.81</v>
      </c>
      <c r="S224" s="35">
        <f t="shared" si="7"/>
        <v>1.4952812844711394E-2</v>
      </c>
      <c r="T224" s="34"/>
      <c r="W224" s="22"/>
      <c r="Z224" s="22"/>
    </row>
    <row r="225" spans="15:26" x14ac:dyDescent="0.3">
      <c r="O225" s="33">
        <v>45775</v>
      </c>
      <c r="P225" s="34">
        <v>24328.5</v>
      </c>
      <c r="Q225" s="35">
        <f t="shared" si="7"/>
        <v>-3.0613146394531388E-4</v>
      </c>
      <c r="R225" s="34">
        <v>81.67</v>
      </c>
      <c r="S225" s="35">
        <f t="shared" si="7"/>
        <v>-1.3766453326892858E-2</v>
      </c>
      <c r="T225" s="34"/>
      <c r="W225" s="22"/>
      <c r="Z225" s="22"/>
    </row>
    <row r="226" spans="15:26" x14ac:dyDescent="0.3">
      <c r="O226" s="33">
        <v>45772</v>
      </c>
      <c r="P226" s="34">
        <v>24039.35</v>
      </c>
      <c r="Q226" s="35">
        <f t="shared" si="7"/>
        <v>-1.1885237478677313E-2</v>
      </c>
      <c r="R226" s="34">
        <v>82.63</v>
      </c>
      <c r="S226" s="35">
        <f t="shared" si="7"/>
        <v>1.1754622260315761E-2</v>
      </c>
      <c r="T226" s="34"/>
      <c r="W226" s="22"/>
      <c r="Z226" s="22"/>
    </row>
    <row r="227" spans="15:26" x14ac:dyDescent="0.3">
      <c r="O227" s="33">
        <v>45771</v>
      </c>
      <c r="P227" s="34">
        <v>24246.7</v>
      </c>
      <c r="Q227" s="35">
        <f t="shared" si="7"/>
        <v>8.6254412036932404E-3</v>
      </c>
      <c r="R227" s="34">
        <v>83.11</v>
      </c>
      <c r="S227" s="35">
        <f t="shared" si="7"/>
        <v>5.8090281979910063E-3</v>
      </c>
      <c r="T227" s="34"/>
      <c r="W227" s="22"/>
      <c r="Z227" s="22"/>
    </row>
    <row r="228" spans="15:26" x14ac:dyDescent="0.3">
      <c r="O228" s="33">
        <v>45770</v>
      </c>
      <c r="P228" s="34">
        <v>24328.95</v>
      </c>
      <c r="Q228" s="35">
        <f t="shared" si="7"/>
        <v>3.3922141982207776E-3</v>
      </c>
      <c r="R228" s="34">
        <v>82.99</v>
      </c>
      <c r="S228" s="35">
        <f t="shared" si="7"/>
        <v>-1.4438695704488413E-3</v>
      </c>
      <c r="T228" s="34"/>
      <c r="W228" s="22"/>
      <c r="Z228" s="22"/>
    </row>
    <row r="229" spans="15:26" x14ac:dyDescent="0.3">
      <c r="O229" s="33">
        <v>45769</v>
      </c>
      <c r="P229" s="34">
        <v>24167.25</v>
      </c>
      <c r="Q229" s="35">
        <f t="shared" si="7"/>
        <v>-6.6464027424117944E-3</v>
      </c>
      <c r="R229" s="34">
        <v>85.35</v>
      </c>
      <c r="S229" s="35">
        <f t="shared" si="7"/>
        <v>2.8437161103747499E-2</v>
      </c>
      <c r="T229" s="34"/>
      <c r="W229" s="22"/>
      <c r="Z229" s="22"/>
    </row>
    <row r="230" spans="15:26" x14ac:dyDescent="0.3">
      <c r="O230" s="33">
        <v>45768</v>
      </c>
      <c r="P230" s="34">
        <v>24125.55</v>
      </c>
      <c r="Q230" s="35">
        <f t="shared" si="7"/>
        <v>-1.7254755919684506E-3</v>
      </c>
      <c r="R230" s="34">
        <v>83.64</v>
      </c>
      <c r="S230" s="35">
        <f t="shared" si="7"/>
        <v>-2.0035149384885709E-2</v>
      </c>
      <c r="T230" s="34"/>
      <c r="W230" s="22"/>
      <c r="Z230" s="22"/>
    </row>
    <row r="231" spans="15:26" x14ac:dyDescent="0.3">
      <c r="O231" s="33">
        <v>45764</v>
      </c>
      <c r="P231" s="34">
        <v>23851.65</v>
      </c>
      <c r="Q231" s="35">
        <f t="shared" si="7"/>
        <v>-1.135310904829101E-2</v>
      </c>
      <c r="R231" s="34">
        <v>82.04</v>
      </c>
      <c r="S231" s="35">
        <f t="shared" si="7"/>
        <v>-1.9129603060736411E-2</v>
      </c>
      <c r="T231" s="34"/>
      <c r="W231" s="22"/>
      <c r="Z231" s="22"/>
    </row>
    <row r="232" spans="15:26" x14ac:dyDescent="0.3">
      <c r="O232" s="33">
        <v>45763</v>
      </c>
      <c r="P232" s="34">
        <v>23437.200000000001</v>
      </c>
      <c r="Q232" s="35">
        <f t="shared" si="7"/>
        <v>-1.7376156366540663E-2</v>
      </c>
      <c r="R232" s="34">
        <v>81.739999999999995</v>
      </c>
      <c r="S232" s="35">
        <f t="shared" si="7"/>
        <v>-3.6567528035106323E-3</v>
      </c>
      <c r="T232" s="34"/>
      <c r="W232" s="22"/>
      <c r="Z232" s="22"/>
    </row>
    <row r="233" spans="15:26" x14ac:dyDescent="0.3">
      <c r="O233" s="33">
        <v>45762</v>
      </c>
      <c r="P233" s="34">
        <v>23328.55</v>
      </c>
      <c r="Q233" s="35">
        <f t="shared" si="7"/>
        <v>-4.6357926714796216E-3</v>
      </c>
      <c r="R233" s="34">
        <v>80.069999999999993</v>
      </c>
      <c r="S233" s="35">
        <f t="shared" si="7"/>
        <v>-2.0430633716662649E-2</v>
      </c>
      <c r="T233" s="34"/>
      <c r="W233" s="22"/>
      <c r="Z233" s="22"/>
    </row>
    <row r="234" spans="15:26" x14ac:dyDescent="0.3">
      <c r="O234" s="33">
        <v>45758</v>
      </c>
      <c r="P234" s="34">
        <v>22828.55</v>
      </c>
      <c r="Q234" s="35">
        <f t="shared" si="7"/>
        <v>-2.1432965186434672E-2</v>
      </c>
      <c r="R234" s="34">
        <v>80.28</v>
      </c>
      <c r="S234" s="35">
        <f t="shared" si="7"/>
        <v>2.6227051330087736E-3</v>
      </c>
      <c r="T234" s="34"/>
      <c r="W234" s="22"/>
      <c r="Z234" s="22"/>
    </row>
    <row r="235" spans="15:26" x14ac:dyDescent="0.3">
      <c r="O235" s="33">
        <v>45756</v>
      </c>
      <c r="P235" s="34">
        <v>22399.15</v>
      </c>
      <c r="Q235" s="35">
        <f t="shared" si="7"/>
        <v>-1.8809779858992237E-2</v>
      </c>
      <c r="R235" s="34">
        <v>77.19</v>
      </c>
      <c r="S235" s="35">
        <f t="shared" si="7"/>
        <v>-3.8490284005979092E-2</v>
      </c>
      <c r="T235" s="34"/>
      <c r="W235" s="22"/>
      <c r="Z235" s="22"/>
    </row>
    <row r="236" spans="15:26" x14ac:dyDescent="0.3">
      <c r="O236" s="33">
        <v>45755</v>
      </c>
      <c r="P236" s="34">
        <v>22535.85</v>
      </c>
      <c r="Q236" s="35">
        <f t="shared" si="7"/>
        <v>6.1029101550726939E-3</v>
      </c>
      <c r="R236" s="34">
        <v>75.73</v>
      </c>
      <c r="S236" s="35">
        <f t="shared" si="7"/>
        <v>-1.8914367146003253E-2</v>
      </c>
      <c r="T236" s="34"/>
      <c r="W236" s="22"/>
      <c r="Z236" s="22"/>
    </row>
    <row r="237" spans="15:26" x14ac:dyDescent="0.3">
      <c r="O237" s="33">
        <v>45754</v>
      </c>
      <c r="P237" s="34">
        <v>22161.599999999999</v>
      </c>
      <c r="Q237" s="35">
        <f t="shared" si="7"/>
        <v>-1.6606873048942039E-2</v>
      </c>
      <c r="R237" s="34">
        <v>76.33</v>
      </c>
      <c r="S237" s="35">
        <f t="shared" si="7"/>
        <v>7.9228839297502685E-3</v>
      </c>
      <c r="T237" s="34"/>
      <c r="W237" s="22"/>
      <c r="Z237" s="22"/>
    </row>
    <row r="238" spans="15:26" x14ac:dyDescent="0.3">
      <c r="O238" s="33">
        <v>45751</v>
      </c>
      <c r="P238" s="34">
        <v>22904.45</v>
      </c>
      <c r="Q238" s="35">
        <f t="shared" si="7"/>
        <v>3.3519691719009481E-2</v>
      </c>
      <c r="R238" s="34">
        <v>77.28</v>
      </c>
      <c r="S238" s="35">
        <f t="shared" si="7"/>
        <v>1.244595833879214E-2</v>
      </c>
      <c r="T238" s="34"/>
      <c r="W238" s="22"/>
      <c r="Z238" s="22"/>
    </row>
    <row r="239" spans="15:26" x14ac:dyDescent="0.3">
      <c r="O239" s="33">
        <v>45750</v>
      </c>
      <c r="P239" s="34">
        <v>23250.1</v>
      </c>
      <c r="Q239" s="35">
        <f t="shared" si="7"/>
        <v>1.5090953941264695E-2</v>
      </c>
      <c r="R239" s="34">
        <v>78.430000000000007</v>
      </c>
      <c r="S239" s="35">
        <f t="shared" si="7"/>
        <v>1.488095238095255E-2</v>
      </c>
      <c r="T239" s="34"/>
      <c r="W239" s="22"/>
      <c r="Z239" s="22"/>
    </row>
    <row r="240" spans="15:26" x14ac:dyDescent="0.3">
      <c r="O240" s="33">
        <v>45749</v>
      </c>
      <c r="P240" s="34">
        <v>23332.35</v>
      </c>
      <c r="Q240" s="35">
        <f t="shared" si="7"/>
        <v>3.5376191930356349E-3</v>
      </c>
      <c r="R240" s="34">
        <v>78.58</v>
      </c>
      <c r="S240" s="35">
        <f t="shared" si="7"/>
        <v>1.9125334693355089E-3</v>
      </c>
      <c r="T240" s="34"/>
      <c r="W240" s="22"/>
      <c r="Z240" s="22"/>
    </row>
    <row r="241" spans="15:26" x14ac:dyDescent="0.3">
      <c r="O241" s="33">
        <v>45748</v>
      </c>
      <c r="P241" s="34">
        <v>23165.7</v>
      </c>
      <c r="Q241" s="35">
        <f t="shared" si="7"/>
        <v>-7.1424438601339624E-3</v>
      </c>
      <c r="R241" s="34">
        <v>78.72</v>
      </c>
      <c r="S241" s="35">
        <f t="shared" si="7"/>
        <v>1.7816238228556269E-3</v>
      </c>
      <c r="T241" s="34"/>
      <c r="W241" s="22"/>
      <c r="Z241" s="22"/>
    </row>
    <row r="242" spans="15:26" x14ac:dyDescent="0.3">
      <c r="O242" s="33">
        <v>45744</v>
      </c>
      <c r="P242" s="34">
        <v>23519.35</v>
      </c>
      <c r="Q242" s="35">
        <f t="shared" si="7"/>
        <v>1.5266104628826049E-2</v>
      </c>
      <c r="R242" s="34">
        <v>76.540000000000006</v>
      </c>
      <c r="S242" s="35">
        <f t="shared" si="7"/>
        <v>-2.7693089430894213E-2</v>
      </c>
      <c r="T242" s="34"/>
      <c r="W242" s="22"/>
      <c r="Z242" s="22"/>
    </row>
    <row r="243" spans="15:26" x14ac:dyDescent="0.3">
      <c r="O243" s="33">
        <v>45743</v>
      </c>
      <c r="P243" s="34">
        <v>23591.95</v>
      </c>
      <c r="Q243" s="35">
        <f t="shared" si="7"/>
        <v>3.0868200014031455E-3</v>
      </c>
      <c r="R243" s="34">
        <v>76.16</v>
      </c>
      <c r="S243" s="35">
        <f t="shared" si="7"/>
        <v>-4.9647243271493391E-3</v>
      </c>
      <c r="T243" s="34"/>
      <c r="W243" s="22"/>
      <c r="Z243" s="22"/>
    </row>
    <row r="244" spans="15:26" x14ac:dyDescent="0.3">
      <c r="O244" s="33">
        <v>45742</v>
      </c>
      <c r="P244" s="34">
        <v>23486.85</v>
      </c>
      <c r="Q244" s="35">
        <f t="shared" si="7"/>
        <v>-4.4549094076582474E-3</v>
      </c>
      <c r="R244" s="34">
        <v>75.61</v>
      </c>
      <c r="S244" s="35">
        <f t="shared" si="7"/>
        <v>-7.2216386554621037E-3</v>
      </c>
      <c r="T244" s="34"/>
      <c r="W244" s="22"/>
      <c r="Z244" s="22"/>
    </row>
    <row r="245" spans="15:26" x14ac:dyDescent="0.3">
      <c r="O245" s="33">
        <v>45741</v>
      </c>
      <c r="P245" s="34">
        <v>23668.65</v>
      </c>
      <c r="Q245" s="35">
        <f t="shared" si="7"/>
        <v>7.7405015998315285E-3</v>
      </c>
      <c r="R245" s="34">
        <v>75.61</v>
      </c>
      <c r="S245" s="35">
        <f t="shared" si="7"/>
        <v>0</v>
      </c>
      <c r="T245" s="34"/>
      <c r="W245" s="22"/>
      <c r="Z245" s="22"/>
    </row>
    <row r="246" spans="15:26" x14ac:dyDescent="0.3">
      <c r="O246" s="33">
        <v>45740</v>
      </c>
      <c r="P246" s="34">
        <v>23658.35</v>
      </c>
      <c r="Q246" s="35">
        <f t="shared" si="7"/>
        <v>-4.3517479873178555E-4</v>
      </c>
      <c r="R246" s="34">
        <v>75.400000000000006</v>
      </c>
      <c r="S246" s="35">
        <f t="shared" si="7"/>
        <v>-2.7774103954502083E-3</v>
      </c>
      <c r="T246" s="34"/>
      <c r="W246" s="22"/>
      <c r="Z246" s="22"/>
    </row>
    <row r="247" spans="15:26" x14ac:dyDescent="0.3">
      <c r="O247" s="33">
        <v>45737</v>
      </c>
      <c r="P247" s="34">
        <v>23350.400000000001</v>
      </c>
      <c r="Q247" s="35">
        <f t="shared" si="7"/>
        <v>-1.3016545955233494E-2</v>
      </c>
      <c r="R247" s="34">
        <v>76.36</v>
      </c>
      <c r="S247" s="35">
        <f t="shared" si="7"/>
        <v>1.2732095490716189E-2</v>
      </c>
      <c r="T247" s="34"/>
      <c r="W247" s="22"/>
      <c r="Z247" s="22"/>
    </row>
    <row r="248" spans="15:26" x14ac:dyDescent="0.3">
      <c r="O248" s="33">
        <v>45736</v>
      </c>
      <c r="P248" s="34">
        <v>23190.65</v>
      </c>
      <c r="Q248" s="35">
        <f t="shared" si="7"/>
        <v>-6.841424558037601E-3</v>
      </c>
      <c r="R248" s="34">
        <v>76.849999999999994</v>
      </c>
      <c r="S248" s="35">
        <f t="shared" si="7"/>
        <v>6.4169722367730664E-3</v>
      </c>
      <c r="T248" s="34"/>
      <c r="W248" s="22"/>
      <c r="Z248" s="22"/>
    </row>
    <row r="249" spans="15:26" x14ac:dyDescent="0.3">
      <c r="O249" s="33">
        <v>45735</v>
      </c>
      <c r="P249" s="34">
        <v>22907.599999999999</v>
      </c>
      <c r="Q249" s="35">
        <f t="shared" si="7"/>
        <v>-1.2205350000970339E-2</v>
      </c>
      <c r="R249" s="34">
        <v>76.510000000000005</v>
      </c>
      <c r="S249" s="35">
        <f t="shared" si="7"/>
        <v>-4.4242029928430737E-3</v>
      </c>
      <c r="T249" s="34"/>
      <c r="W249" s="22"/>
      <c r="Z249" s="22"/>
    </row>
    <row r="250" spans="15:26" x14ac:dyDescent="0.3">
      <c r="O250" s="33">
        <v>45734</v>
      </c>
      <c r="P250" s="34">
        <v>22834.3</v>
      </c>
      <c r="Q250" s="35">
        <f t="shared" si="7"/>
        <v>-3.199811416298437E-3</v>
      </c>
      <c r="R250" s="34">
        <v>76.42</v>
      </c>
      <c r="S250" s="35">
        <f t="shared" si="7"/>
        <v>-1.1763168213305697E-3</v>
      </c>
      <c r="T250" s="34"/>
      <c r="W250" s="22"/>
      <c r="Z250" s="22"/>
    </row>
    <row r="251" spans="15:26" x14ac:dyDescent="0.3">
      <c r="O251" s="33">
        <v>45733</v>
      </c>
      <c r="P251" s="34">
        <v>22508.75</v>
      </c>
      <c r="Q251" s="35">
        <f t="shared" si="7"/>
        <v>-1.4257060649986997E-2</v>
      </c>
      <c r="R251" s="34">
        <v>75.98</v>
      </c>
      <c r="S251" s="35">
        <f t="shared" si="7"/>
        <v>-5.7576550641192936E-3</v>
      </c>
      <c r="T251" s="34"/>
      <c r="W251" s="22"/>
      <c r="Z251" s="22"/>
    </row>
    <row r="252" spans="15:26" x14ac:dyDescent="0.3">
      <c r="O252" s="33">
        <v>45729</v>
      </c>
      <c r="P252" s="34">
        <v>22397.200000000001</v>
      </c>
      <c r="Q252" s="35">
        <f t="shared" si="7"/>
        <v>-4.955850502582293E-3</v>
      </c>
      <c r="R252" s="34">
        <v>75.11</v>
      </c>
      <c r="S252" s="35">
        <f t="shared" si="7"/>
        <v>-1.1450381679389388E-2</v>
      </c>
      <c r="T252" s="34"/>
      <c r="W252" s="22"/>
      <c r="Z252" s="22"/>
    </row>
    <row r="253" spans="15:26" x14ac:dyDescent="0.3">
      <c r="O253" s="33">
        <v>45728</v>
      </c>
      <c r="P253" s="34">
        <v>22470.5</v>
      </c>
      <c r="Q253" s="35">
        <f t="shared" si="7"/>
        <v>3.2727305198863021E-3</v>
      </c>
      <c r="R253" s="34">
        <v>74.599999999999994</v>
      </c>
      <c r="S253" s="35">
        <f t="shared" si="7"/>
        <v>-6.7900412727999182E-3</v>
      </c>
      <c r="T253" s="34"/>
      <c r="W253" s="22"/>
      <c r="Z253" s="22"/>
    </row>
  </sheetData>
  <mergeCells count="1">
    <mergeCell ref="C9:F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Portfolio_optimisation</vt:lpstr>
      <vt:lpstr>Efficient_frontier</vt:lpstr>
      <vt:lpstr>gold</vt:lpstr>
      <vt:lpstr>nifty50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dcterms:created xsi:type="dcterms:W3CDTF">2026-03-11T12:59:32Z</dcterms:created>
  <dcterms:modified xsi:type="dcterms:W3CDTF">2026-03-23T06:33:52Z</dcterms:modified>
</cp:coreProperties>
</file>