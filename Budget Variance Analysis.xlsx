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F39206D4-0400-4B40-A5A7-FFF02CB6FBDA}" xr6:coauthVersionLast="47" xr6:coauthVersionMax="47" xr10:uidLastSave="{00000000-0000-0000-0000-000000000000}"/>
  <bookViews>
    <workbookView xWindow="-108" yWindow="-108" windowWidth="23256" windowHeight="13176" xr2:uid="{85187461-2421-4BAF-A650-14C0E84BEE66}"/>
  </bookViews>
  <sheets>
    <sheet name="Dashboard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10" i="1"/>
  <c r="G9" i="1"/>
  <c r="G8" i="1"/>
  <c r="G21" i="2"/>
  <c r="H21" i="2"/>
  <c r="I21" i="2" s="1"/>
  <c r="J21" i="2" s="1"/>
  <c r="K21" i="2" s="1"/>
  <c r="L21" i="2" s="1"/>
  <c r="M21" i="2" s="1"/>
  <c r="N21" i="2" s="1"/>
  <c r="O21" i="2" s="1"/>
  <c r="P21" i="2" s="1"/>
  <c r="F21" i="2"/>
  <c r="E21" i="2"/>
  <c r="F20" i="2"/>
  <c r="G20" i="2"/>
  <c r="H20" i="2"/>
  <c r="I20" i="2"/>
  <c r="J20" i="2"/>
  <c r="K20" i="2"/>
  <c r="L20" i="2"/>
  <c r="M20" i="2"/>
  <c r="N20" i="2"/>
  <c r="O20" i="2"/>
  <c r="P20" i="2"/>
  <c r="E20" i="2"/>
  <c r="F17" i="1"/>
  <c r="F18" i="1"/>
  <c r="F19" i="1"/>
  <c r="F16" i="1"/>
  <c r="J16" i="1" s="1"/>
  <c r="F15" i="1"/>
  <c r="J15" i="1" s="1"/>
  <c r="F14" i="1"/>
  <c r="F9" i="1"/>
  <c r="F10" i="1"/>
  <c r="F8" i="1"/>
  <c r="P9" i="2"/>
  <c r="O9" i="2"/>
  <c r="N9" i="2"/>
  <c r="M9" i="2"/>
  <c r="L9" i="2"/>
  <c r="K9" i="2"/>
  <c r="J9" i="2"/>
  <c r="I9" i="2"/>
  <c r="H9" i="2"/>
  <c r="G9" i="2"/>
  <c r="F9" i="2"/>
  <c r="E9" i="2"/>
  <c r="P18" i="2"/>
  <c r="O18" i="2"/>
  <c r="N18" i="2"/>
  <c r="M18" i="2"/>
  <c r="L18" i="2"/>
  <c r="K18" i="2"/>
  <c r="J18" i="2"/>
  <c r="I18" i="2"/>
  <c r="H18" i="2"/>
  <c r="G18" i="2"/>
  <c r="F18" i="2"/>
  <c r="E18" i="2"/>
  <c r="P30" i="2"/>
  <c r="P41" i="2" s="1"/>
  <c r="O30" i="2"/>
  <c r="N30" i="2"/>
  <c r="M30" i="2"/>
  <c r="L30" i="2"/>
  <c r="K30" i="2"/>
  <c r="J30" i="2"/>
  <c r="I30" i="2"/>
  <c r="H30" i="2"/>
  <c r="G30" i="2"/>
  <c r="F30" i="2"/>
  <c r="E30" i="2"/>
  <c r="P39" i="2"/>
  <c r="O39" i="2"/>
  <c r="N39" i="2"/>
  <c r="M39" i="2"/>
  <c r="L39" i="2"/>
  <c r="K39" i="2"/>
  <c r="J39" i="2"/>
  <c r="I39" i="2"/>
  <c r="H39" i="2"/>
  <c r="G39" i="2"/>
  <c r="F39" i="2"/>
  <c r="E39" i="2"/>
  <c r="I14" i="1" l="1"/>
  <c r="J18" i="1"/>
  <c r="I9" i="1"/>
  <c r="J10" i="1"/>
  <c r="J19" i="1"/>
  <c r="J14" i="1"/>
  <c r="I10" i="1"/>
  <c r="J17" i="1"/>
  <c r="I15" i="1"/>
  <c r="J8" i="1"/>
  <c r="J9" i="1"/>
  <c r="I16" i="1"/>
  <c r="I17" i="1"/>
  <c r="I18" i="1"/>
  <c r="G11" i="1"/>
  <c r="I19" i="1"/>
  <c r="I8" i="1"/>
  <c r="F11" i="1"/>
  <c r="G20" i="1"/>
  <c r="O41" i="2"/>
  <c r="G41" i="2"/>
  <c r="F20" i="1"/>
  <c r="I41" i="2"/>
  <c r="J41" i="2"/>
  <c r="L41" i="2"/>
  <c r="N41" i="2"/>
  <c r="K41" i="2"/>
  <c r="E41" i="2"/>
  <c r="E42" i="2" s="1"/>
  <c r="H41" i="2"/>
  <c r="F41" i="2"/>
  <c r="F42" i="2" s="1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M41" i="2"/>
  <c r="I20" i="1" l="1"/>
  <c r="J20" i="1"/>
  <c r="F22" i="1"/>
  <c r="J11" i="1"/>
  <c r="I11" i="1"/>
  <c r="G22" i="1"/>
  <c r="I22" i="1" l="1"/>
  <c r="J22" i="1"/>
</calcChain>
</file>

<file path=xl/sharedStrings.xml><?xml version="1.0" encoding="utf-8"?>
<sst xmlns="http://schemas.openxmlformats.org/spreadsheetml/2006/main" count="83" uniqueCount="40">
  <si>
    <t>Budget vs. Actual Dashboard</t>
  </si>
  <si>
    <t>Current Month -&gt;</t>
  </si>
  <si>
    <t>Figures in INR</t>
  </si>
  <si>
    <t>Budget</t>
  </si>
  <si>
    <t>Actual</t>
  </si>
  <si>
    <t>Items</t>
  </si>
  <si>
    <t>May</t>
  </si>
  <si>
    <t>Base Salary</t>
  </si>
  <si>
    <t>Bonus</t>
  </si>
  <si>
    <t>Side Hustle</t>
  </si>
  <si>
    <t>Rent</t>
  </si>
  <si>
    <t>Utilities</t>
  </si>
  <si>
    <t>Transport</t>
  </si>
  <si>
    <t>Groceries</t>
  </si>
  <si>
    <t>Leisure</t>
  </si>
  <si>
    <t>Savings</t>
  </si>
  <si>
    <t>Income:</t>
  </si>
  <si>
    <t>Expenses:</t>
  </si>
  <si>
    <t>Total Income</t>
  </si>
  <si>
    <t>Other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</si>
  <si>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</si>
  <si>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</si>
  <si>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</si>
  <si>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</si>
  <si>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</si>
  <si>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</si>
  <si>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</si>
  <si>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</si>
  <si>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</si>
  <si>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</si>
  <si>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</si>
  <si>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Budgeted Income &amp; Expenses for the year 2025</t>
  </si>
  <si>
    <t>Acutal Income &amp; Expenses for the year 2025</t>
  </si>
  <si>
    <t>Total Expenses</t>
  </si>
  <si>
    <t>Cumulative Savings</t>
  </si>
  <si>
    <t xml:space="preserve"> </t>
  </si>
  <si>
    <t>Var.Abs.</t>
  </si>
  <si>
    <t>Var.%</t>
  </si>
  <si>
    <t>Budget vs. Actual Income</t>
  </si>
  <si>
    <t>Budget vs. Actual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</si>
</sst>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5" formatCode="_ * #,##0_ ;_ * \-#,##0_ ;_ * &quot;-&quot;??_ ;_ @_ "/>
    <numFmt numFmtId="168" formatCode="_ [$₹-4009]\ * #,##0_ ;_ [$₹-4009]\ * \-#,##0_ ;_ [$₹-4009]\ * &quot;-&quot;??_ ;_ @_ "/>
    <numFmt numFmtId="172" formatCode="#,##0;\(#,##0\);\ \-\-"/>
    <numFmt numFmtId="173" formatCode="0.0%;\(0.0%\);\ \-\-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name val="Calibri"/>
      <family val="2"/>
    </font>
    <font>
      <b/>
      <sz val="14"/>
      <color rgb="FF14183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</font>
    <font>
      <b/>
      <i/>
      <sz val="12"/>
      <color theme="0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4183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6" fillId="0" borderId="2" xfId="0" applyFont="1" applyBorder="1"/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0" xfId="0" applyAlignment="1">
      <alignment horizontal="center"/>
    </xf>
    <xf numFmtId="0" fontId="7" fillId="0" borderId="2" xfId="0" applyFont="1" applyBorder="1"/>
    <xf numFmtId="0" fontId="8" fillId="0" borderId="2" xfId="0" applyFont="1" applyBorder="1"/>
    <xf numFmtId="0" fontId="2" fillId="3" borderId="0" xfId="0" applyFont="1" applyFill="1"/>
    <xf numFmtId="165" fontId="0" fillId="0" borderId="0" xfId="1" applyNumberFormat="1" applyFont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3" xfId="1" applyNumberFormat="1" applyFont="1" applyBorder="1"/>
    <xf numFmtId="165" fontId="3" fillId="0" borderId="3" xfId="1" applyNumberFormat="1" applyFont="1" applyBorder="1" applyAlignment="1">
      <alignment horizontal="center"/>
    </xf>
    <xf numFmtId="165" fontId="0" fillId="0" borderId="0" xfId="1" applyNumberFormat="1" applyFont="1"/>
    <xf numFmtId="165" fontId="3" fillId="0" borderId="0" xfId="1" applyNumberFormat="1" applyFont="1"/>
    <xf numFmtId="0" fontId="3" fillId="0" borderId="0" xfId="0" applyFont="1" applyBorder="1" applyAlignment="1">
      <alignment horizontal="left"/>
    </xf>
    <xf numFmtId="165" fontId="3" fillId="0" borderId="0" xfId="1" applyNumberFormat="1" applyFont="1" applyBorder="1"/>
    <xf numFmtId="0" fontId="3" fillId="0" borderId="0" xfId="0" applyFont="1" applyFill="1" applyBorder="1" applyAlignment="1">
      <alignment horizontal="left"/>
    </xf>
    <xf numFmtId="168" fontId="3" fillId="0" borderId="3" xfId="1" applyNumberFormat="1" applyFont="1" applyBorder="1"/>
    <xf numFmtId="168" fontId="3" fillId="0" borderId="3" xfId="0" applyNumberFormat="1" applyFont="1" applyBorder="1"/>
    <xf numFmtId="0" fontId="3" fillId="2" borderId="4" xfId="0" applyFont="1" applyFill="1" applyBorder="1" applyAlignment="1">
      <alignment horizontal="left" indent="1"/>
    </xf>
    <xf numFmtId="0" fontId="0" fillId="2" borderId="4" xfId="0" applyFill="1" applyBorder="1"/>
    <xf numFmtId="168" fontId="3" fillId="2" borderId="4" xfId="0" applyNumberFormat="1" applyFont="1" applyFill="1" applyBorder="1"/>
    <xf numFmtId="172" fontId="0" fillId="0" borderId="0" xfId="0" applyNumberFormat="1" applyAlignment="1">
      <alignment horizontal="center"/>
    </xf>
    <xf numFmtId="172" fontId="3" fillId="0" borderId="3" xfId="0" applyNumberFormat="1" applyFont="1" applyBorder="1" applyAlignment="1">
      <alignment horizontal="center"/>
    </xf>
    <xf numFmtId="172" fontId="3" fillId="0" borderId="4" xfId="0" applyNumberFormat="1" applyFont="1" applyBorder="1" applyAlignment="1">
      <alignment horizontal="center"/>
    </xf>
    <xf numFmtId="173" fontId="9" fillId="0" borderId="0" xfId="2" applyNumberFormat="1" applyFont="1" applyAlignment="1">
      <alignment horizontal="center"/>
    </xf>
    <xf numFmtId="173" fontId="4" fillId="0" borderId="3" xfId="2" applyNumberFormat="1" applyFont="1" applyBorder="1" applyAlignment="1">
      <alignment horizontal="center"/>
    </xf>
    <xf numFmtId="173" fontId="4" fillId="0" borderId="4" xfId="2" applyNumberFormat="1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8" fillId="0" borderId="0" xfId="0" applyFont="1"/>
    <xf numFmtId="0" fontId="11" fillId="3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141836"/>
      <color rgb="FF18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Dashboard!$D$8:$D$10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Dashboard!$F$8:$F$10</c:f>
              <c:numCache>
                <c:formatCode>_ * #,##0_ ;_ * \-#,##0_ ;_ * "-"??_ ;_ @_ </c:formatCode>
                <c:ptCount val="3"/>
                <c:pt idx="0">
                  <c:v>35000</c:v>
                </c:pt>
                <c:pt idx="1">
                  <c:v>5000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B-46F1-8057-0E251A97776B}"/>
            </c:ext>
          </c:extLst>
        </c:ser>
        <c:ser>
          <c:idx val="2"/>
          <c:order val="2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Dashboard!$D$8:$D$10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Dashboard!$G$8:$G$10</c:f>
              <c:numCache>
                <c:formatCode>_ * #,##0_ ;_ * \-#,##0_ ;_ * "-"??_ ;_ @_ </c:formatCode>
                <c:ptCount val="3"/>
                <c:pt idx="0">
                  <c:v>35000</c:v>
                </c:pt>
                <c:pt idx="1">
                  <c:v>4000</c:v>
                </c:pt>
                <c:pt idx="2">
                  <c:v>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DB-46F1-8057-0E251A977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511549472"/>
        <c:axId val="5115504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Dashboard!$D$8:$D$10</c15:sqref>
                        </c15:formulaRef>
                      </c:ext>
                    </c:extLst>
                    <c:strCache>
                      <c:ptCount val="3"/>
                      <c:pt idx="0">
                        <c:v>Base Salary</c:v>
                      </c:pt>
                      <c:pt idx="1">
                        <c:v>Bonus</c:v>
                      </c:pt>
                      <c:pt idx="2">
                        <c:v>Side Hustle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Dashboard!$E$8:$E$10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7DB-46F1-8057-0E251A97776B}"/>
                  </c:ext>
                </c:extLst>
              </c15:ser>
            </c15:filteredBarSeries>
          </c:ext>
        </c:extLst>
      </c:barChart>
      <c:catAx>
        <c:axId val="51154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50432"/>
        <c:crosses val="autoZero"/>
        <c:auto val="1"/>
        <c:lblAlgn val="ctr"/>
        <c:lblOffset val="100"/>
        <c:noMultiLvlLbl val="0"/>
      </c:catAx>
      <c:valAx>
        <c:axId val="51155043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4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Dashboard!$D$14:$D$19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Dashboard!$E$14:$E$19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084-44CF-8A7C-B25230C55A4E}"/>
            </c:ext>
          </c:extLst>
        </c:ser>
        <c:ser>
          <c:idx val="1"/>
          <c:order val="1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Dashboard!$D$14:$D$19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Dashboard!$F$14:$F$19</c:f>
              <c:numCache>
                <c:formatCode>_ * #,##0_ ;_ * \-#,##0_ ;_ * "-"??_ ;_ @_ </c:formatCode>
                <c:ptCount val="6"/>
                <c:pt idx="0">
                  <c:v>12000</c:v>
                </c:pt>
                <c:pt idx="1">
                  <c:v>4340</c:v>
                </c:pt>
                <c:pt idx="2">
                  <c:v>7080</c:v>
                </c:pt>
                <c:pt idx="3">
                  <c:v>4200</c:v>
                </c:pt>
                <c:pt idx="4">
                  <c:v>9000</c:v>
                </c:pt>
                <c:pt idx="5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4-44CF-8A7C-B25230C55A4E}"/>
            </c:ext>
          </c:extLst>
        </c:ser>
        <c:ser>
          <c:idx val="2"/>
          <c:order val="2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Dashboard!$D$14:$D$19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Dashboard!$G$14:$G$19</c:f>
              <c:numCache>
                <c:formatCode>_ * #,##0_ ;_ * \-#,##0_ ;_ * "-"??_ ;_ @_ </c:formatCode>
                <c:ptCount val="6"/>
                <c:pt idx="0">
                  <c:v>11500</c:v>
                </c:pt>
                <c:pt idx="1">
                  <c:v>4586</c:v>
                </c:pt>
                <c:pt idx="2">
                  <c:v>7076</c:v>
                </c:pt>
                <c:pt idx="3">
                  <c:v>3955</c:v>
                </c:pt>
                <c:pt idx="4">
                  <c:v>8536</c:v>
                </c:pt>
                <c:pt idx="5">
                  <c:v>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4-44CF-8A7C-B25230C55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511643072"/>
        <c:axId val="511640192"/>
      </c:barChart>
      <c:catAx>
        <c:axId val="51164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40192"/>
        <c:crosses val="autoZero"/>
        <c:auto val="1"/>
        <c:lblAlgn val="ctr"/>
        <c:lblOffset val="100"/>
        <c:noMultiLvlLbl val="0"/>
      </c:catAx>
      <c:valAx>
        <c:axId val="51164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4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6</xdr:row>
      <xdr:rowOff>175260</xdr:rowOff>
    </xdr:from>
    <xdr:to>
      <xdr:col>16</xdr:col>
      <xdr:colOff>22860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7602D1-7B66-5B01-7D46-EEA9B06D4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22860</xdr:colOff>
      <xdr:row>7</xdr:row>
      <xdr:rowOff>0</xdr:rowOff>
    </xdr:from>
    <xdr:to>
      <xdr:col>27</xdr:col>
      <xdr:colOff>426720</xdr:colOff>
      <xdr:row>20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4E137C-AC25-8DD4-0BCD-83C3B437E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B7BB-CD04-4B33-9BCE-439D5D3BA5C9}">
  <dimension ref="D2:U22"/>
  <sheetViews>
    <sheetView showGridLines="0" tabSelected="1" workbookViewId="0">
      <selection activeCell="F4" sqref="F4"/>
    </sheetView>
  </sheetViews>
  <sheetFormatPr defaultRowHeight="14.4" x14ac:dyDescent="0.3"/>
  <cols>
    <col min="1" max="3" width="2.33203125" customWidth="1"/>
    <col min="4" max="4" width="15.77734375" customWidth="1"/>
    <col min="5" max="5" width="5.77734375" customWidth="1"/>
    <col min="6" max="7" width="11.77734375" customWidth="1"/>
    <col min="8" max="8" width="5.77734375" customWidth="1"/>
    <col min="9" max="10" width="10.77734375" customWidth="1"/>
  </cols>
  <sheetData>
    <row r="2" spans="4:21" ht="18" x14ac:dyDescent="0.35">
      <c r="D2" s="9" t="s">
        <v>0</v>
      </c>
      <c r="E2" s="8"/>
      <c r="F2" s="8"/>
      <c r="G2" s="8"/>
      <c r="H2" s="8"/>
      <c r="I2" s="8"/>
      <c r="J2" s="8"/>
      <c r="K2" s="8"/>
      <c r="L2" s="8"/>
    </row>
    <row r="4" spans="4:21" x14ac:dyDescent="0.3">
      <c r="D4" s="2" t="s">
        <v>1</v>
      </c>
      <c r="E4" s="2"/>
      <c r="F4" s="7" t="s">
        <v>23</v>
      </c>
    </row>
    <row r="6" spans="4:21" ht="15.6" x14ac:dyDescent="0.3">
      <c r="D6" s="36" t="s">
        <v>2</v>
      </c>
      <c r="E6" s="37"/>
      <c r="F6" s="37" t="s">
        <v>3</v>
      </c>
      <c r="G6" s="37" t="s">
        <v>4</v>
      </c>
      <c r="H6" s="38"/>
      <c r="I6" s="37" t="s">
        <v>36</v>
      </c>
      <c r="J6" s="37" t="s">
        <v>37</v>
      </c>
      <c r="K6" s="38"/>
      <c r="L6" s="39" t="s">
        <v>38</v>
      </c>
      <c r="M6" s="39"/>
      <c r="N6" s="39"/>
      <c r="O6" s="39"/>
      <c r="R6" s="39" t="s">
        <v>39</v>
      </c>
      <c r="S6" s="39"/>
      <c r="T6" s="39"/>
      <c r="U6" s="39"/>
    </row>
    <row r="7" spans="4:21" x14ac:dyDescent="0.3">
      <c r="D7" s="1" t="s">
        <v>16</v>
      </c>
    </row>
    <row r="8" spans="4:21" x14ac:dyDescent="0.3">
      <c r="D8" s="5" t="s">
        <v>7</v>
      </c>
      <c r="F8" s="20">
        <f>INDEX(Data!$D$4:$P$18,MATCH(Dashboard!D8,Data!$D$4:$D$18,0),MATCH(Dashboard!$F$4,Data!$D$4:$P$4,0))</f>
        <v>35000</v>
      </c>
      <c r="G8" s="20">
        <f>INDEX(Data!$D$25:$P$39,MATCH(Dashboard!D8,Data!$D$25:$D$39,0),MATCH(Dashboard!$F$4,Data!$D$25:$P$25,0))</f>
        <v>35000</v>
      </c>
      <c r="I8" s="30">
        <f>G8-F8</f>
        <v>0</v>
      </c>
      <c r="J8" s="33">
        <f>G8/F8-1</f>
        <v>0</v>
      </c>
    </row>
    <row r="9" spans="4:21" x14ac:dyDescent="0.3">
      <c r="D9" s="5" t="s">
        <v>8</v>
      </c>
      <c r="F9" s="20">
        <f>INDEX(Data!$D$4:$P$18,MATCH(Dashboard!D9,Data!$D$4:$D$18,0),MATCH(Dashboard!$F$4,Data!$D$4:$P$4,0))</f>
        <v>5000</v>
      </c>
      <c r="G9" s="20">
        <f>INDEX(Data!$D$25:$P$39,MATCH(Dashboard!D9,Data!$D$25:$D$39,0),MATCH(Dashboard!$F$4,Data!$D$25:$P$25,0))</f>
        <v>4000</v>
      </c>
      <c r="I9" s="30">
        <f t="shared" ref="I9:I22" si="0">G9-F9</f>
        <v>-1000</v>
      </c>
      <c r="J9" s="33">
        <f>G9/F9-1</f>
        <v>-0.19999999999999996</v>
      </c>
    </row>
    <row r="10" spans="4:21" x14ac:dyDescent="0.3">
      <c r="D10" s="5" t="s">
        <v>9</v>
      </c>
      <c r="F10" s="20">
        <f>INDEX(Data!$D$4:$P$18,MATCH(Dashboard!D10,Data!$D$4:$D$18,0),MATCH(Dashboard!$F$4,Data!$D$4:$P$4,0))</f>
        <v>2500</v>
      </c>
      <c r="G10" s="20">
        <f>INDEX(Data!$D$25:$P$39,MATCH(Dashboard!D10,Data!$D$25:$D$39,0),MATCH(Dashboard!$F$4,Data!$D$25:$P$25,0))</f>
        <v>2462</v>
      </c>
      <c r="I10" s="30">
        <f t="shared" si="0"/>
        <v>-38</v>
      </c>
      <c r="J10" s="33">
        <f t="shared" ref="J9:J22" si="1">G10/F10-1</f>
        <v>-1.5199999999999991E-2</v>
      </c>
    </row>
    <row r="11" spans="4:21" x14ac:dyDescent="0.3">
      <c r="D11" s="10" t="s">
        <v>18</v>
      </c>
      <c r="E11" s="11"/>
      <c r="F11" s="25">
        <f>SUM(F8:F10)</f>
        <v>42500</v>
      </c>
      <c r="G11" s="26">
        <f>SUM(G8:G10)</f>
        <v>41462</v>
      </c>
      <c r="I11" s="31">
        <f t="shared" si="0"/>
        <v>-1038</v>
      </c>
      <c r="J11" s="34">
        <f>G11/F11-1</f>
        <v>-2.4423529411764733E-2</v>
      </c>
    </row>
    <row r="12" spans="4:21" x14ac:dyDescent="0.3">
      <c r="F12" s="20"/>
      <c r="I12" s="30"/>
      <c r="J12" s="33"/>
    </row>
    <row r="13" spans="4:21" x14ac:dyDescent="0.3">
      <c r="D13" s="6" t="s">
        <v>17</v>
      </c>
      <c r="F13" s="20"/>
      <c r="I13" s="30"/>
      <c r="J13" s="33"/>
    </row>
    <row r="14" spans="4:21" x14ac:dyDescent="0.3">
      <c r="D14" s="5" t="s">
        <v>10</v>
      </c>
      <c r="F14" s="20">
        <f>INDEX(Data!$D$4:$P$18,MATCH(Dashboard!D14,Data!$D$4:$D$18,0),MATCH(Dashboard!$F$4,Data!$D$4:$P$4,0))</f>
        <v>12000</v>
      </c>
      <c r="G14" s="20">
        <f>INDEX(Data!$D$25:$P$39,MATCH(Dashboard!D14,Data!$D$25:$D$39,0),MATCH(Dashboard!$F$4,Data!$D$25:$P$25,0))</f>
        <v>11500</v>
      </c>
      <c r="I14" s="30">
        <f>F14-G14</f>
        <v>500</v>
      </c>
      <c r="J14" s="33">
        <f>F14/G14-1</f>
        <v>4.3478260869565188E-2</v>
      </c>
    </row>
    <row r="15" spans="4:21" x14ac:dyDescent="0.3">
      <c r="D15" s="5" t="s">
        <v>11</v>
      </c>
      <c r="F15" s="20">
        <f>INDEX(Data!$D$4:$P$18,MATCH(Dashboard!D15,Data!$D$4:$D$18,0),MATCH(Dashboard!$F$4,Data!$D$4:$P$4,0))</f>
        <v>4340</v>
      </c>
      <c r="G15" s="20">
        <f>INDEX(Data!$D$25:$P$39,MATCH(Dashboard!D15,Data!$D$25:$D$39,0),MATCH(Dashboard!$F$4,Data!$D$25:$P$25,0))</f>
        <v>4586</v>
      </c>
      <c r="I15" s="30">
        <f t="shared" ref="I15:I20" si="2">F15-G15</f>
        <v>-246</v>
      </c>
      <c r="J15" s="33">
        <f t="shared" ref="J15:J20" si="3">F15/G15-1</f>
        <v>-5.3641517662450955E-2</v>
      </c>
    </row>
    <row r="16" spans="4:21" x14ac:dyDescent="0.3">
      <c r="D16" s="5" t="s">
        <v>12</v>
      </c>
      <c r="F16" s="20">
        <f>INDEX(Data!$D$4:$P$18,MATCH(Dashboard!D16,Data!$D$4:$D$18,0),MATCH(Dashboard!$F$4,Data!$D$4:$P$4,0))</f>
        <v>7080</v>
      </c>
      <c r="G16" s="20">
        <f>INDEX(Data!$D$25:$P$39,MATCH(Dashboard!D16,Data!$D$25:$D$39,0),MATCH(Dashboard!$F$4,Data!$D$25:$P$25,0))</f>
        <v>7076</v>
      </c>
      <c r="I16" s="30">
        <f t="shared" si="2"/>
        <v>4</v>
      </c>
      <c r="J16" s="33">
        <f t="shared" si="3"/>
        <v>5.6529112492942346E-4</v>
      </c>
    </row>
    <row r="17" spans="4:10" x14ac:dyDescent="0.3">
      <c r="D17" s="5" t="s">
        <v>13</v>
      </c>
      <c r="F17" s="20">
        <f>INDEX(Data!$D$4:$P$18,MATCH(Dashboard!D17,Data!$D$4:$D$18,0),MATCH(Dashboard!$F$4,Data!$D$4:$P$4,0))</f>
        <v>4200</v>
      </c>
      <c r="G17" s="20">
        <f>INDEX(Data!$D$25:$P$39,MATCH(Dashboard!D17,Data!$D$25:$D$39,0),MATCH(Dashboard!$F$4,Data!$D$25:$P$25,0))</f>
        <v>3955</v>
      </c>
      <c r="I17" s="30">
        <f t="shared" si="2"/>
        <v>245</v>
      </c>
      <c r="J17" s="33">
        <f t="shared" si="3"/>
        <v>6.1946902654867353E-2</v>
      </c>
    </row>
    <row r="18" spans="4:10" x14ac:dyDescent="0.3">
      <c r="D18" s="5" t="s">
        <v>14</v>
      </c>
      <c r="F18" s="20">
        <f>INDEX(Data!$D$4:$P$18,MATCH(Dashboard!D18,Data!$D$4:$D$18,0),MATCH(Dashboard!$F$4,Data!$D$4:$P$4,0))</f>
        <v>9000</v>
      </c>
      <c r="G18" s="20">
        <f>INDEX(Data!$D$25:$P$39,MATCH(Dashboard!D18,Data!$D$25:$D$39,0),MATCH(Dashboard!$F$4,Data!$D$25:$P$25,0))</f>
        <v>8536</v>
      </c>
      <c r="I18" s="30">
        <f t="shared" si="2"/>
        <v>464</v>
      </c>
      <c r="J18" s="33">
        <f t="shared" si="3"/>
        <v>5.4358013120899829E-2</v>
      </c>
    </row>
    <row r="19" spans="4:10" x14ac:dyDescent="0.3">
      <c r="D19" s="5" t="s">
        <v>19</v>
      </c>
      <c r="F19" s="20">
        <f>INDEX(Data!$D$4:$P$18,MATCH(Dashboard!D19,Data!$D$4:$D$18,0),MATCH(Dashboard!$F$4,Data!$D$4:$P$4,0))</f>
        <v>4200</v>
      </c>
      <c r="G19" s="20">
        <f>INDEX(Data!$D$25:$P$39,MATCH(Dashboard!D19,Data!$D$25:$D$39,0),MATCH(Dashboard!$F$4,Data!$D$25:$P$25,0))</f>
        <v>5107</v>
      </c>
      <c r="I19" s="30">
        <f t="shared" si="2"/>
        <v>-907</v>
      </c>
      <c r="J19" s="33">
        <f t="shared" si="3"/>
        <v>-0.17759937340904641</v>
      </c>
    </row>
    <row r="20" spans="4:10" x14ac:dyDescent="0.3">
      <c r="D20" s="10" t="s">
        <v>33</v>
      </c>
      <c r="E20" s="11"/>
      <c r="F20" s="25">
        <f>SUM(F14:F19)</f>
        <v>40820</v>
      </c>
      <c r="G20" s="26">
        <f>SUM(G14:G19)</f>
        <v>40760</v>
      </c>
      <c r="I20" s="31">
        <f t="shared" si="2"/>
        <v>60</v>
      </c>
      <c r="J20" s="34">
        <f t="shared" si="3"/>
        <v>1.4720314033365156E-3</v>
      </c>
    </row>
    <row r="21" spans="4:10" x14ac:dyDescent="0.3">
      <c r="I21" s="30"/>
      <c r="J21" s="33"/>
    </row>
    <row r="22" spans="4:10" x14ac:dyDescent="0.3">
      <c r="D22" s="27" t="s">
        <v>15</v>
      </c>
      <c r="E22" s="28"/>
      <c r="F22" s="29">
        <f>F11-F20</f>
        <v>1680</v>
      </c>
      <c r="G22" s="29">
        <f t="shared" ref="G22" si="4">G11-G20</f>
        <v>702</v>
      </c>
      <c r="H22" t="s">
        <v>35</v>
      </c>
      <c r="I22" s="32">
        <f t="shared" si="0"/>
        <v>-978</v>
      </c>
      <c r="J22" s="35">
        <f t="shared" si="1"/>
        <v>-0.58214285714285707</v>
      </c>
    </row>
  </sheetData>
  <mergeCells count="3">
    <mergeCell ref="D4:E4"/>
    <mergeCell ref="L6:O6"/>
    <mergeCell ref="R6:U6"/>
  </mergeCells>
  <conditionalFormatting sqref="I8:J22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BA44F7-7A2A-4A8A-83D4-73A06C514273}">
          <x14:formula1>
            <xm:f>Data!$E$4:$P$4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CCFF-6D9B-4BB5-BFD1-9F5A1BAB4382}">
  <dimension ref="D2:P42"/>
  <sheetViews>
    <sheetView showGridLines="0" topLeftCell="A22" workbookViewId="0">
      <selection activeCell="R37" sqref="R37"/>
    </sheetView>
  </sheetViews>
  <sheetFormatPr defaultRowHeight="14.4" x14ac:dyDescent="0.3"/>
  <cols>
    <col min="1" max="3" width="2.33203125" customWidth="1"/>
    <col min="4" max="4" width="15.77734375" customWidth="1"/>
    <col min="5" max="16" width="10.77734375" customWidth="1"/>
  </cols>
  <sheetData>
    <row r="2" spans="4:16" ht="15.6" x14ac:dyDescent="0.3">
      <c r="D2" s="13" t="s">
        <v>31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4:16" x14ac:dyDescent="0.3">
      <c r="D3" s="1"/>
    </row>
    <row r="4" spans="4:16" x14ac:dyDescent="0.3">
      <c r="D4" s="15" t="s">
        <v>5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6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</row>
    <row r="5" spans="4:16" x14ac:dyDescent="0.3">
      <c r="D5" s="1" t="s">
        <v>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4:16" x14ac:dyDescent="0.3">
      <c r="D6" s="5" t="s">
        <v>7</v>
      </c>
      <c r="E6" s="16">
        <v>35000</v>
      </c>
      <c r="F6" s="16">
        <v>35000</v>
      </c>
      <c r="G6" s="16">
        <v>35000</v>
      </c>
      <c r="H6" s="16">
        <v>35000</v>
      </c>
      <c r="I6" s="16">
        <v>35000</v>
      </c>
      <c r="J6" s="16">
        <v>35000</v>
      </c>
      <c r="K6" s="16">
        <v>38000</v>
      </c>
      <c r="L6" s="16">
        <v>38000</v>
      </c>
      <c r="M6" s="16">
        <v>38000</v>
      </c>
      <c r="N6" s="16">
        <v>38000</v>
      </c>
      <c r="O6" s="16">
        <v>38000</v>
      </c>
      <c r="P6" s="16">
        <v>38000</v>
      </c>
    </row>
    <row r="7" spans="4:16" x14ac:dyDescent="0.3">
      <c r="D7" s="5" t="s">
        <v>8</v>
      </c>
      <c r="E7" s="16">
        <v>5000</v>
      </c>
      <c r="F7" s="16">
        <v>5000</v>
      </c>
      <c r="G7" s="16">
        <v>5000</v>
      </c>
      <c r="H7" s="16">
        <v>5000</v>
      </c>
      <c r="I7" s="16">
        <v>5000</v>
      </c>
      <c r="J7" s="16">
        <v>5000</v>
      </c>
      <c r="K7" s="16">
        <v>5000</v>
      </c>
      <c r="L7" s="16">
        <v>5000</v>
      </c>
      <c r="M7" s="16">
        <v>5000</v>
      </c>
      <c r="N7" s="16">
        <v>5000</v>
      </c>
      <c r="O7" s="16">
        <v>5000</v>
      </c>
      <c r="P7" s="16">
        <v>5000</v>
      </c>
    </row>
    <row r="8" spans="4:16" x14ac:dyDescent="0.3">
      <c r="D8" s="5" t="s">
        <v>9</v>
      </c>
      <c r="E8" s="16">
        <v>2500</v>
      </c>
      <c r="F8" s="16">
        <v>2500</v>
      </c>
      <c r="G8" s="16">
        <v>2500</v>
      </c>
      <c r="H8" s="16">
        <v>2500</v>
      </c>
      <c r="I8" s="16">
        <v>2500</v>
      </c>
      <c r="J8" s="16">
        <v>2500</v>
      </c>
      <c r="K8" s="16">
        <v>2500</v>
      </c>
      <c r="L8" s="16">
        <v>2500</v>
      </c>
      <c r="M8" s="16">
        <v>2500</v>
      </c>
      <c r="N8" s="16">
        <v>2500</v>
      </c>
      <c r="O8" s="16">
        <v>2500</v>
      </c>
      <c r="P8" s="16">
        <v>2500</v>
      </c>
    </row>
    <row r="9" spans="4:16" x14ac:dyDescent="0.3">
      <c r="D9" s="10" t="s">
        <v>18</v>
      </c>
      <c r="E9" s="17">
        <f>SUM(E6:E8)</f>
        <v>42500</v>
      </c>
      <c r="F9" s="17">
        <f t="shared" ref="F9:P9" si="0">SUM(F6:F8)</f>
        <v>42500</v>
      </c>
      <c r="G9" s="17">
        <f t="shared" si="0"/>
        <v>42500</v>
      </c>
      <c r="H9" s="17">
        <f t="shared" si="0"/>
        <v>42500</v>
      </c>
      <c r="I9" s="17">
        <f t="shared" si="0"/>
        <v>42500</v>
      </c>
      <c r="J9" s="17">
        <f t="shared" si="0"/>
        <v>42500</v>
      </c>
      <c r="K9" s="17">
        <f t="shared" si="0"/>
        <v>45500</v>
      </c>
      <c r="L9" s="17">
        <f t="shared" si="0"/>
        <v>45500</v>
      </c>
      <c r="M9" s="17">
        <f t="shared" si="0"/>
        <v>45500</v>
      </c>
      <c r="N9" s="17">
        <f t="shared" si="0"/>
        <v>45500</v>
      </c>
      <c r="O9" s="17">
        <f t="shared" si="0"/>
        <v>45500</v>
      </c>
      <c r="P9" s="17">
        <f t="shared" si="0"/>
        <v>45500</v>
      </c>
    </row>
    <row r="10" spans="4:16" x14ac:dyDescent="0.3"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4:16" x14ac:dyDescent="0.3">
      <c r="D11" s="1" t="s">
        <v>17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4:16" x14ac:dyDescent="0.3">
      <c r="D12" s="5" t="s">
        <v>10</v>
      </c>
      <c r="E12" s="16">
        <v>12000</v>
      </c>
      <c r="F12" s="16">
        <v>12000</v>
      </c>
      <c r="G12" s="16">
        <v>12000</v>
      </c>
      <c r="H12" s="16">
        <v>12000</v>
      </c>
      <c r="I12" s="16">
        <v>12000</v>
      </c>
      <c r="J12" s="16">
        <v>12000</v>
      </c>
      <c r="K12" s="16">
        <v>12000</v>
      </c>
      <c r="L12" s="16">
        <v>12000</v>
      </c>
      <c r="M12" s="16">
        <v>12000</v>
      </c>
      <c r="N12" s="16">
        <v>12000</v>
      </c>
      <c r="O12" s="16">
        <v>12000</v>
      </c>
      <c r="P12" s="16">
        <v>12000</v>
      </c>
    </row>
    <row r="13" spans="4:16" x14ac:dyDescent="0.3">
      <c r="D13" s="5" t="s">
        <v>11</v>
      </c>
      <c r="E13" s="16">
        <v>4400</v>
      </c>
      <c r="F13" s="16">
        <v>4050</v>
      </c>
      <c r="G13" s="16">
        <v>4230</v>
      </c>
      <c r="H13" s="16">
        <v>4340</v>
      </c>
      <c r="I13" s="16">
        <v>4200</v>
      </c>
      <c r="J13" s="16">
        <v>4260</v>
      </c>
      <c r="K13" s="16">
        <v>4480</v>
      </c>
      <c r="L13" s="16">
        <v>4500</v>
      </c>
      <c r="M13" s="16">
        <v>4450</v>
      </c>
      <c r="N13" s="16">
        <v>4300</v>
      </c>
      <c r="O13" s="16">
        <v>4050</v>
      </c>
      <c r="P13" s="16">
        <v>4300</v>
      </c>
    </row>
    <row r="14" spans="4:16" x14ac:dyDescent="0.3">
      <c r="D14" s="5" t="s">
        <v>12</v>
      </c>
      <c r="E14" s="16">
        <v>6500</v>
      </c>
      <c r="F14" s="16">
        <v>6900</v>
      </c>
      <c r="G14" s="16">
        <v>6600</v>
      </c>
      <c r="H14" s="16">
        <v>7080</v>
      </c>
      <c r="I14" s="16">
        <v>7040</v>
      </c>
      <c r="J14" s="16">
        <v>7200</v>
      </c>
      <c r="K14" s="16">
        <v>7150</v>
      </c>
      <c r="L14" s="16">
        <v>6600</v>
      </c>
      <c r="M14" s="16">
        <v>7250</v>
      </c>
      <c r="N14" s="16">
        <v>6750</v>
      </c>
      <c r="O14" s="16">
        <v>6800</v>
      </c>
      <c r="P14" s="16">
        <v>6900</v>
      </c>
    </row>
    <row r="15" spans="4:16" x14ac:dyDescent="0.3">
      <c r="D15" s="5" t="s">
        <v>13</v>
      </c>
      <c r="E15" s="16">
        <v>3800</v>
      </c>
      <c r="F15" s="16">
        <v>3600</v>
      </c>
      <c r="G15" s="16">
        <v>4300</v>
      </c>
      <c r="H15" s="16">
        <v>4200</v>
      </c>
      <c r="I15" s="16">
        <v>4500</v>
      </c>
      <c r="J15" s="16">
        <v>3800</v>
      </c>
      <c r="K15" s="16">
        <v>3950</v>
      </c>
      <c r="L15" s="16">
        <v>4150</v>
      </c>
      <c r="M15" s="16">
        <v>3700</v>
      </c>
      <c r="N15" s="16">
        <v>3700</v>
      </c>
      <c r="O15" s="16">
        <v>3600</v>
      </c>
      <c r="P15" s="16">
        <v>4500</v>
      </c>
    </row>
    <row r="16" spans="4:16" x14ac:dyDescent="0.3">
      <c r="D16" s="5" t="s">
        <v>14</v>
      </c>
      <c r="E16" s="16">
        <v>8100</v>
      </c>
      <c r="F16" s="16">
        <v>8500</v>
      </c>
      <c r="G16" s="16">
        <v>9200</v>
      </c>
      <c r="H16" s="16">
        <v>9000</v>
      </c>
      <c r="I16" s="16">
        <v>9800</v>
      </c>
      <c r="J16" s="16">
        <v>9600</v>
      </c>
      <c r="K16" s="16">
        <v>8700</v>
      </c>
      <c r="L16" s="16">
        <v>8700</v>
      </c>
      <c r="M16" s="16">
        <v>10000</v>
      </c>
      <c r="N16" s="16">
        <v>8000</v>
      </c>
      <c r="O16" s="16">
        <v>10300</v>
      </c>
      <c r="P16" s="16">
        <v>9700</v>
      </c>
    </row>
    <row r="17" spans="4:16" x14ac:dyDescent="0.3">
      <c r="D17" s="5" t="s">
        <v>19</v>
      </c>
      <c r="E17" s="16">
        <v>4200</v>
      </c>
      <c r="F17" s="16">
        <v>4200</v>
      </c>
      <c r="G17" s="16">
        <v>4200</v>
      </c>
      <c r="H17" s="16">
        <v>4200</v>
      </c>
      <c r="I17" s="16">
        <v>4200</v>
      </c>
      <c r="J17" s="16">
        <v>4200</v>
      </c>
      <c r="K17" s="16">
        <v>5500</v>
      </c>
      <c r="L17" s="16">
        <v>5500</v>
      </c>
      <c r="M17" s="16">
        <v>5500</v>
      </c>
      <c r="N17" s="16">
        <v>5500</v>
      </c>
      <c r="O17" s="16">
        <v>5500</v>
      </c>
      <c r="P17" s="16">
        <v>5500</v>
      </c>
    </row>
    <row r="18" spans="4:16" x14ac:dyDescent="0.3">
      <c r="D18" s="10" t="s">
        <v>33</v>
      </c>
      <c r="E18" s="18">
        <f>SUM(E12:E17)</f>
        <v>39000</v>
      </c>
      <c r="F18" s="18">
        <f t="shared" ref="F18:P18" si="1">SUM(F12:F17)</f>
        <v>39250</v>
      </c>
      <c r="G18" s="18">
        <f t="shared" si="1"/>
        <v>40530</v>
      </c>
      <c r="H18" s="18">
        <f t="shared" si="1"/>
        <v>40820</v>
      </c>
      <c r="I18" s="18">
        <f t="shared" si="1"/>
        <v>41740</v>
      </c>
      <c r="J18" s="18">
        <f t="shared" si="1"/>
        <v>41060</v>
      </c>
      <c r="K18" s="18">
        <f t="shared" si="1"/>
        <v>41780</v>
      </c>
      <c r="L18" s="18">
        <f t="shared" si="1"/>
        <v>41450</v>
      </c>
      <c r="M18" s="18">
        <f t="shared" si="1"/>
        <v>42900</v>
      </c>
      <c r="N18" s="18">
        <f t="shared" si="1"/>
        <v>40250</v>
      </c>
      <c r="O18" s="18">
        <f t="shared" si="1"/>
        <v>42250</v>
      </c>
      <c r="P18" s="18">
        <f t="shared" si="1"/>
        <v>42900</v>
      </c>
    </row>
    <row r="19" spans="4:16" x14ac:dyDescent="0.3"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4:16" x14ac:dyDescent="0.3">
      <c r="D20" s="22" t="s">
        <v>15</v>
      </c>
      <c r="E20" s="21">
        <f>IF(E9&gt;E18,E9-E18,0)</f>
        <v>3500</v>
      </c>
      <c r="F20" s="21">
        <f t="shared" ref="F20:P20" si="2">IF(F9&gt;F18,F9-F18,0)</f>
        <v>3250</v>
      </c>
      <c r="G20" s="21">
        <f t="shared" si="2"/>
        <v>1970</v>
      </c>
      <c r="H20" s="21">
        <f t="shared" si="2"/>
        <v>1680</v>
      </c>
      <c r="I20" s="21">
        <f t="shared" si="2"/>
        <v>760</v>
      </c>
      <c r="J20" s="21">
        <f t="shared" si="2"/>
        <v>1440</v>
      </c>
      <c r="K20" s="21">
        <f t="shared" si="2"/>
        <v>3720</v>
      </c>
      <c r="L20" s="21">
        <f t="shared" si="2"/>
        <v>4050</v>
      </c>
      <c r="M20" s="21">
        <f t="shared" si="2"/>
        <v>2600</v>
      </c>
      <c r="N20" s="21">
        <f t="shared" si="2"/>
        <v>5250</v>
      </c>
      <c r="O20" s="21">
        <f t="shared" si="2"/>
        <v>3250</v>
      </c>
      <c r="P20" s="21">
        <f t="shared" si="2"/>
        <v>2600</v>
      </c>
    </row>
    <row r="21" spans="4:16" x14ac:dyDescent="0.3">
      <c r="D21" s="24" t="s">
        <v>34</v>
      </c>
      <c r="E21" s="21">
        <f>E20</f>
        <v>3500</v>
      </c>
      <c r="F21" s="21">
        <f>IF(F20&gt;0,E21+F20,E21+F20+F9-F18)</f>
        <v>6750</v>
      </c>
      <c r="G21" s="21">
        <f t="shared" ref="G21:P21" si="3">IF(G20&gt;0,F21+G20,F21+G20+G9-G18)</f>
        <v>8720</v>
      </c>
      <c r="H21" s="21">
        <f t="shared" si="3"/>
        <v>10400</v>
      </c>
      <c r="I21" s="21">
        <f t="shared" si="3"/>
        <v>11160</v>
      </c>
      <c r="J21" s="21">
        <f t="shared" si="3"/>
        <v>12600</v>
      </c>
      <c r="K21" s="21">
        <f t="shared" si="3"/>
        <v>16320</v>
      </c>
      <c r="L21" s="21">
        <f t="shared" si="3"/>
        <v>20370</v>
      </c>
      <c r="M21" s="21">
        <f t="shared" si="3"/>
        <v>22970</v>
      </c>
      <c r="N21" s="21">
        <f t="shared" si="3"/>
        <v>28220</v>
      </c>
      <c r="O21" s="21">
        <f t="shared" si="3"/>
        <v>31470</v>
      </c>
      <c r="P21" s="21">
        <f t="shared" si="3"/>
        <v>34070</v>
      </c>
    </row>
    <row r="22" spans="4:16" x14ac:dyDescent="0.3">
      <c r="D22" s="24"/>
    </row>
    <row r="23" spans="4:16" ht="15.6" x14ac:dyDescent="0.3">
      <c r="D23" s="13" t="s">
        <v>32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4:16" x14ac:dyDescent="0.3">
      <c r="D24" s="1"/>
    </row>
    <row r="25" spans="4:16" x14ac:dyDescent="0.3">
      <c r="D25" s="15" t="s">
        <v>5</v>
      </c>
      <c r="E25" s="4" t="s">
        <v>20</v>
      </c>
      <c r="F25" s="4" t="s">
        <v>21</v>
      </c>
      <c r="G25" s="4" t="s">
        <v>22</v>
      </c>
      <c r="H25" s="4" t="s">
        <v>23</v>
      </c>
      <c r="I25" s="4" t="s">
        <v>6</v>
      </c>
      <c r="J25" s="4" t="s">
        <v>24</v>
      </c>
      <c r="K25" s="4" t="s">
        <v>25</v>
      </c>
      <c r="L25" s="4" t="s">
        <v>26</v>
      </c>
      <c r="M25" s="4" t="s">
        <v>27</v>
      </c>
      <c r="N25" s="4" t="s">
        <v>28</v>
      </c>
      <c r="O25" s="4" t="s">
        <v>29</v>
      </c>
      <c r="P25" s="4" t="s">
        <v>30</v>
      </c>
    </row>
    <row r="26" spans="4:16" x14ac:dyDescent="0.3">
      <c r="D26" s="1" t="s">
        <v>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4:16" x14ac:dyDescent="0.3">
      <c r="D27" s="5" t="s">
        <v>7</v>
      </c>
      <c r="E27" s="16">
        <v>35000</v>
      </c>
      <c r="F27" s="16">
        <v>35000</v>
      </c>
      <c r="G27" s="16">
        <v>35000</v>
      </c>
      <c r="H27" s="16">
        <v>35000</v>
      </c>
      <c r="I27" s="16">
        <v>35000</v>
      </c>
      <c r="J27" s="16">
        <v>35000</v>
      </c>
      <c r="K27" s="16">
        <v>35000</v>
      </c>
      <c r="L27" s="16">
        <v>35000</v>
      </c>
      <c r="M27" s="16">
        <v>35000</v>
      </c>
      <c r="N27" s="16">
        <v>35000</v>
      </c>
      <c r="O27" s="16">
        <v>35000</v>
      </c>
      <c r="P27" s="16">
        <v>35000</v>
      </c>
    </row>
    <row r="28" spans="4:16" x14ac:dyDescent="0.3">
      <c r="D28" s="5" t="s">
        <v>8</v>
      </c>
      <c r="E28" s="16">
        <v>4000</v>
      </c>
      <c r="F28" s="16">
        <v>4000</v>
      </c>
      <c r="G28" s="16">
        <v>4000</v>
      </c>
      <c r="H28" s="16">
        <v>4000</v>
      </c>
      <c r="I28" s="16">
        <v>4000</v>
      </c>
      <c r="J28" s="16">
        <v>4000</v>
      </c>
      <c r="K28" s="16">
        <v>4500</v>
      </c>
      <c r="L28" s="16">
        <v>4500</v>
      </c>
      <c r="M28" s="16">
        <v>4500</v>
      </c>
      <c r="N28" s="16">
        <v>4500</v>
      </c>
      <c r="O28" s="16">
        <v>4500</v>
      </c>
      <c r="P28" s="16">
        <v>4500</v>
      </c>
    </row>
    <row r="29" spans="4:16" x14ac:dyDescent="0.3">
      <c r="D29" s="5" t="s">
        <v>9</v>
      </c>
      <c r="E29" s="16">
        <v>2800</v>
      </c>
      <c r="F29" s="16">
        <v>2186</v>
      </c>
      <c r="G29" s="16">
        <v>2508</v>
      </c>
      <c r="H29" s="16">
        <v>2462</v>
      </c>
      <c r="I29" s="16">
        <v>2515</v>
      </c>
      <c r="J29" s="16">
        <v>2515</v>
      </c>
      <c r="K29" s="16">
        <v>2024</v>
      </c>
      <c r="L29" s="16">
        <v>2298</v>
      </c>
      <c r="M29" s="16">
        <v>2106</v>
      </c>
      <c r="N29" s="16">
        <v>2748</v>
      </c>
      <c r="O29" s="16">
        <v>2565</v>
      </c>
      <c r="P29" s="16">
        <v>2321</v>
      </c>
    </row>
    <row r="30" spans="4:16" x14ac:dyDescent="0.3">
      <c r="D30" s="10" t="s">
        <v>18</v>
      </c>
      <c r="E30" s="19">
        <f>SUM(E27:E29)</f>
        <v>41800</v>
      </c>
      <c r="F30" s="19">
        <f t="shared" ref="F30:P30" si="4">SUM(F27:F29)</f>
        <v>41186</v>
      </c>
      <c r="G30" s="19">
        <f t="shared" si="4"/>
        <v>41508</v>
      </c>
      <c r="H30" s="19">
        <f t="shared" si="4"/>
        <v>41462</v>
      </c>
      <c r="I30" s="19">
        <f t="shared" si="4"/>
        <v>41515</v>
      </c>
      <c r="J30" s="19">
        <f t="shared" si="4"/>
        <v>41515</v>
      </c>
      <c r="K30" s="19">
        <f t="shared" si="4"/>
        <v>41524</v>
      </c>
      <c r="L30" s="19">
        <f t="shared" si="4"/>
        <v>41798</v>
      </c>
      <c r="M30" s="19">
        <f t="shared" si="4"/>
        <v>41606</v>
      </c>
      <c r="N30" s="19">
        <f t="shared" si="4"/>
        <v>42248</v>
      </c>
      <c r="O30" s="19">
        <f t="shared" si="4"/>
        <v>42065</v>
      </c>
      <c r="P30" s="19">
        <f t="shared" si="4"/>
        <v>41821</v>
      </c>
    </row>
    <row r="31" spans="4:16" x14ac:dyDescent="0.3"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4:16" x14ac:dyDescent="0.3">
      <c r="D32" s="1" t="s">
        <v>17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4:16" x14ac:dyDescent="0.3">
      <c r="D33" s="5" t="s">
        <v>10</v>
      </c>
      <c r="E33" s="16">
        <v>11500</v>
      </c>
      <c r="F33" s="16">
        <v>11500</v>
      </c>
      <c r="G33" s="16">
        <v>11500</v>
      </c>
      <c r="H33" s="16">
        <v>11500</v>
      </c>
      <c r="I33" s="16">
        <v>11500</v>
      </c>
      <c r="J33" s="16">
        <v>11500</v>
      </c>
      <c r="K33" s="16">
        <v>12000</v>
      </c>
      <c r="L33" s="16">
        <v>12000</v>
      </c>
      <c r="M33" s="16">
        <v>12000</v>
      </c>
      <c r="N33" s="16">
        <v>12000</v>
      </c>
      <c r="O33" s="16">
        <v>12000</v>
      </c>
      <c r="P33" s="16">
        <v>12000</v>
      </c>
    </row>
    <row r="34" spans="4:16" x14ac:dyDescent="0.3">
      <c r="D34" s="5" t="s">
        <v>11</v>
      </c>
      <c r="E34" s="16">
        <v>4407</v>
      </c>
      <c r="F34" s="16">
        <v>4305</v>
      </c>
      <c r="G34" s="16">
        <v>4559</v>
      </c>
      <c r="H34" s="16">
        <v>4586</v>
      </c>
      <c r="I34" s="16">
        <v>4454</v>
      </c>
      <c r="J34" s="16">
        <v>4788</v>
      </c>
      <c r="K34" s="16">
        <v>4261</v>
      </c>
      <c r="L34" s="16">
        <v>4675</v>
      </c>
      <c r="M34" s="16">
        <v>4525</v>
      </c>
      <c r="N34" s="16">
        <v>4795</v>
      </c>
      <c r="O34" s="16">
        <v>4390</v>
      </c>
      <c r="P34" s="16">
        <v>4338</v>
      </c>
    </row>
    <row r="35" spans="4:16" x14ac:dyDescent="0.3">
      <c r="D35" s="5" t="s">
        <v>12</v>
      </c>
      <c r="E35" s="16">
        <v>7150</v>
      </c>
      <c r="F35" s="16">
        <v>6778</v>
      </c>
      <c r="G35" s="16">
        <v>6148</v>
      </c>
      <c r="H35" s="16">
        <v>7076</v>
      </c>
      <c r="I35" s="16">
        <v>7372</v>
      </c>
      <c r="J35" s="16">
        <v>6845</v>
      </c>
      <c r="K35" s="16">
        <v>6685</v>
      </c>
      <c r="L35" s="16">
        <v>6343</v>
      </c>
      <c r="M35" s="16">
        <v>6956</v>
      </c>
      <c r="N35" s="16">
        <v>7404</v>
      </c>
      <c r="O35" s="16">
        <v>7600</v>
      </c>
      <c r="P35" s="16">
        <v>6502</v>
      </c>
    </row>
    <row r="36" spans="4:16" x14ac:dyDescent="0.3">
      <c r="D36" s="5" t="s">
        <v>13</v>
      </c>
      <c r="E36" s="16">
        <v>3736</v>
      </c>
      <c r="F36" s="16">
        <v>4051</v>
      </c>
      <c r="G36" s="16">
        <v>3499</v>
      </c>
      <c r="H36" s="16">
        <v>3955</v>
      </c>
      <c r="I36" s="16">
        <v>4387</v>
      </c>
      <c r="J36" s="16">
        <v>3712</v>
      </c>
      <c r="K36" s="16">
        <v>3680</v>
      </c>
      <c r="L36" s="16">
        <v>4483</v>
      </c>
      <c r="M36" s="16">
        <v>4264</v>
      </c>
      <c r="N36" s="16">
        <v>3358</v>
      </c>
      <c r="O36" s="16">
        <v>3300</v>
      </c>
      <c r="P36" s="16">
        <v>3266</v>
      </c>
    </row>
    <row r="37" spans="4:16" x14ac:dyDescent="0.3">
      <c r="D37" s="5" t="s">
        <v>14</v>
      </c>
      <c r="E37" s="16">
        <v>10054</v>
      </c>
      <c r="F37" s="16">
        <v>8610</v>
      </c>
      <c r="G37" s="16">
        <v>8946</v>
      </c>
      <c r="H37" s="16">
        <v>8536</v>
      </c>
      <c r="I37" s="16">
        <v>9705</v>
      </c>
      <c r="J37" s="16">
        <v>9257</v>
      </c>
      <c r="K37" s="16">
        <v>8122</v>
      </c>
      <c r="L37" s="16">
        <v>8157</v>
      </c>
      <c r="M37" s="16">
        <v>10339</v>
      </c>
      <c r="N37" s="16">
        <v>8427</v>
      </c>
      <c r="O37" s="16">
        <v>8824</v>
      </c>
      <c r="P37" s="16">
        <v>9159</v>
      </c>
    </row>
    <row r="38" spans="4:16" x14ac:dyDescent="0.3">
      <c r="D38" s="5" t="s">
        <v>19</v>
      </c>
      <c r="E38" s="16">
        <v>4735</v>
      </c>
      <c r="F38" s="16">
        <v>5482</v>
      </c>
      <c r="G38" s="16">
        <v>5178</v>
      </c>
      <c r="H38" s="16">
        <v>5107</v>
      </c>
      <c r="I38" s="16">
        <v>5266</v>
      </c>
      <c r="J38" s="16">
        <v>5375</v>
      </c>
      <c r="K38" s="16">
        <v>4685</v>
      </c>
      <c r="L38" s="16">
        <v>5278</v>
      </c>
      <c r="M38" s="16">
        <v>5019</v>
      </c>
      <c r="N38" s="16">
        <v>5046</v>
      </c>
      <c r="O38" s="16">
        <v>5355</v>
      </c>
      <c r="P38" s="16">
        <v>5346</v>
      </c>
    </row>
    <row r="39" spans="4:16" x14ac:dyDescent="0.3">
      <c r="D39" s="10" t="s">
        <v>33</v>
      </c>
      <c r="E39" s="18">
        <f>SUM(E33:E38)</f>
        <v>41582</v>
      </c>
      <c r="F39" s="18">
        <f t="shared" ref="F39:P39" si="5">SUM(F33:F38)</f>
        <v>40726</v>
      </c>
      <c r="G39" s="18">
        <f t="shared" si="5"/>
        <v>39830</v>
      </c>
      <c r="H39" s="18">
        <f t="shared" si="5"/>
        <v>40760</v>
      </c>
      <c r="I39" s="18">
        <f t="shared" si="5"/>
        <v>42684</v>
      </c>
      <c r="J39" s="18">
        <f t="shared" si="5"/>
        <v>41477</v>
      </c>
      <c r="K39" s="18">
        <f t="shared" si="5"/>
        <v>39433</v>
      </c>
      <c r="L39" s="18">
        <f t="shared" si="5"/>
        <v>40936</v>
      </c>
      <c r="M39" s="18">
        <f t="shared" si="5"/>
        <v>43103</v>
      </c>
      <c r="N39" s="18">
        <f t="shared" si="5"/>
        <v>41030</v>
      </c>
      <c r="O39" s="18">
        <f t="shared" si="5"/>
        <v>41469</v>
      </c>
      <c r="P39" s="18">
        <f t="shared" si="5"/>
        <v>40611</v>
      </c>
    </row>
    <row r="41" spans="4:16" x14ac:dyDescent="0.3">
      <c r="D41" s="6" t="s">
        <v>15</v>
      </c>
      <c r="E41" s="21">
        <f>IF(E30&gt;E39,E30-E39,0)</f>
        <v>218</v>
      </c>
      <c r="F41" s="21">
        <f t="shared" ref="F41:P41" si="6">IF(F30&gt;F39,F30-F39,0)</f>
        <v>460</v>
      </c>
      <c r="G41" s="21">
        <f t="shared" si="6"/>
        <v>1678</v>
      </c>
      <c r="H41" s="21">
        <f t="shared" si="6"/>
        <v>702</v>
      </c>
      <c r="I41" s="21">
        <f t="shared" si="6"/>
        <v>0</v>
      </c>
      <c r="J41" s="21">
        <f t="shared" si="6"/>
        <v>38</v>
      </c>
      <c r="K41" s="21">
        <f t="shared" si="6"/>
        <v>2091</v>
      </c>
      <c r="L41" s="21">
        <f t="shared" si="6"/>
        <v>862</v>
      </c>
      <c r="M41" s="21">
        <f t="shared" si="6"/>
        <v>0</v>
      </c>
      <c r="N41" s="21">
        <f t="shared" si="6"/>
        <v>1218</v>
      </c>
      <c r="O41" s="21">
        <f t="shared" si="6"/>
        <v>596</v>
      </c>
      <c r="P41" s="21">
        <f t="shared" si="6"/>
        <v>1210</v>
      </c>
    </row>
    <row r="42" spans="4:16" x14ac:dyDescent="0.3">
      <c r="D42" s="6" t="s">
        <v>34</v>
      </c>
      <c r="E42" s="21">
        <f>E41</f>
        <v>218</v>
      </c>
      <c r="F42" s="21">
        <f>IF(F41&gt;0,E42+F41,E42+F41+F30-F39)</f>
        <v>678</v>
      </c>
      <c r="G42" s="21">
        <f t="shared" ref="G42:P42" si="7">IF(G41&gt;0,F42+G41,F42+G41+G30-G39)</f>
        <v>2356</v>
      </c>
      <c r="H42" s="21">
        <f t="shared" si="7"/>
        <v>3058</v>
      </c>
      <c r="I42" s="21">
        <f t="shared" si="7"/>
        <v>1889</v>
      </c>
      <c r="J42" s="21">
        <f t="shared" si="7"/>
        <v>1927</v>
      </c>
      <c r="K42" s="21">
        <f>IF(K41&gt;0,J42+K41,J42+K41+K30-K39)</f>
        <v>4018</v>
      </c>
      <c r="L42" s="21">
        <f t="shared" si="7"/>
        <v>4880</v>
      </c>
      <c r="M42" s="21">
        <f t="shared" si="7"/>
        <v>3383</v>
      </c>
      <c r="N42" s="21">
        <f t="shared" si="7"/>
        <v>4601</v>
      </c>
      <c r="O42" s="21">
        <f t="shared" si="7"/>
        <v>5197</v>
      </c>
      <c r="P42" s="21">
        <f t="shared" si="7"/>
        <v>6407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2026-04-20T08:24:25Z</dcterms:created>
  <dcterms:modified xsi:type="dcterms:W3CDTF">2026-04-20T10:00:40Z</dcterms:modified>
</cp:coreProperties>
</file>