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Resume projects\"/>
    </mc:Choice>
  </mc:AlternateContent>
  <xr:revisionPtr revIDLastSave="0" documentId="13_ncr:1_{68E9C525-BBAB-4592-BA6E-22E3EC96B4A7}" xr6:coauthVersionLast="47" xr6:coauthVersionMax="47" xr10:uidLastSave="{00000000-0000-0000-0000-000000000000}"/>
  <bookViews>
    <workbookView xWindow="-108" yWindow="-108" windowWidth="23256" windowHeight="13176" tabRatio="895" activeTab="3" xr2:uid="{BCF9BFF9-BCF9-4F21-9E9B-4DD4BB09ACFB}"/>
  </bookViews>
  <sheets>
    <sheet name="Dashboard" sheetId="1" r:id="rId1"/>
    <sheet name="Financials-&gt;" sheetId="4" r:id="rId2"/>
    <sheet name="Statements" sheetId="8" r:id="rId3"/>
    <sheet name="Assumptions" sheetId="9" r:id="rId4"/>
    <sheet name="Schedule" sheetId="3" r:id="rId5"/>
    <sheet name="Valuation-&gt;" sheetId="5" r:id="rId6"/>
    <sheet name="WACC" sheetId="6" r:id="rId7"/>
    <sheet name="Comp_Comps" sheetId="10" r:id="rId8"/>
    <sheet name="FCFF" sheetId="11" r:id="rId9"/>
    <sheet name="Ratio Analysis" sheetId="13" r:id="rId10"/>
    <sheet name="Report" sheetId="12" r:id="rId11"/>
    <sheet name="LBO_model" sheetId="15" r:id="rId12"/>
    <sheet name="Equity Report" sheetId="14" r:id="rId13"/>
  </sheets>
  <definedNames>
    <definedName name="BS">Statements!$B$55</definedName>
    <definedName name="CF">Statements!$B$103</definedName>
    <definedName name="days">Dashboard!$G$18</definedName>
    <definedName name="Debt">Schedule!$B$86</definedName>
    <definedName name="EF">Assumptions!$B$83</definedName>
    <definedName name="Equity">Schedule!$B$112</definedName>
    <definedName name="IS">Statements!$B$20</definedName>
    <definedName name="PPE">Schedule!$B$13</definedName>
    <definedName name="RE">Schedule!$B$112</definedName>
    <definedName name="RF">Assumptions!$B$18</definedName>
    <definedName name="tax_rate">FCFF!$E$14</definedName>
    <definedName name="terminal_growth">FCFF!$E$16</definedName>
    <definedName name="wacc">FCFF!$E$15</definedName>
    <definedName name="WC">Schedule!$B$63</definedName>
  </definedNames>
  <calcPr calcId="19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9" i="9" l="1"/>
  <c r="I13" i="11"/>
  <c r="G39" i="11"/>
  <c r="G37" i="11" l="1"/>
  <c r="G36" i="11"/>
  <c r="G35" i="11"/>
  <c r="I31" i="11"/>
  <c r="J31" i="11"/>
  <c r="K31" i="11"/>
  <c r="H31" i="11"/>
  <c r="G31" i="11"/>
  <c r="G30" i="6"/>
  <c r="G26" i="6"/>
  <c r="G24" i="6"/>
  <c r="G25" i="6"/>
  <c r="C33" i="6"/>
  <c r="C118" i="15"/>
  <c r="D117" i="15"/>
  <c r="C117" i="15" s="1"/>
  <c r="F108" i="15"/>
  <c r="G108" i="15" s="1"/>
  <c r="H108" i="15" s="1"/>
  <c r="I108" i="15" s="1"/>
  <c r="J108" i="15" s="1"/>
  <c r="K108" i="15" s="1"/>
  <c r="L108" i="15" s="1"/>
  <c r="M108" i="15" s="1"/>
  <c r="C103" i="15"/>
  <c r="D102" i="15"/>
  <c r="D101" i="15" s="1"/>
  <c r="F93" i="15"/>
  <c r="G93" i="15" s="1"/>
  <c r="H93" i="15" s="1"/>
  <c r="I93" i="15" s="1"/>
  <c r="J93" i="15" s="1"/>
  <c r="K93" i="15" s="1"/>
  <c r="L93" i="15" s="1"/>
  <c r="M93" i="15" s="1"/>
  <c r="L83" i="15"/>
  <c r="AC63" i="15"/>
  <c r="AD154" i="15"/>
  <c r="AE154" i="15"/>
  <c r="AF154" i="15"/>
  <c r="AC154" i="15"/>
  <c r="Z140" i="15"/>
  <c r="AD140" i="15" s="1"/>
  <c r="Z141" i="15"/>
  <c r="AD141" i="15" s="1"/>
  <c r="AC134" i="15"/>
  <c r="AC137" i="15" s="1"/>
  <c r="AD134" i="15"/>
  <c r="AD138" i="15" s="1"/>
  <c r="AE134" i="15"/>
  <c r="AE138" i="15" s="1"/>
  <c r="AF134" i="15"/>
  <c r="AF137" i="15" s="1"/>
  <c r="AD120" i="15"/>
  <c r="AD162" i="15" s="1"/>
  <c r="AE120" i="15"/>
  <c r="AE162" i="15" s="1"/>
  <c r="AF120" i="15"/>
  <c r="AF162" i="15" s="1"/>
  <c r="AC120" i="15"/>
  <c r="AC162" i="15" s="1"/>
  <c r="AD82" i="15"/>
  <c r="AE82" i="15"/>
  <c r="AF82" i="15"/>
  <c r="AC82" i="15"/>
  <c r="AC58" i="15"/>
  <c r="AD58" i="15"/>
  <c r="AE58" i="15"/>
  <c r="AF58" i="15"/>
  <c r="AC69" i="15"/>
  <c r="AD69" i="15"/>
  <c r="AE69" i="15"/>
  <c r="AF69" i="15"/>
  <c r="AC70" i="15"/>
  <c r="AD70" i="15"/>
  <c r="AE70" i="15"/>
  <c r="AF70" i="15"/>
  <c r="AC71" i="15"/>
  <c r="AD71" i="15"/>
  <c r="AE71" i="15"/>
  <c r="AF71" i="15"/>
  <c r="AC72" i="15"/>
  <c r="AD72" i="15"/>
  <c r="AE72" i="15"/>
  <c r="AF72" i="15"/>
  <c r="AD57" i="15"/>
  <c r="AE57" i="15"/>
  <c r="AF57" i="15"/>
  <c r="AC57" i="15"/>
  <c r="AD39" i="15"/>
  <c r="AE39" i="15"/>
  <c r="AF39" i="15"/>
  <c r="AD42" i="15"/>
  <c r="AE42" i="15"/>
  <c r="AF42" i="15"/>
  <c r="AD46" i="15"/>
  <c r="AE46" i="15"/>
  <c r="AF46" i="15"/>
  <c r="AD47" i="15"/>
  <c r="AE47" i="15"/>
  <c r="AF47" i="15"/>
  <c r="AD50" i="15"/>
  <c r="AE50" i="15"/>
  <c r="AF50" i="15"/>
  <c r="AC39" i="15"/>
  <c r="AC42" i="15"/>
  <c r="AC46" i="15"/>
  <c r="AC47" i="15"/>
  <c r="AC50" i="15"/>
  <c r="V79" i="15"/>
  <c r="W79" i="15"/>
  <c r="X79" i="15"/>
  <c r="V80" i="15"/>
  <c r="W80" i="15"/>
  <c r="X80" i="15"/>
  <c r="V81" i="15"/>
  <c r="W81" i="15"/>
  <c r="X81" i="15"/>
  <c r="Y81" i="15"/>
  <c r="Z81" i="15" s="1"/>
  <c r="V82" i="15"/>
  <c r="W82" i="15"/>
  <c r="X82" i="15"/>
  <c r="Y82" i="15"/>
  <c r="Z82" i="15" s="1"/>
  <c r="V84" i="15"/>
  <c r="W84" i="15"/>
  <c r="X84" i="15"/>
  <c r="V85" i="15"/>
  <c r="W85" i="15"/>
  <c r="X85" i="15"/>
  <c r="W78" i="15"/>
  <c r="X78" i="15"/>
  <c r="Y78" i="15"/>
  <c r="Z78" i="15" s="1"/>
  <c r="V78" i="15"/>
  <c r="V58" i="15"/>
  <c r="W58" i="15"/>
  <c r="X58" i="15"/>
  <c r="Y58" i="15"/>
  <c r="AB58" i="15" s="1"/>
  <c r="V59" i="15"/>
  <c r="W59" i="15"/>
  <c r="X59" i="15"/>
  <c r="V60" i="15"/>
  <c r="W60" i="15"/>
  <c r="X60" i="15"/>
  <c r="V61" i="15"/>
  <c r="W61" i="15"/>
  <c r="X61" i="15"/>
  <c r="V62" i="15"/>
  <c r="W62" i="15"/>
  <c r="X62" i="15"/>
  <c r="V63" i="15"/>
  <c r="W63" i="15"/>
  <c r="X63" i="15"/>
  <c r="Y63" i="15"/>
  <c r="AB63" i="15" s="1"/>
  <c r="V69" i="15"/>
  <c r="W69" i="15"/>
  <c r="X69" i="15"/>
  <c r="Y69" i="15"/>
  <c r="AB69" i="15" s="1"/>
  <c r="V70" i="15"/>
  <c r="W70" i="15"/>
  <c r="X70" i="15"/>
  <c r="Y70" i="15"/>
  <c r="AB70" i="15" s="1"/>
  <c r="V71" i="15"/>
  <c r="W71" i="15"/>
  <c r="X71" i="15"/>
  <c r="Y71" i="15"/>
  <c r="AB71" i="15" s="1"/>
  <c r="V72" i="15"/>
  <c r="W72" i="15"/>
  <c r="X72" i="15"/>
  <c r="Y72" i="15"/>
  <c r="AB72" i="15" s="1"/>
  <c r="V73" i="15"/>
  <c r="W73" i="15"/>
  <c r="X73" i="15"/>
  <c r="V74" i="15"/>
  <c r="W74" i="15"/>
  <c r="X74" i="15"/>
  <c r="V75" i="15"/>
  <c r="W75" i="15"/>
  <c r="X75" i="15"/>
  <c r="W57" i="15"/>
  <c r="X57" i="15"/>
  <c r="Y57" i="15"/>
  <c r="AB57" i="15" s="1"/>
  <c r="V57" i="15"/>
  <c r="V39" i="15"/>
  <c r="W39" i="15"/>
  <c r="X39" i="15"/>
  <c r="Y39" i="15"/>
  <c r="AB39" i="15" s="1"/>
  <c r="V40" i="15"/>
  <c r="W40" i="15"/>
  <c r="X40" i="15"/>
  <c r="V41" i="15"/>
  <c r="W41" i="15"/>
  <c r="X41" i="15"/>
  <c r="V42" i="15"/>
  <c r="W42" i="15"/>
  <c r="X42" i="15"/>
  <c r="Y42" i="15"/>
  <c r="AB42" i="15" s="1"/>
  <c r="V43" i="15"/>
  <c r="W43" i="15"/>
  <c r="X43" i="15"/>
  <c r="V44" i="15"/>
  <c r="W44" i="15"/>
  <c r="X44" i="15"/>
  <c r="V45" i="15"/>
  <c r="W45" i="15"/>
  <c r="X45" i="15"/>
  <c r="V46" i="15"/>
  <c r="W46" i="15"/>
  <c r="X46" i="15"/>
  <c r="Y46" i="15"/>
  <c r="AB46" i="15" s="1"/>
  <c r="V47" i="15"/>
  <c r="W47" i="15"/>
  <c r="X47" i="15"/>
  <c r="Y47" i="15"/>
  <c r="AB47" i="15" s="1"/>
  <c r="V48" i="15"/>
  <c r="W48" i="15"/>
  <c r="X48" i="15"/>
  <c r="Y48" i="15"/>
  <c r="F66" i="15" s="1"/>
  <c r="V49" i="15"/>
  <c r="W49" i="15"/>
  <c r="X49" i="15"/>
  <c r="V50" i="15"/>
  <c r="W50" i="15"/>
  <c r="X50" i="15"/>
  <c r="Y50" i="15"/>
  <c r="AB50" i="15" s="1"/>
  <c r="V51" i="15"/>
  <c r="W51" i="15"/>
  <c r="X51" i="15"/>
  <c r="W38" i="15"/>
  <c r="X38" i="15"/>
  <c r="V38" i="15"/>
  <c r="AD27" i="15"/>
  <c r="AE27" i="15"/>
  <c r="AF27" i="15"/>
  <c r="AC27" i="15"/>
  <c r="AD20" i="15"/>
  <c r="AE20" i="15"/>
  <c r="AF20" i="15"/>
  <c r="AD21" i="15"/>
  <c r="AE21" i="15"/>
  <c r="AF21" i="15"/>
  <c r="AC20" i="15"/>
  <c r="AC21" i="15"/>
  <c r="W26" i="15"/>
  <c r="X26" i="15"/>
  <c r="W27" i="15"/>
  <c r="X27" i="15"/>
  <c r="Y27" i="15"/>
  <c r="W28" i="15"/>
  <c r="X28" i="15"/>
  <c r="W29" i="15"/>
  <c r="X29" i="15"/>
  <c r="W30" i="15"/>
  <c r="X30" i="15"/>
  <c r="V27" i="15"/>
  <c r="V28" i="15"/>
  <c r="V29" i="15"/>
  <c r="V30" i="15"/>
  <c r="V26" i="15"/>
  <c r="W24" i="15"/>
  <c r="X24" i="15"/>
  <c r="V24" i="15"/>
  <c r="W14" i="15"/>
  <c r="X14" i="15"/>
  <c r="W15" i="15"/>
  <c r="X15" i="15"/>
  <c r="W16" i="15"/>
  <c r="X16" i="15"/>
  <c r="W20" i="15"/>
  <c r="X20" i="15"/>
  <c r="Y20" i="15"/>
  <c r="W21" i="15"/>
  <c r="X21" i="15"/>
  <c r="Y21" i="15"/>
  <c r="W22" i="15"/>
  <c r="X22" i="15"/>
  <c r="V15" i="15"/>
  <c r="V16" i="15"/>
  <c r="V20" i="15"/>
  <c r="V21" i="15"/>
  <c r="V22" i="15"/>
  <c r="V14" i="15"/>
  <c r="W12" i="15"/>
  <c r="X12" i="15"/>
  <c r="V12" i="15"/>
  <c r="W11" i="15"/>
  <c r="X11" i="15"/>
  <c r="V11" i="15"/>
  <c r="F34" i="15"/>
  <c r="F25" i="15"/>
  <c r="F22" i="15"/>
  <c r="F20" i="15"/>
  <c r="F12" i="15"/>
  <c r="B4" i="15"/>
  <c r="B2" i="15"/>
  <c r="G7" i="13"/>
  <c r="H7" i="13" s="1"/>
  <c r="I7" i="13" s="1"/>
  <c r="J7" i="13" s="1"/>
  <c r="K7" i="13" s="1"/>
  <c r="L7" i="13" s="1"/>
  <c r="M7" i="13" s="1"/>
  <c r="N7" i="13" s="1"/>
  <c r="D5" i="13"/>
  <c r="E14" i="11"/>
  <c r="H21" i="11" s="1"/>
  <c r="C32" i="6"/>
  <c r="F21" i="6" a="1"/>
  <c r="F21" i="6" s="1"/>
  <c r="F20" i="6"/>
  <c r="E21" i="6" a="1"/>
  <c r="E21" i="6" s="1"/>
  <c r="C25" i="6" s="1"/>
  <c r="E20" i="6"/>
  <c r="D14" i="6"/>
  <c r="D15" i="6"/>
  <c r="D16" i="6"/>
  <c r="G16" i="6" s="1"/>
  <c r="D17" i="6"/>
  <c r="G17" i="6" s="1"/>
  <c r="D18" i="6"/>
  <c r="G18" i="6" s="1"/>
  <c r="D13" i="6"/>
  <c r="G13" i="6" s="1"/>
  <c r="D12" i="6"/>
  <c r="C14" i="6"/>
  <c r="C15" i="6"/>
  <c r="C16" i="6"/>
  <c r="C17" i="6"/>
  <c r="C18" i="6"/>
  <c r="C13" i="6"/>
  <c r="D116" i="15" l="1"/>
  <c r="C116" i="15" s="1"/>
  <c r="D100" i="15"/>
  <c r="C101" i="15"/>
  <c r="C102" i="15"/>
  <c r="D115" i="15"/>
  <c r="AF139" i="15"/>
  <c r="AD139" i="15"/>
  <c r="AD137" i="15"/>
  <c r="AC139" i="15"/>
  <c r="AC138" i="15"/>
  <c r="AC140" i="15"/>
  <c r="AE139" i="15"/>
  <c r="AC141" i="15"/>
  <c r="AF141" i="15"/>
  <c r="AF138" i="15"/>
  <c r="AE141" i="15"/>
  <c r="AF140" i="15"/>
  <c r="AE137" i="15"/>
  <c r="AE140" i="15"/>
  <c r="AB78" i="15"/>
  <c r="AC78" i="15" s="1"/>
  <c r="AD78" i="15" s="1"/>
  <c r="AE78" i="15" s="1"/>
  <c r="AF78" i="15" s="1"/>
  <c r="AB81" i="15"/>
  <c r="AC81" i="15" s="1"/>
  <c r="AD81" i="15" s="1"/>
  <c r="AE81" i="15" s="1"/>
  <c r="AF81" i="15" s="1"/>
  <c r="AB82" i="15"/>
  <c r="AA48" i="15"/>
  <c r="AD63" i="15"/>
  <c r="AE63" i="15" s="1"/>
  <c r="AF63" i="15" s="1"/>
  <c r="X53" i="15"/>
  <c r="X87" i="15" s="1"/>
  <c r="W53" i="15"/>
  <c r="W87" i="15" s="1"/>
  <c r="V53" i="15"/>
  <c r="V87" i="15" s="1"/>
  <c r="F21" i="15"/>
  <c r="F23" i="15"/>
  <c r="L10" i="15" s="1"/>
  <c r="G14" i="6"/>
  <c r="G15" i="6"/>
  <c r="G21" i="11"/>
  <c r="K21" i="11"/>
  <c r="J21" i="11"/>
  <c r="I21" i="11"/>
  <c r="G21" i="6" a="1"/>
  <c r="D99" i="15" l="1"/>
  <c r="C100" i="15"/>
  <c r="C115" i="15"/>
  <c r="D114" i="15"/>
  <c r="L52" i="15"/>
  <c r="F64" i="15"/>
  <c r="L55" i="15"/>
  <c r="L53" i="15"/>
  <c r="G22" i="10"/>
  <c r="E22" i="10"/>
  <c r="F22" i="10"/>
  <c r="C12" i="6" s="1"/>
  <c r="G12" i="6" s="1"/>
  <c r="N23" i="10"/>
  <c r="O23" i="10"/>
  <c r="N24" i="10"/>
  <c r="O24" i="10"/>
  <c r="N25" i="10"/>
  <c r="O25" i="10"/>
  <c r="N26" i="10"/>
  <c r="O26" i="10"/>
  <c r="N27" i="10"/>
  <c r="O27" i="10"/>
  <c r="M27" i="10"/>
  <c r="M26" i="10"/>
  <c r="M25" i="10"/>
  <c r="M24" i="10"/>
  <c r="M23" i="10"/>
  <c r="H61" i="3"/>
  <c r="I61" i="3"/>
  <c r="G61" i="3"/>
  <c r="J55" i="3"/>
  <c r="H83" i="3"/>
  <c r="H84" i="3" s="1"/>
  <c r="I83" i="3"/>
  <c r="I84" i="3" s="1"/>
  <c r="G83" i="3"/>
  <c r="G84" i="3" s="1"/>
  <c r="D98" i="15" l="1"/>
  <c r="C99" i="15"/>
  <c r="D113" i="15"/>
  <c r="C114" i="15"/>
  <c r="G21" i="6"/>
  <c r="G20" i="6"/>
  <c r="J61" i="3"/>
  <c r="J84" i="3"/>
  <c r="K84" i="3" s="1"/>
  <c r="D97" i="15" l="1"/>
  <c r="C98" i="15"/>
  <c r="D112" i="15"/>
  <c r="C113" i="15"/>
  <c r="K61" i="3"/>
  <c r="L84" i="3"/>
  <c r="M84" i="3"/>
  <c r="N84" i="3" s="1"/>
  <c r="D96" i="15" l="1"/>
  <c r="C97" i="15"/>
  <c r="C112" i="15"/>
  <c r="D111" i="15"/>
  <c r="L61" i="3"/>
  <c r="N61" i="3" s="1"/>
  <c r="M61" i="3"/>
  <c r="D95" i="15" l="1"/>
  <c r="C96" i="15"/>
  <c r="C111" i="15"/>
  <c r="D110" i="15"/>
  <c r="M16" i="10"/>
  <c r="N16" i="10"/>
  <c r="O16" i="10"/>
  <c r="M17" i="10"/>
  <c r="N17" i="10"/>
  <c r="O17" i="10"/>
  <c r="M18" i="10"/>
  <c r="N18" i="10"/>
  <c r="O18" i="10"/>
  <c r="M19" i="10"/>
  <c r="N19" i="10"/>
  <c r="O19" i="10"/>
  <c r="M20" i="10"/>
  <c r="N20" i="10"/>
  <c r="O20" i="10"/>
  <c r="O15" i="10"/>
  <c r="N15" i="10"/>
  <c r="M15" i="10"/>
  <c r="I20" i="10"/>
  <c r="F20" i="10"/>
  <c r="I19" i="10"/>
  <c r="F19" i="10"/>
  <c r="F18" i="10"/>
  <c r="I18" i="10" s="1"/>
  <c r="F17" i="10"/>
  <c r="I17" i="10" s="1"/>
  <c r="F16" i="10"/>
  <c r="I16" i="10" s="1"/>
  <c r="F15" i="10"/>
  <c r="I15" i="10" s="1"/>
  <c r="K87" i="8"/>
  <c r="L87" i="8"/>
  <c r="M87" i="8"/>
  <c r="N87" i="8"/>
  <c r="J87" i="8"/>
  <c r="K86" i="8"/>
  <c r="L86" i="8"/>
  <c r="M86" i="8"/>
  <c r="N86" i="8"/>
  <c r="J86" i="8"/>
  <c r="K85" i="8"/>
  <c r="L85" i="8" s="1"/>
  <c r="M85" i="8" s="1"/>
  <c r="N85" i="8" s="1"/>
  <c r="J85" i="8"/>
  <c r="K84" i="8"/>
  <c r="L84" i="8"/>
  <c r="M84" i="8"/>
  <c r="N84" i="8"/>
  <c r="J84" i="8"/>
  <c r="K78" i="8"/>
  <c r="L78" i="8" s="1"/>
  <c r="M78" i="8" s="1"/>
  <c r="N78" i="8" s="1"/>
  <c r="J78" i="8"/>
  <c r="K77" i="8"/>
  <c r="L77" i="8"/>
  <c r="M77" i="8"/>
  <c r="N77" i="8"/>
  <c r="J77" i="8"/>
  <c r="K126" i="8"/>
  <c r="L126" i="8"/>
  <c r="M126" i="8"/>
  <c r="N126" i="8"/>
  <c r="K120" i="8"/>
  <c r="L120" i="8"/>
  <c r="M120" i="8"/>
  <c r="N120" i="8"/>
  <c r="J120" i="8"/>
  <c r="K100" i="3"/>
  <c r="L100" i="3"/>
  <c r="M100" i="3"/>
  <c r="N100" i="3"/>
  <c r="K127" i="8"/>
  <c r="L127" i="8"/>
  <c r="M127" i="8"/>
  <c r="N127" i="8"/>
  <c r="K129" i="8"/>
  <c r="L129" i="8"/>
  <c r="M129" i="8"/>
  <c r="N129" i="8"/>
  <c r="K93" i="8"/>
  <c r="L93" i="8"/>
  <c r="M93" i="8"/>
  <c r="N93" i="8"/>
  <c r="J93" i="8"/>
  <c r="D94" i="15" l="1"/>
  <c r="C94" i="15" s="1"/>
  <c r="C95" i="15"/>
  <c r="C110" i="15"/>
  <c r="D109" i="15"/>
  <c r="C109" i="15" s="1"/>
  <c r="K109" i="3"/>
  <c r="L109" i="3"/>
  <c r="M109" i="3"/>
  <c r="N109" i="3"/>
  <c r="J109" i="3"/>
  <c r="J100" i="3"/>
  <c r="J104" i="3"/>
  <c r="K94" i="3"/>
  <c r="L94" i="3"/>
  <c r="M94" i="3"/>
  <c r="N94" i="3"/>
  <c r="J94" i="3"/>
  <c r="H89" i="8"/>
  <c r="I89" i="8"/>
  <c r="G89" i="8"/>
  <c r="J134" i="8"/>
  <c r="J129" i="8"/>
  <c r="J127" i="8"/>
  <c r="J126" i="8"/>
  <c r="H123" i="3"/>
  <c r="I123" i="3"/>
  <c r="G123" i="3"/>
  <c r="J119" i="3"/>
  <c r="J123" i="3" l="1"/>
  <c r="K123" i="3" s="1"/>
  <c r="L123" i="3" s="1"/>
  <c r="M123" i="3" l="1"/>
  <c r="N123" i="3" s="1"/>
  <c r="J114" i="3" l="1"/>
  <c r="J88" i="3" l="1"/>
  <c r="H70" i="3"/>
  <c r="I70" i="3"/>
  <c r="H79" i="3"/>
  <c r="H80" i="3" s="1"/>
  <c r="I79" i="3"/>
  <c r="H81" i="3"/>
  <c r="H82" i="3" s="1"/>
  <c r="I81" i="3"/>
  <c r="G81" i="3"/>
  <c r="G82" i="3" s="1"/>
  <c r="G79" i="3"/>
  <c r="G80" i="3" s="1"/>
  <c r="G70" i="3"/>
  <c r="H66" i="3"/>
  <c r="H73" i="3" s="1"/>
  <c r="I66" i="3"/>
  <c r="H67" i="3"/>
  <c r="I67" i="3"/>
  <c r="H77" i="3"/>
  <c r="H78" i="3" s="1"/>
  <c r="I77" i="3"/>
  <c r="G77" i="3"/>
  <c r="G78" i="3" s="1"/>
  <c r="G67" i="3"/>
  <c r="G66" i="3"/>
  <c r="G73" i="3" s="1"/>
  <c r="H43" i="3"/>
  <c r="G43" i="3"/>
  <c r="J36" i="3"/>
  <c r="I36" i="3"/>
  <c r="I37" i="3" s="1"/>
  <c r="H36" i="3"/>
  <c r="H37" i="3" s="1"/>
  <c r="G33" i="3"/>
  <c r="H33" i="3"/>
  <c r="H32" i="3"/>
  <c r="G32" i="3"/>
  <c r="I33" i="3"/>
  <c r="I32" i="3"/>
  <c r="J32" i="3" s="1"/>
  <c r="K32" i="3" s="1"/>
  <c r="L32" i="3" s="1"/>
  <c r="M32" i="3" s="1"/>
  <c r="N32" i="3" s="1"/>
  <c r="J91" i="3" l="1"/>
  <c r="J95" i="3" l="1"/>
  <c r="J101" i="3" s="1"/>
  <c r="J83" i="8"/>
  <c r="K88" i="3" s="1"/>
  <c r="K91" i="3" s="1"/>
  <c r="K83" i="8" s="1"/>
  <c r="L88" i="3" s="1"/>
  <c r="L91" i="3" s="1"/>
  <c r="H28" i="3"/>
  <c r="I28" i="3"/>
  <c r="G28" i="3"/>
  <c r="H17" i="3"/>
  <c r="J17" i="3"/>
  <c r="G24" i="3"/>
  <c r="G25" i="3" s="1"/>
  <c r="H24" i="3"/>
  <c r="H25" i="3" s="1"/>
  <c r="I24" i="3"/>
  <c r="I17" i="3"/>
  <c r="G7" i="3"/>
  <c r="H7" i="3" s="1"/>
  <c r="I7" i="3" s="1"/>
  <c r="J7" i="3" s="1"/>
  <c r="K7" i="3" s="1"/>
  <c r="L7" i="3" s="1"/>
  <c r="M7" i="3" s="1"/>
  <c r="N7" i="3" s="1"/>
  <c r="J97" i="8"/>
  <c r="K97" i="8" s="1"/>
  <c r="L97" i="8" s="1"/>
  <c r="M97" i="8" s="1"/>
  <c r="N97" i="8" s="1"/>
  <c r="J96" i="8"/>
  <c r="K96" i="8" s="1"/>
  <c r="L96" i="8" s="1"/>
  <c r="M96" i="8" s="1"/>
  <c r="N96" i="8" s="1"/>
  <c r="J71" i="8"/>
  <c r="K71" i="8" s="1"/>
  <c r="L71" i="8" s="1"/>
  <c r="M71" i="8" s="1"/>
  <c r="N71" i="8" s="1"/>
  <c r="J69" i="8"/>
  <c r="K69" i="8" s="1"/>
  <c r="J68" i="8"/>
  <c r="K68" i="8" s="1"/>
  <c r="L68" i="8" s="1"/>
  <c r="J67" i="8"/>
  <c r="K67" i="8" s="1"/>
  <c r="L67" i="8" s="1"/>
  <c r="M67" i="8" s="1"/>
  <c r="N67" i="8" s="1"/>
  <c r="J63" i="8"/>
  <c r="K63" i="8" s="1"/>
  <c r="L63" i="8" s="1"/>
  <c r="M63" i="8" s="1"/>
  <c r="N63" i="8" s="1"/>
  <c r="J60" i="8"/>
  <c r="K60" i="8" s="1"/>
  <c r="G48" i="8"/>
  <c r="H49" i="8"/>
  <c r="G49" i="8"/>
  <c r="H48" i="8"/>
  <c r="I49" i="8"/>
  <c r="I48" i="8"/>
  <c r="O68" i="9"/>
  <c r="O55" i="9"/>
  <c r="O50" i="9"/>
  <c r="O63" i="9"/>
  <c r="H124" i="9"/>
  <c r="H125" i="9" s="1"/>
  <c r="I124" i="9"/>
  <c r="I125" i="9" s="1"/>
  <c r="G124" i="9"/>
  <c r="G125" i="9" s="1"/>
  <c r="J53" i="8"/>
  <c r="K53" i="8" s="1"/>
  <c r="L53" i="8" s="1"/>
  <c r="M53" i="8" s="1"/>
  <c r="N53" i="8" s="1"/>
  <c r="J52" i="8"/>
  <c r="K52" i="8" s="1"/>
  <c r="L52" i="8" s="1"/>
  <c r="M52" i="8" s="1"/>
  <c r="N52" i="8" s="1"/>
  <c r="H121" i="9"/>
  <c r="I121" i="9"/>
  <c r="G121" i="9"/>
  <c r="H119" i="9"/>
  <c r="I119" i="9"/>
  <c r="G119" i="9"/>
  <c r="I31" i="8"/>
  <c r="H31" i="8"/>
  <c r="G31" i="8"/>
  <c r="G107" i="9"/>
  <c r="H107" i="9"/>
  <c r="I107" i="9"/>
  <c r="G97" i="9"/>
  <c r="H97" i="9"/>
  <c r="I97" i="9"/>
  <c r="J97" i="9"/>
  <c r="H104" i="9"/>
  <c r="I104" i="9"/>
  <c r="G104" i="9"/>
  <c r="J101" i="9"/>
  <c r="I101" i="9"/>
  <c r="H101" i="9"/>
  <c r="L95" i="3" l="1"/>
  <c r="L101" i="3" s="1"/>
  <c r="K95" i="3"/>
  <c r="K101" i="3" s="1"/>
  <c r="O121" i="9"/>
  <c r="H74" i="3"/>
  <c r="H75" i="3"/>
  <c r="I75" i="3"/>
  <c r="J75" i="3" s="1"/>
  <c r="K75" i="3" s="1"/>
  <c r="L75" i="3" s="1"/>
  <c r="M75" i="3" s="1"/>
  <c r="N75" i="3" s="1"/>
  <c r="I74" i="3"/>
  <c r="J74" i="3" s="1"/>
  <c r="K74" i="3" s="1"/>
  <c r="L74" i="3" s="1"/>
  <c r="M74" i="3" s="1"/>
  <c r="N74" i="3" s="1"/>
  <c r="G75" i="3"/>
  <c r="G74" i="3"/>
  <c r="M68" i="8"/>
  <c r="L69" i="8"/>
  <c r="M69" i="8" s="1"/>
  <c r="N69" i="8" s="1"/>
  <c r="L60" i="8"/>
  <c r="J28" i="3"/>
  <c r="K28" i="3" s="1"/>
  <c r="L28" i="3" s="1"/>
  <c r="O119" i="9"/>
  <c r="O124" i="9"/>
  <c r="O107" i="9"/>
  <c r="O104" i="9"/>
  <c r="L83" i="8" l="1"/>
  <c r="M88" i="3" s="1"/>
  <c r="M91" i="3" s="1"/>
  <c r="M60" i="8"/>
  <c r="N68" i="8"/>
  <c r="M28" i="3"/>
  <c r="N28" i="3" s="1"/>
  <c r="N101" i="9" a="1"/>
  <c r="N101" i="9" s="1"/>
  <c r="K100" i="9"/>
  <c r="K102" i="9"/>
  <c r="L102" i="9"/>
  <c r="L100" i="9"/>
  <c r="N60" i="8" l="1"/>
  <c r="N102" i="9"/>
  <c r="N100" i="9"/>
  <c r="M100" i="9"/>
  <c r="M102" i="9"/>
  <c r="M95" i="3" l="1"/>
  <c r="M101" i="3" s="1"/>
  <c r="M83" i="8"/>
  <c r="N88" i="3" s="1"/>
  <c r="N91" i="3" s="1"/>
  <c r="N83" i="8" s="1"/>
  <c r="G76" i="9"/>
  <c r="H76" i="9"/>
  <c r="H77" i="9" s="1"/>
  <c r="I76" i="9"/>
  <c r="G78" i="9"/>
  <c r="H78" i="9"/>
  <c r="I78" i="9"/>
  <c r="I79" i="9" s="1"/>
  <c r="H94" i="9"/>
  <c r="H95" i="9" s="1"/>
  <c r="I94" i="9"/>
  <c r="I95" i="9" s="1"/>
  <c r="G94" i="9"/>
  <c r="I91" i="9"/>
  <c r="J91" i="9"/>
  <c r="H91" i="9"/>
  <c r="K91" i="9" s="1"/>
  <c r="N95" i="3" l="1"/>
  <c r="N101" i="3" s="1"/>
  <c r="K90" i="9"/>
  <c r="K92" i="9"/>
  <c r="L91" i="9"/>
  <c r="O94" i="9"/>
  <c r="G95" i="9"/>
  <c r="I77" i="9"/>
  <c r="I80" i="9" s="1"/>
  <c r="H79" i="9"/>
  <c r="G80" i="9"/>
  <c r="O80" i="9" s="1"/>
  <c r="H80" i="9"/>
  <c r="I73" i="9"/>
  <c r="H73" i="9"/>
  <c r="G73" i="9"/>
  <c r="N72" i="9"/>
  <c r="I71" i="9"/>
  <c r="H71" i="9"/>
  <c r="N70" i="9"/>
  <c r="N67" i="9"/>
  <c r="I66" i="9"/>
  <c r="H66" i="9"/>
  <c r="N65" i="9"/>
  <c r="I60" i="9"/>
  <c r="H60" i="9"/>
  <c r="G60" i="9"/>
  <c r="I58" i="9"/>
  <c r="J57" i="9" s="1"/>
  <c r="H58" i="9"/>
  <c r="N59" i="9"/>
  <c r="N57" i="9"/>
  <c r="I53" i="9"/>
  <c r="H53" i="9"/>
  <c r="G115" i="9" l="1"/>
  <c r="G118" i="9"/>
  <c r="G112" i="9"/>
  <c r="I118" i="9"/>
  <c r="I115" i="9"/>
  <c r="I112" i="9"/>
  <c r="M91" i="9"/>
  <c r="L90" i="9"/>
  <c r="L92" i="9"/>
  <c r="H118" i="9"/>
  <c r="H115" i="9"/>
  <c r="H112" i="9"/>
  <c r="H81" i="9"/>
  <c r="I81" i="9"/>
  <c r="J65" i="9"/>
  <c r="J53" i="9"/>
  <c r="J59" i="9"/>
  <c r="G45" i="9"/>
  <c r="G44" i="9"/>
  <c r="I45" i="9"/>
  <c r="H45" i="9"/>
  <c r="I44" i="9"/>
  <c r="H44" i="9"/>
  <c r="H86" i="9"/>
  <c r="H87" i="9" s="1"/>
  <c r="I86" i="9"/>
  <c r="I87" i="9" s="1"/>
  <c r="J87" i="9" s="1"/>
  <c r="K87" i="9" s="1"/>
  <c r="L87" i="9" s="1"/>
  <c r="G86" i="9"/>
  <c r="I25" i="8"/>
  <c r="G41" i="9"/>
  <c r="G105" i="9" s="1"/>
  <c r="G29" i="9"/>
  <c r="G33" i="9"/>
  <c r="G37" i="9"/>
  <c r="G23" i="9"/>
  <c r="H41" i="9"/>
  <c r="H105" i="9" s="1"/>
  <c r="H37" i="9"/>
  <c r="H33" i="9"/>
  <c r="H29" i="9"/>
  <c r="H23" i="9"/>
  <c r="I41" i="9"/>
  <c r="I105" i="9" s="1"/>
  <c r="I37" i="9"/>
  <c r="I33" i="9"/>
  <c r="I29" i="9"/>
  <c r="I23" i="9"/>
  <c r="G7" i="9"/>
  <c r="H98" i="8"/>
  <c r="G98" i="8"/>
  <c r="H81" i="8"/>
  <c r="G81" i="8"/>
  <c r="H65" i="8"/>
  <c r="H73" i="8" s="1"/>
  <c r="G65" i="8"/>
  <c r="G73" i="8" s="1"/>
  <c r="I98" i="8"/>
  <c r="I81" i="8"/>
  <c r="I65" i="8"/>
  <c r="I73" i="8" s="1"/>
  <c r="I73" i="3" l="1"/>
  <c r="J73" i="3" s="1"/>
  <c r="K73" i="3" s="1"/>
  <c r="L73" i="3" s="1"/>
  <c r="M73" i="3" s="1"/>
  <c r="N73" i="3" s="1"/>
  <c r="I82" i="3"/>
  <c r="J82" i="3" s="1" a="1"/>
  <c r="I80" i="3"/>
  <c r="I78" i="3"/>
  <c r="H90" i="8"/>
  <c r="H99" i="8" s="1"/>
  <c r="H101" i="8" s="1"/>
  <c r="I90" i="8"/>
  <c r="I99" i="8" s="1"/>
  <c r="I101" i="8" s="1"/>
  <c r="I43" i="3"/>
  <c r="I25" i="3"/>
  <c r="M87" i="9"/>
  <c r="M90" i="9"/>
  <c r="M92" i="9"/>
  <c r="J112" i="9"/>
  <c r="J118" i="9"/>
  <c r="J115" i="9" a="1"/>
  <c r="J115" i="9" s="1"/>
  <c r="K115" i="9" s="1" a="1"/>
  <c r="K115" i="9" s="1"/>
  <c r="K112" i="9"/>
  <c r="N91" i="9"/>
  <c r="G90" i="8"/>
  <c r="G99" i="8" s="1"/>
  <c r="G101" i="8" s="1"/>
  <c r="G87" i="9"/>
  <c r="O86" i="9"/>
  <c r="J105" i="9"/>
  <c r="J72" i="9"/>
  <c r="K71" i="9"/>
  <c r="L71" i="9" s="1"/>
  <c r="M71" i="9" s="1"/>
  <c r="J70" i="9"/>
  <c r="J67" i="9"/>
  <c r="J54" i="9"/>
  <c r="J52" i="9"/>
  <c r="K65" i="9"/>
  <c r="K67" i="9"/>
  <c r="K57" i="9"/>
  <c r="K59" i="9"/>
  <c r="O29" i="9"/>
  <c r="O23" i="9"/>
  <c r="O33" i="9"/>
  <c r="O60" i="9"/>
  <c r="O37" i="9"/>
  <c r="O73" i="9"/>
  <c r="O41" i="9"/>
  <c r="H42" i="9"/>
  <c r="H46" i="9" s="1"/>
  <c r="I42" i="9"/>
  <c r="I46" i="9" s="1"/>
  <c r="G42" i="9"/>
  <c r="G46" i="9" s="1"/>
  <c r="B4" i="13"/>
  <c r="B2" i="13"/>
  <c r="D5" i="11"/>
  <c r="D5" i="10"/>
  <c r="C5" i="6"/>
  <c r="D5" i="3"/>
  <c r="J78" i="3" l="1" a="1"/>
  <c r="J78" i="3" s="1"/>
  <c r="J80" i="3" a="1"/>
  <c r="J80" i="3" s="1"/>
  <c r="J82" i="3"/>
  <c r="J43" i="3" a="1"/>
  <c r="J43" i="3" s="1"/>
  <c r="L112" i="9"/>
  <c r="N87" i="9"/>
  <c r="M112" i="9"/>
  <c r="N112" i="9"/>
  <c r="L115" i="9" a="1"/>
  <c r="L115" i="9" s="1"/>
  <c r="G108" i="9"/>
  <c r="G122" i="9"/>
  <c r="L118" i="9"/>
  <c r="M115" i="9" a="1"/>
  <c r="M115" i="9" s="1"/>
  <c r="N115" i="9" s="1" a="1"/>
  <c r="N115" i="9" s="1"/>
  <c r="I108" i="9"/>
  <c r="I122" i="9"/>
  <c r="H108" i="9"/>
  <c r="H122" i="9"/>
  <c r="N92" i="9"/>
  <c r="N90" i="9"/>
  <c r="K118" i="9"/>
  <c r="K105" i="9"/>
  <c r="L105" i="9" s="1"/>
  <c r="L72" i="9"/>
  <c r="L70" i="9"/>
  <c r="K72" i="9"/>
  <c r="K70" i="9"/>
  <c r="M72" i="9"/>
  <c r="M70" i="9"/>
  <c r="L65" i="9"/>
  <c r="L67" i="9"/>
  <c r="L59" i="9"/>
  <c r="L57" i="9"/>
  <c r="O42" i="9"/>
  <c r="K80" i="3" l="1" a="1"/>
  <c r="K80" i="3" s="1"/>
  <c r="L80" i="3" s="1" a="1"/>
  <c r="L80" i="3" s="1"/>
  <c r="M80" i="3" s="1" a="1"/>
  <c r="M80" i="3" s="1"/>
  <c r="K78" i="3" a="1"/>
  <c r="K78" i="3" s="1"/>
  <c r="K82" i="3" a="1"/>
  <c r="K82" i="3" s="1"/>
  <c r="K43" i="3" a="1"/>
  <c r="K43" i="3" s="1"/>
  <c r="J108" i="9" a="1"/>
  <c r="J108" i="9" s="1"/>
  <c r="J122" i="9"/>
  <c r="M118" i="9"/>
  <c r="N118" i="9" s="1"/>
  <c r="K108" i="9" a="1"/>
  <c r="M105" i="9"/>
  <c r="N105" i="9" s="1"/>
  <c r="M65" i="9"/>
  <c r="M67" i="9"/>
  <c r="M59" i="9"/>
  <c r="M57" i="9"/>
  <c r="B4" i="11"/>
  <c r="B2" i="11"/>
  <c r="B2" i="10"/>
  <c r="B2" i="6"/>
  <c r="L82" i="3" l="1" a="1"/>
  <c r="L82" i="3" s="1"/>
  <c r="M82" i="3" s="1" a="1"/>
  <c r="M82" i="3" s="1"/>
  <c r="N82" i="3" s="1" a="1"/>
  <c r="N82" i="3" s="1"/>
  <c r="L78" i="3" a="1"/>
  <c r="L78" i="3" s="1"/>
  <c r="M78" i="3" s="1" a="1"/>
  <c r="M78" i="3" s="1"/>
  <c r="N78" i="3" s="1" a="1"/>
  <c r="N78" i="3" s="1"/>
  <c r="N80" i="3" a="1"/>
  <c r="N80" i="3" s="1"/>
  <c r="K108" i="9"/>
  <c r="L43" i="3" a="1"/>
  <c r="L43" i="3" s="1"/>
  <c r="M43" i="3" s="1" a="1"/>
  <c r="M43" i="3" s="1"/>
  <c r="N43" i="3" s="1" a="1"/>
  <c r="N43" i="3" s="1"/>
  <c r="K122" i="9"/>
  <c r="L122" i="9" s="1"/>
  <c r="L108" i="9" a="1"/>
  <c r="L108" i="9" l="1"/>
  <c r="M108" i="9" s="1" a="1"/>
  <c r="M108" i="9" s="1"/>
  <c r="N108" i="9" s="1" a="1"/>
  <c r="N108" i="9" s="1"/>
  <c r="M122" i="9"/>
  <c r="N122" i="9" s="1"/>
  <c r="H7" i="9"/>
  <c r="I7" i="9" s="1"/>
  <c r="J7" i="9" s="1"/>
  <c r="K7" i="9" s="1"/>
  <c r="L7" i="9" s="1"/>
  <c r="M7" i="9" s="1"/>
  <c r="N7" i="9" s="1"/>
  <c r="G9" i="1"/>
  <c r="D5" i="9"/>
  <c r="B4" i="9"/>
  <c r="B2" i="9"/>
  <c r="B4" i="3" l="1"/>
  <c r="B2" i="3"/>
  <c r="D5" i="8"/>
  <c r="B4" i="8"/>
  <c r="B2" i="8"/>
  <c r="H7" i="8"/>
  <c r="I7" i="8" s="1"/>
  <c r="J7" i="8" s="1"/>
  <c r="K7" i="8" l="1"/>
  <c r="L7" i="8" s="1"/>
  <c r="M7" i="8" s="1"/>
  <c r="N7" i="8" s="1"/>
  <c r="G16" i="1" s="1"/>
  <c r="G18" i="11"/>
  <c r="H18" i="11" s="1"/>
  <c r="I18" i="11" s="1"/>
  <c r="J18" i="11" s="1"/>
  <c r="K18" i="11" s="1"/>
  <c r="G11" i="1"/>
  <c r="G15" i="1"/>
  <c r="G17" i="1" l="1"/>
  <c r="N54" i="9" l="1"/>
  <c r="K53" i="9"/>
  <c r="N52" i="9"/>
  <c r="K54" i="9" l="1"/>
  <c r="K52" i="9"/>
  <c r="L52" i="9" l="1"/>
  <c r="L54" i="9"/>
  <c r="M52" i="9" l="1"/>
  <c r="M54" i="9"/>
  <c r="J51" i="9" l="1"/>
  <c r="J50" i="9" s="1"/>
  <c r="K51" i="9"/>
  <c r="L51" i="9"/>
  <c r="M51" i="9"/>
  <c r="N51" i="9"/>
  <c r="J56" i="9"/>
  <c r="J55" i="9" s="1"/>
  <c r="K56" i="9"/>
  <c r="L56" i="9"/>
  <c r="M56" i="9"/>
  <c r="N56" i="9"/>
  <c r="J64" i="9"/>
  <c r="J63" i="9" s="1"/>
  <c r="K64" i="9"/>
  <c r="L64" i="9"/>
  <c r="M64" i="9"/>
  <c r="N64" i="9"/>
  <c r="J69" i="9"/>
  <c r="J68" i="9" s="1"/>
  <c r="K69" i="9"/>
  <c r="L69" i="9"/>
  <c r="M69" i="9"/>
  <c r="N69" i="9"/>
  <c r="K88" i="9"/>
  <c r="L89" i="9"/>
  <c r="M89" i="9"/>
  <c r="N89" i="9"/>
  <c r="K99" i="9"/>
  <c r="K98" i="9" s="1"/>
  <c r="K97" i="9" s="1"/>
  <c r="L99" i="9"/>
  <c r="M99" i="9"/>
  <c r="N99" i="9"/>
  <c r="K68" i="9" l="1"/>
  <c r="L68" i="9" s="1"/>
  <c r="M68" i="9" s="1"/>
  <c r="N68" i="9" s="1"/>
  <c r="P68" i="9" s="1"/>
  <c r="L98" i="9"/>
  <c r="L97" i="9" s="1"/>
  <c r="L88" i="9"/>
  <c r="M88" i="9" s="1"/>
  <c r="N88" i="9" s="1"/>
  <c r="J76" i="9"/>
  <c r="J60" i="9"/>
  <c r="K50" i="9"/>
  <c r="K63" i="9"/>
  <c r="J73" i="9"/>
  <c r="K55" i="9"/>
  <c r="J78" i="9"/>
  <c r="J79" i="9" s="1"/>
  <c r="M98" i="9" l="1"/>
  <c r="N98" i="9" s="1"/>
  <c r="N97" i="9" s="1"/>
  <c r="K78" i="9"/>
  <c r="K79" i="9" s="1"/>
  <c r="L55" i="9"/>
  <c r="J117" i="9"/>
  <c r="J111" i="9"/>
  <c r="J114" i="9"/>
  <c r="L63" i="9"/>
  <c r="K73" i="9"/>
  <c r="K76" i="9"/>
  <c r="K60" i="9"/>
  <c r="L50" i="9"/>
  <c r="J77" i="9"/>
  <c r="J28" i="9"/>
  <c r="J40" i="9"/>
  <c r="J32" i="9"/>
  <c r="J22" i="9"/>
  <c r="J36" i="9"/>
  <c r="K40" i="9" l="1"/>
  <c r="K36" i="9"/>
  <c r="M97" i="9"/>
  <c r="K32" i="9"/>
  <c r="K28" i="9"/>
  <c r="K77" i="9"/>
  <c r="K80" i="9" s="1"/>
  <c r="K117" i="9"/>
  <c r="K111" i="9"/>
  <c r="K114" i="9"/>
  <c r="L73" i="9"/>
  <c r="M63" i="9"/>
  <c r="K22" i="9"/>
  <c r="J45" i="9"/>
  <c r="J119" i="9"/>
  <c r="J21" i="9"/>
  <c r="J35" i="9"/>
  <c r="J27" i="9"/>
  <c r="J39" i="9"/>
  <c r="J31" i="9"/>
  <c r="J80" i="9"/>
  <c r="L78" i="9"/>
  <c r="L79" i="9" s="1"/>
  <c r="M55" i="9"/>
  <c r="L76" i="9"/>
  <c r="L60" i="9"/>
  <c r="M50" i="9"/>
  <c r="L36" i="9" l="1"/>
  <c r="L32" i="9"/>
  <c r="K86" i="9"/>
  <c r="K27" i="8" s="1"/>
  <c r="K81" i="9"/>
  <c r="L77" i="9"/>
  <c r="L80" i="9" s="1"/>
  <c r="J81" i="9"/>
  <c r="J96" i="9" s="1"/>
  <c r="J86" i="9"/>
  <c r="K31" i="9"/>
  <c r="J33" i="9"/>
  <c r="J41" i="9"/>
  <c r="K39" i="9"/>
  <c r="L28" i="9"/>
  <c r="M78" i="9"/>
  <c r="M79" i="9" s="1"/>
  <c r="N55" i="9"/>
  <c r="K45" i="9"/>
  <c r="L22" i="9"/>
  <c r="M73" i="9"/>
  <c r="N63" i="9"/>
  <c r="L114" i="9"/>
  <c r="L117" i="9"/>
  <c r="L111" i="9"/>
  <c r="K119" i="9"/>
  <c r="K33" i="8" s="1"/>
  <c r="AC14" i="15" s="1"/>
  <c r="J29" i="9"/>
  <c r="K27" i="9"/>
  <c r="J37" i="9"/>
  <c r="K35" i="9"/>
  <c r="J23" i="9"/>
  <c r="K21" i="9"/>
  <c r="J44" i="9"/>
  <c r="L40" i="9"/>
  <c r="N50" i="9"/>
  <c r="M76" i="9"/>
  <c r="M60" i="9"/>
  <c r="J33" i="8"/>
  <c r="Y14" i="15" l="1"/>
  <c r="M36" i="9"/>
  <c r="L119" i="9"/>
  <c r="L33" i="8" s="1"/>
  <c r="AD14" i="15" s="1"/>
  <c r="M40" i="9"/>
  <c r="K41" i="9"/>
  <c r="K104" i="9" s="1"/>
  <c r="K29" i="8" s="1"/>
  <c r="L39" i="9"/>
  <c r="M114" i="9"/>
  <c r="M117" i="9"/>
  <c r="M111" i="9"/>
  <c r="N76" i="9"/>
  <c r="N60" i="9"/>
  <c r="P60" i="9" s="1"/>
  <c r="P50" i="9"/>
  <c r="L31" i="9"/>
  <c r="K33" i="9"/>
  <c r="K96" i="9"/>
  <c r="J95" i="9"/>
  <c r="J94" i="9" s="1"/>
  <c r="K23" i="9"/>
  <c r="L21" i="9"/>
  <c r="K44" i="9"/>
  <c r="L45" i="9"/>
  <c r="M22" i="9"/>
  <c r="J23" i="8"/>
  <c r="N73" i="9"/>
  <c r="P63" i="9"/>
  <c r="L86" i="9"/>
  <c r="L27" i="8" s="1"/>
  <c r="L81" i="9"/>
  <c r="J104" i="9"/>
  <c r="M77" i="9"/>
  <c r="M80" i="9" s="1"/>
  <c r="N78" i="9"/>
  <c r="N79" i="9" s="1"/>
  <c r="P55" i="9"/>
  <c r="J27" i="8"/>
  <c r="M32" i="9"/>
  <c r="K37" i="9"/>
  <c r="L35" i="9"/>
  <c r="K29" i="9"/>
  <c r="L27" i="9"/>
  <c r="J42" i="9"/>
  <c r="M28" i="9"/>
  <c r="N36" i="9" l="1"/>
  <c r="N40" i="9"/>
  <c r="N32" i="9"/>
  <c r="M119" i="9"/>
  <c r="M33" i="8" s="1"/>
  <c r="AE14" i="15" s="1"/>
  <c r="N28" i="9"/>
  <c r="J24" i="8"/>
  <c r="J25" i="8" s="1"/>
  <c r="Y11" i="15" s="1"/>
  <c r="J46" i="9"/>
  <c r="L29" i="9"/>
  <c r="M27" i="9"/>
  <c r="N22" i="9"/>
  <c r="M45" i="9"/>
  <c r="N114" i="9"/>
  <c r="N117" i="9"/>
  <c r="N111" i="9"/>
  <c r="P73" i="9"/>
  <c r="N77" i="9"/>
  <c r="N80" i="9" s="1"/>
  <c r="K42" i="9"/>
  <c r="K24" i="8" s="1"/>
  <c r="M86" i="9"/>
  <c r="M27" i="8" s="1"/>
  <c r="M81" i="9"/>
  <c r="L37" i="9"/>
  <c r="M35" i="9"/>
  <c r="L23" i="9"/>
  <c r="M21" i="9"/>
  <c r="L44" i="9"/>
  <c r="J29" i="8"/>
  <c r="K23" i="8"/>
  <c r="L41" i="9"/>
  <c r="L104" i="9" s="1"/>
  <c r="L29" i="8" s="1"/>
  <c r="M39" i="9"/>
  <c r="J28" i="8"/>
  <c r="M31" i="9"/>
  <c r="L33" i="9"/>
  <c r="L96" i="9"/>
  <c r="K95" i="9"/>
  <c r="K94" i="9" s="1"/>
  <c r="K28" i="8" s="1"/>
  <c r="N119" i="9" l="1"/>
  <c r="N33" i="8" s="1"/>
  <c r="AF14" i="15" s="1"/>
  <c r="N45" i="9"/>
  <c r="J77" i="3"/>
  <c r="J64" i="8" s="1"/>
  <c r="Y43" i="15" s="1"/>
  <c r="AB43" i="15" s="1"/>
  <c r="J24" i="3"/>
  <c r="J22" i="10"/>
  <c r="J83" i="3"/>
  <c r="J72" i="8" s="1"/>
  <c r="J79" i="3"/>
  <c r="J80" i="8" s="1"/>
  <c r="Y60" i="15" s="1"/>
  <c r="AB60" i="15" s="1"/>
  <c r="J42" i="3"/>
  <c r="J66" i="3"/>
  <c r="J61" i="8" s="1"/>
  <c r="Y40" i="15" s="1"/>
  <c r="AB40" i="15" s="1"/>
  <c r="J81" i="3"/>
  <c r="J88" i="8" s="1"/>
  <c r="M23" i="9"/>
  <c r="N21" i="9"/>
  <c r="M44" i="9"/>
  <c r="M33" i="9"/>
  <c r="N31" i="9"/>
  <c r="N33" i="9" s="1"/>
  <c r="P33" i="9" s="1"/>
  <c r="M37" i="9"/>
  <c r="N35" i="9"/>
  <c r="N37" i="9" s="1"/>
  <c r="P37" i="9" s="1"/>
  <c r="M29" i="9"/>
  <c r="N27" i="9"/>
  <c r="N29" i="9" s="1"/>
  <c r="L42" i="9"/>
  <c r="L24" i="8" s="1"/>
  <c r="M41" i="9"/>
  <c r="M104" i="9" s="1"/>
  <c r="M29" i="8" s="1"/>
  <c r="N39" i="9"/>
  <c r="N41" i="9" s="1"/>
  <c r="J121" i="9"/>
  <c r="J107" i="9"/>
  <c r="M96" i="9"/>
  <c r="L95" i="9"/>
  <c r="L94" i="9" s="1"/>
  <c r="L28" i="8" s="1"/>
  <c r="L23" i="8"/>
  <c r="K25" i="8"/>
  <c r="AC11" i="15" s="1"/>
  <c r="N86" i="9"/>
  <c r="N81" i="9"/>
  <c r="P80" i="9"/>
  <c r="K46" i="9"/>
  <c r="AC111" i="15" l="1"/>
  <c r="J116" i="8"/>
  <c r="Y73" i="15"/>
  <c r="AB73" i="15" s="1"/>
  <c r="J58" i="3"/>
  <c r="J60" i="3" s="1"/>
  <c r="J57" i="3" s="1"/>
  <c r="J56" i="3" s="1"/>
  <c r="J122" i="8" s="1"/>
  <c r="Y51" i="15"/>
  <c r="AB51" i="15" s="1"/>
  <c r="J115" i="8"/>
  <c r="P119" i="9"/>
  <c r="J111" i="8"/>
  <c r="J30" i="8"/>
  <c r="J31" i="8" s="1"/>
  <c r="K81" i="3"/>
  <c r="K88" i="8" s="1"/>
  <c r="K83" i="3"/>
  <c r="K72" i="8" s="1"/>
  <c r="K24" i="3"/>
  <c r="K79" i="3"/>
  <c r="K80" i="8" s="1"/>
  <c r="K42" i="3"/>
  <c r="K77" i="3"/>
  <c r="K64" i="8" s="1"/>
  <c r="K66" i="3"/>
  <c r="K61" i="8" s="1"/>
  <c r="AC40" i="15" s="1"/>
  <c r="M42" i="9"/>
  <c r="M24" i="8" s="1"/>
  <c r="J119" i="8"/>
  <c r="J18" i="3"/>
  <c r="J20" i="3" s="1"/>
  <c r="N23" i="9"/>
  <c r="N44" i="9"/>
  <c r="J34" i="8"/>
  <c r="M23" i="8"/>
  <c r="N104" i="9"/>
  <c r="P41" i="9"/>
  <c r="L25" i="8"/>
  <c r="AD11" i="15" s="1"/>
  <c r="K107" i="9"/>
  <c r="K30" i="8" s="1"/>
  <c r="K31" i="8" s="1"/>
  <c r="AC12" i="15" s="1"/>
  <c r="K121" i="9"/>
  <c r="K34" i="8" s="1"/>
  <c r="AC15" i="15" s="1"/>
  <c r="N27" i="8"/>
  <c r="P86" i="9"/>
  <c r="J121" i="8"/>
  <c r="J37" i="3"/>
  <c r="J38" i="3" s="1"/>
  <c r="J33" i="3"/>
  <c r="J48" i="3"/>
  <c r="J45" i="3" s="1"/>
  <c r="J39" i="3" s="1"/>
  <c r="K48" i="3"/>
  <c r="L48" i="3"/>
  <c r="M48" i="3"/>
  <c r="N48" i="3"/>
  <c r="N42" i="9"/>
  <c r="P29" i="9"/>
  <c r="L46" i="9"/>
  <c r="J113" i="8"/>
  <c r="N96" i="9"/>
  <c r="N95" i="9" s="1"/>
  <c r="N94" i="9" s="1"/>
  <c r="M95" i="9"/>
  <c r="M94" i="9" s="1"/>
  <c r="M28" i="8" s="1"/>
  <c r="G28" i="11" l="1"/>
  <c r="AD111" i="15"/>
  <c r="Y12" i="15"/>
  <c r="AC103" i="15"/>
  <c r="K115" i="8"/>
  <c r="AC60" i="15"/>
  <c r="AC107" i="15" s="1"/>
  <c r="K116" i="8"/>
  <c r="AC73" i="15"/>
  <c r="AC108" i="15" s="1"/>
  <c r="K113" i="8"/>
  <c r="AC43" i="15"/>
  <c r="K58" i="3"/>
  <c r="K60" i="3" s="1"/>
  <c r="K57" i="3" s="1"/>
  <c r="AC51" i="15"/>
  <c r="K55" i="3"/>
  <c r="Y15" i="15"/>
  <c r="M25" i="8"/>
  <c r="M46" i="9"/>
  <c r="M107" i="9" s="1"/>
  <c r="M30" i="8" s="1"/>
  <c r="M31" i="8" s="1"/>
  <c r="AE12" i="15" s="1"/>
  <c r="N28" i="8"/>
  <c r="P94" i="9"/>
  <c r="K119" i="8"/>
  <c r="K18" i="3"/>
  <c r="J40" i="3"/>
  <c r="J70" i="8" s="1"/>
  <c r="Y49" i="15" s="1"/>
  <c r="K36" i="3"/>
  <c r="K49" i="3"/>
  <c r="K45" i="3" s="1"/>
  <c r="K39" i="3" s="1"/>
  <c r="L49" i="3"/>
  <c r="K121" i="8"/>
  <c r="K37" i="3"/>
  <c r="N49" i="3"/>
  <c r="K33" i="3"/>
  <c r="M49" i="3"/>
  <c r="N29" i="8"/>
  <c r="P104" i="9"/>
  <c r="K17" i="3"/>
  <c r="J27" i="3"/>
  <c r="J67" i="3"/>
  <c r="J62" i="8" s="1"/>
  <c r="J70" i="3"/>
  <c r="J79" i="8" s="1"/>
  <c r="L107" i="9"/>
  <c r="L30" i="8" s="1"/>
  <c r="L31" i="8" s="1"/>
  <c r="AD12" i="15" s="1"/>
  <c r="L121" i="9"/>
  <c r="L34" i="8" s="1"/>
  <c r="AD15" i="15" s="1"/>
  <c r="J123" i="8"/>
  <c r="N24" i="8"/>
  <c r="P42" i="9"/>
  <c r="K67" i="3"/>
  <c r="K62" i="8" s="1"/>
  <c r="AC41" i="15" s="1"/>
  <c r="K70" i="3"/>
  <c r="K79" i="8" s="1"/>
  <c r="AC59" i="15" s="1"/>
  <c r="K111" i="8"/>
  <c r="N46" i="9"/>
  <c r="N23" i="8"/>
  <c r="P23" i="9"/>
  <c r="L66" i="3"/>
  <c r="L61" i="8" s="1"/>
  <c r="AD40" i="15" s="1"/>
  <c r="L81" i="3"/>
  <c r="L88" i="8" s="1"/>
  <c r="L77" i="3"/>
  <c r="L64" i="8" s="1"/>
  <c r="AD43" i="15" s="1"/>
  <c r="L83" i="3"/>
  <c r="L72" i="8" s="1"/>
  <c r="L24" i="3"/>
  <c r="L79" i="3"/>
  <c r="L80" i="8" s="1"/>
  <c r="L42" i="3"/>
  <c r="AC61" i="15" l="1"/>
  <c r="AC105" i="15"/>
  <c r="AD105" i="15"/>
  <c r="AD103" i="15"/>
  <c r="Y41" i="15"/>
  <c r="AB41" i="15" s="1"/>
  <c r="L116" i="8"/>
  <c r="AD73" i="15"/>
  <c r="AD108" i="15" s="1"/>
  <c r="L115" i="8"/>
  <c r="AD60" i="15"/>
  <c r="AD107" i="15" s="1"/>
  <c r="L58" i="3"/>
  <c r="M55" i="3" s="1"/>
  <c r="AD51" i="15"/>
  <c r="L55" i="3"/>
  <c r="F28" i="15"/>
  <c r="Y59" i="15"/>
  <c r="AB59" i="15" s="1"/>
  <c r="K56" i="3"/>
  <c r="AC112" i="15" s="1"/>
  <c r="AC113" i="15" s="1"/>
  <c r="M42" i="3"/>
  <c r="AE11" i="15"/>
  <c r="M121" i="9"/>
  <c r="M34" i="8" s="1"/>
  <c r="AE15" i="15" s="1"/>
  <c r="M83" i="3"/>
  <c r="M72" i="8" s="1"/>
  <c r="M81" i="3"/>
  <c r="M88" i="8" s="1"/>
  <c r="M24" i="3"/>
  <c r="M79" i="3"/>
  <c r="M80" i="8" s="1"/>
  <c r="M77" i="3"/>
  <c r="M64" i="8" s="1"/>
  <c r="M66" i="3"/>
  <c r="M61" i="8" s="1"/>
  <c r="K20" i="3"/>
  <c r="K27" i="3" s="1"/>
  <c r="K35" i="8" s="1"/>
  <c r="AC16" i="15" s="1"/>
  <c r="K38" i="3"/>
  <c r="K40" i="3" s="1"/>
  <c r="K70" i="8" s="1"/>
  <c r="M67" i="3"/>
  <c r="M62" i="8" s="1"/>
  <c r="AE41" i="15" s="1"/>
  <c r="M70" i="3"/>
  <c r="M79" i="8" s="1"/>
  <c r="AE59" i="15" s="1"/>
  <c r="J112" i="8"/>
  <c r="K112" i="8"/>
  <c r="N25" i="8"/>
  <c r="AF11" i="15" s="1"/>
  <c r="L67" i="3"/>
  <c r="L62" i="8" s="1"/>
  <c r="AD41" i="15" s="1"/>
  <c r="L70" i="3"/>
  <c r="L79" i="8" s="1"/>
  <c r="AD59" i="15" s="1"/>
  <c r="AD106" i="15" s="1"/>
  <c r="N107" i="9"/>
  <c r="N121" i="9"/>
  <c r="L37" i="3"/>
  <c r="L33" i="3"/>
  <c r="N50" i="3"/>
  <c r="L50" i="3"/>
  <c r="L45" i="3" s="1"/>
  <c r="L39" i="3" s="1"/>
  <c r="M50" i="3"/>
  <c r="L121" i="8"/>
  <c r="J81" i="8"/>
  <c r="Y61" i="15" s="1"/>
  <c r="J114" i="8"/>
  <c r="J35" i="8"/>
  <c r="J38" i="8" s="1"/>
  <c r="J21" i="3"/>
  <c r="L113" i="8"/>
  <c r="L18" i="3"/>
  <c r="L119" i="8"/>
  <c r="K114" i="8"/>
  <c r="K81" i="8"/>
  <c r="L111" i="8"/>
  <c r="AB61" i="15" l="1"/>
  <c r="AC104" i="15"/>
  <c r="AE111" i="15"/>
  <c r="AF111" i="15"/>
  <c r="AC95" i="15"/>
  <c r="K122" i="8"/>
  <c r="M37" i="3"/>
  <c r="M119" i="8"/>
  <c r="AE106" i="15"/>
  <c r="AE104" i="15"/>
  <c r="AD104" i="15"/>
  <c r="AD61" i="15"/>
  <c r="M115" i="8"/>
  <c r="AE60" i="15"/>
  <c r="M116" i="8"/>
  <c r="AE73" i="15"/>
  <c r="AE108" i="15" s="1"/>
  <c r="L60" i="3"/>
  <c r="L57" i="3" s="1"/>
  <c r="L56" i="3" s="1"/>
  <c r="AD112" i="15" s="1"/>
  <c r="AD113" i="15" s="1"/>
  <c r="M58" i="3"/>
  <c r="M60" i="3" s="1"/>
  <c r="M57" i="3" s="1"/>
  <c r="AE51" i="15"/>
  <c r="M111" i="8"/>
  <c r="AE40" i="15"/>
  <c r="M113" i="8"/>
  <c r="AE43" i="15"/>
  <c r="N51" i="3"/>
  <c r="M121" i="8"/>
  <c r="M51" i="3"/>
  <c r="M45" i="3" s="1"/>
  <c r="M39" i="3" s="1"/>
  <c r="M33" i="3"/>
  <c r="Y16" i="15"/>
  <c r="M18" i="3"/>
  <c r="H27" i="11"/>
  <c r="L17" i="3"/>
  <c r="L20" i="3" s="1"/>
  <c r="L36" i="3"/>
  <c r="L38" i="3" s="1"/>
  <c r="M112" i="8"/>
  <c r="G27" i="11"/>
  <c r="K21" i="3"/>
  <c r="J22" i="3"/>
  <c r="J66" i="8" s="1"/>
  <c r="Y45" i="15" s="1"/>
  <c r="J107" i="8"/>
  <c r="G25" i="11" s="1"/>
  <c r="L112" i="8"/>
  <c r="N30" i="8"/>
  <c r="N31" i="8" s="1"/>
  <c r="AF12" i="15" s="1"/>
  <c r="P107" i="9"/>
  <c r="K107" i="8"/>
  <c r="H25" i="11" s="1"/>
  <c r="K38" i="8"/>
  <c r="M81" i="8"/>
  <c r="M114" i="8"/>
  <c r="N34" i="8"/>
  <c r="AF15" i="15" s="1"/>
  <c r="P121" i="9"/>
  <c r="N42" i="3"/>
  <c r="N81" i="3"/>
  <c r="N88" i="8" s="1"/>
  <c r="N77" i="3"/>
  <c r="N64" i="8" s="1"/>
  <c r="N83" i="3"/>
  <c r="N72" i="8" s="1"/>
  <c r="N24" i="3"/>
  <c r="N79" i="3"/>
  <c r="N80" i="8" s="1"/>
  <c r="N66" i="3"/>
  <c r="N61" i="8" s="1"/>
  <c r="L81" i="8"/>
  <c r="L114" i="8"/>
  <c r="K123" i="8" l="1"/>
  <c r="H28" i="11"/>
  <c r="AC106" i="15"/>
  <c r="L122" i="8"/>
  <c r="I28" i="11" s="1"/>
  <c r="AE105" i="15"/>
  <c r="AE103" i="15"/>
  <c r="AE61" i="15"/>
  <c r="AE107" i="15"/>
  <c r="L65" i="15"/>
  <c r="N55" i="3"/>
  <c r="N115" i="8"/>
  <c r="AF60" i="15"/>
  <c r="AF107" i="15" s="1"/>
  <c r="N116" i="8"/>
  <c r="AF73" i="15"/>
  <c r="AF108" i="15" s="1"/>
  <c r="M56" i="3"/>
  <c r="AE112" i="15" s="1"/>
  <c r="AE113" i="15" s="1"/>
  <c r="N111" i="8"/>
  <c r="AF40" i="15"/>
  <c r="AF103" i="15" s="1"/>
  <c r="N58" i="3"/>
  <c r="N60" i="3" s="1"/>
  <c r="N57" i="3" s="1"/>
  <c r="AF51" i="15"/>
  <c r="N113" i="8"/>
  <c r="AF43" i="15"/>
  <c r="AF105" i="15" s="1"/>
  <c r="K40" i="8"/>
  <c r="J40" i="8"/>
  <c r="Y22" i="15"/>
  <c r="J27" i="11"/>
  <c r="I27" i="11"/>
  <c r="L27" i="3"/>
  <c r="L35" i="8" s="1"/>
  <c r="AD16" i="15" s="1"/>
  <c r="M17" i="3"/>
  <c r="M20" i="3" s="1"/>
  <c r="N70" i="3"/>
  <c r="N79" i="8" s="1"/>
  <c r="AF59" i="15" s="1"/>
  <c r="AF106" i="15" s="1"/>
  <c r="N67" i="3"/>
  <c r="N62" i="8" s="1"/>
  <c r="N18" i="3"/>
  <c r="N119" i="8"/>
  <c r="L40" i="3"/>
  <c r="L70" i="8" s="1"/>
  <c r="M36" i="3"/>
  <c r="M38" i="3" s="1"/>
  <c r="K22" i="3"/>
  <c r="K66" i="8" s="1"/>
  <c r="N121" i="8"/>
  <c r="N37" i="3"/>
  <c r="N33" i="3"/>
  <c r="N52" i="3"/>
  <c r="N45" i="3" s="1"/>
  <c r="N39" i="3" s="1"/>
  <c r="AC17" i="15" l="1"/>
  <c r="AD17" i="15"/>
  <c r="AD96" i="15" s="1"/>
  <c r="AE17" i="15"/>
  <c r="AE96" i="15" s="1"/>
  <c r="AF17" i="15"/>
  <c r="AF96" i="15" s="1"/>
  <c r="Z45" i="15"/>
  <c r="AB45" i="15" s="1"/>
  <c r="AD95" i="15"/>
  <c r="L123" i="8"/>
  <c r="M122" i="8"/>
  <c r="AF61" i="15"/>
  <c r="F69" i="15"/>
  <c r="N56" i="3"/>
  <c r="AF112" i="15" s="1"/>
  <c r="AF113" i="15" s="1"/>
  <c r="N112" i="8"/>
  <c r="AF41" i="15"/>
  <c r="H20" i="11"/>
  <c r="H22" i="11" s="1"/>
  <c r="H23" i="11" s="1"/>
  <c r="K22" i="10"/>
  <c r="L13" i="15" s="1"/>
  <c r="G20" i="11"/>
  <c r="G22" i="11" s="1"/>
  <c r="G23" i="11" s="1"/>
  <c r="Y24" i="15"/>
  <c r="H82" i="15" s="1"/>
  <c r="L21" i="3"/>
  <c r="L22" i="3" s="1"/>
  <c r="L66" i="8" s="1"/>
  <c r="N36" i="3"/>
  <c r="N38" i="3" s="1"/>
  <c r="N40" i="3" s="1"/>
  <c r="N70" i="8" s="1"/>
  <c r="M40" i="3"/>
  <c r="M70" i="8" s="1"/>
  <c r="N114" i="8"/>
  <c r="N81" i="8"/>
  <c r="M27" i="3"/>
  <c r="M35" i="8" s="1"/>
  <c r="AE16" i="15" s="1"/>
  <c r="N17" i="3"/>
  <c r="N20" i="3" s="1"/>
  <c r="L107" i="8"/>
  <c r="I25" i="11" s="1"/>
  <c r="L38" i="8"/>
  <c r="M123" i="8" l="1"/>
  <c r="J28" i="11"/>
  <c r="L14" i="15"/>
  <c r="AC96" i="15"/>
  <c r="AC45" i="15" s="1"/>
  <c r="AE95" i="15"/>
  <c r="N122" i="8"/>
  <c r="AF104" i="15"/>
  <c r="K27" i="11"/>
  <c r="L34" i="15"/>
  <c r="L54" i="15" s="1"/>
  <c r="Z52" i="15" s="1"/>
  <c r="AB52" i="15" s="1"/>
  <c r="L40" i="8"/>
  <c r="N27" i="3"/>
  <c r="N35" i="8" s="1"/>
  <c r="AF16" i="15" s="1"/>
  <c r="M107" i="8"/>
  <c r="J25" i="11" s="1"/>
  <c r="M38" i="8"/>
  <c r="M21" i="3"/>
  <c r="N123" i="8" l="1"/>
  <c r="K28" i="11"/>
  <c r="AD45" i="15"/>
  <c r="AF95" i="15"/>
  <c r="AC19" i="15"/>
  <c r="AD19" i="15"/>
  <c r="AE19" i="15"/>
  <c r="AF19" i="15"/>
  <c r="AF98" i="15" s="1"/>
  <c r="L58" i="15"/>
  <c r="I20" i="11"/>
  <c r="I22" i="11" s="1"/>
  <c r="I23" i="11" s="1"/>
  <c r="L36" i="15"/>
  <c r="L39" i="15"/>
  <c r="L37" i="15"/>
  <c r="L38" i="15"/>
  <c r="M40" i="8"/>
  <c r="N21" i="3"/>
  <c r="N22" i="3" s="1"/>
  <c r="N66" i="8" s="1"/>
  <c r="M22" i="3"/>
  <c r="M66" i="8" s="1"/>
  <c r="N107" i="8"/>
  <c r="K25" i="11" s="1"/>
  <c r="N38" i="8"/>
  <c r="AE45" i="15" l="1"/>
  <c r="AF45" i="15" s="1"/>
  <c r="AE98" i="15"/>
  <c r="AD98" i="15"/>
  <c r="AC98" i="15"/>
  <c r="AC52" i="15" s="1"/>
  <c r="F55" i="15"/>
  <c r="AA66" i="15" s="1"/>
  <c r="AB66" i="15" s="1"/>
  <c r="F54" i="15"/>
  <c r="AA65" i="15" s="1"/>
  <c r="AB65" i="15" s="1"/>
  <c r="F56" i="15"/>
  <c r="AA67" i="15" s="1"/>
  <c r="AB67" i="15" s="1"/>
  <c r="F53" i="15"/>
  <c r="J20" i="11"/>
  <c r="J22" i="11" s="1"/>
  <c r="J23" i="11" s="1"/>
  <c r="N40" i="8"/>
  <c r="AC166" i="15" l="1"/>
  <c r="AC119" i="15" s="1"/>
  <c r="AC165" i="15"/>
  <c r="AC118" i="15" s="1"/>
  <c r="AC164" i="15"/>
  <c r="AA64" i="15"/>
  <c r="AB64" i="15" s="1"/>
  <c r="AD52" i="15"/>
  <c r="AE52" i="15" s="1"/>
  <c r="AF52" i="15" s="1"/>
  <c r="K20" i="11"/>
  <c r="K22" i="11" s="1"/>
  <c r="K23" i="11" s="1"/>
  <c r="AC66" i="15" l="1"/>
  <c r="AC163" i="15"/>
  <c r="AD165" i="15" l="1"/>
  <c r="AD118" i="15" s="1"/>
  <c r="AD66" i="15" s="1"/>
  <c r="AC147" i="15"/>
  <c r="AC167" i="15"/>
  <c r="AE165" i="15" l="1"/>
  <c r="AE118" i="15" s="1"/>
  <c r="AE66" i="15" s="1"/>
  <c r="AE147" i="15" s="1"/>
  <c r="AD147" i="15"/>
  <c r="AF165" i="15" l="1"/>
  <c r="AF118" i="15" s="1"/>
  <c r="AF66" i="15" s="1"/>
  <c r="AF147" i="15" s="1"/>
  <c r="J124" i="9" l="1"/>
  <c r="K124" i="9"/>
  <c r="L124" i="9"/>
  <c r="M124" i="9"/>
  <c r="N124" i="9"/>
  <c r="P124" i="9"/>
  <c r="H22" i="10"/>
  <c r="I22" i="10"/>
  <c r="L22" i="10"/>
  <c r="M22" i="10"/>
  <c r="N22" i="10"/>
  <c r="O22" i="10"/>
  <c r="I12" i="11"/>
  <c r="I14" i="11"/>
  <c r="E15" i="11"/>
  <c r="G26" i="11"/>
  <c r="H26" i="11"/>
  <c r="I26" i="11"/>
  <c r="J26" i="11"/>
  <c r="K26" i="11"/>
  <c r="G29" i="11"/>
  <c r="H29" i="11"/>
  <c r="I29" i="11"/>
  <c r="J29" i="11"/>
  <c r="K29" i="11"/>
  <c r="K32" i="11"/>
  <c r="G33" i="11"/>
  <c r="H33" i="11"/>
  <c r="I33" i="11"/>
  <c r="J33" i="11"/>
  <c r="K33" i="11"/>
  <c r="G34" i="11"/>
  <c r="G38" i="11"/>
  <c r="G40" i="11"/>
  <c r="T5" i="15"/>
  <c r="L11" i="15"/>
  <c r="L12" i="15"/>
  <c r="AC18" i="15"/>
  <c r="AD18" i="15"/>
  <c r="AE18" i="15"/>
  <c r="AF18" i="15"/>
  <c r="AC22" i="15"/>
  <c r="AD22" i="15"/>
  <c r="AE22" i="15"/>
  <c r="AF22" i="15"/>
  <c r="F24" i="15"/>
  <c r="AC24" i="15"/>
  <c r="AD24" i="15"/>
  <c r="AE24" i="15"/>
  <c r="AF24" i="15"/>
  <c r="Y26" i="15"/>
  <c r="AC26" i="15"/>
  <c r="AD26" i="15"/>
  <c r="AE26" i="15"/>
  <c r="AF26" i="15"/>
  <c r="Y28" i="15"/>
  <c r="AC28" i="15"/>
  <c r="AD28" i="15"/>
  <c r="AE28" i="15"/>
  <c r="AF28" i="15"/>
  <c r="F29" i="15"/>
  <c r="Y29" i="15"/>
  <c r="AC29" i="15"/>
  <c r="AD29" i="15"/>
  <c r="AE29" i="15"/>
  <c r="AF29" i="15"/>
  <c r="Y30" i="15"/>
  <c r="AC30" i="15"/>
  <c r="AD30" i="15"/>
  <c r="AE30" i="15"/>
  <c r="AF30" i="15"/>
  <c r="Y38" i="15"/>
  <c r="AA38" i="15"/>
  <c r="AB38" i="15"/>
  <c r="AC38" i="15"/>
  <c r="AD38" i="15"/>
  <c r="AE38" i="15"/>
  <c r="AF38" i="15"/>
  <c r="Y44" i="15"/>
  <c r="AB44" i="15"/>
  <c r="AC44" i="15"/>
  <c r="AD44" i="15"/>
  <c r="AE44" i="15"/>
  <c r="AF44" i="15"/>
  <c r="Z48" i="15"/>
  <c r="AB48" i="15"/>
  <c r="AC48" i="15"/>
  <c r="AD48" i="15"/>
  <c r="AE48" i="15"/>
  <c r="AF48" i="15"/>
  <c r="Z49" i="15"/>
  <c r="AB49" i="15"/>
  <c r="AC49" i="15"/>
  <c r="AD49" i="15"/>
  <c r="AE49" i="15"/>
  <c r="AF49" i="15"/>
  <c r="F52" i="15"/>
  <c r="Y53" i="15"/>
  <c r="AB53" i="15"/>
  <c r="AC53" i="15"/>
  <c r="AD53" i="15"/>
  <c r="AE53" i="15"/>
  <c r="AF53" i="15"/>
  <c r="F57" i="15"/>
  <c r="F58" i="15"/>
  <c r="Y62" i="15"/>
  <c r="AB62" i="15"/>
  <c r="AC62" i="15"/>
  <c r="AD62" i="15"/>
  <c r="AE62" i="15"/>
  <c r="AF62" i="15"/>
  <c r="AC64" i="15"/>
  <c r="AD64" i="15"/>
  <c r="AE64" i="15"/>
  <c r="AF64" i="15"/>
  <c r="F65" i="15"/>
  <c r="AC65" i="15"/>
  <c r="AD65" i="15"/>
  <c r="AE65" i="15"/>
  <c r="AF65" i="15"/>
  <c r="F67" i="15"/>
  <c r="AC67" i="15"/>
  <c r="AD67" i="15"/>
  <c r="AE67" i="15"/>
  <c r="AF67" i="15"/>
  <c r="AA68" i="15"/>
  <c r="AB68" i="15"/>
  <c r="AC68" i="15"/>
  <c r="AD68" i="15"/>
  <c r="AE68" i="15"/>
  <c r="AF68" i="15"/>
  <c r="F70" i="15"/>
  <c r="L70" i="15"/>
  <c r="F72" i="15"/>
  <c r="L72" i="15"/>
  <c r="F73" i="15"/>
  <c r="Y74" i="15"/>
  <c r="AB74" i="15"/>
  <c r="AC74" i="15"/>
  <c r="AD74" i="15"/>
  <c r="AE74" i="15"/>
  <c r="AF74" i="15"/>
  <c r="Y75" i="15"/>
  <c r="AB75" i="15"/>
  <c r="AC75" i="15"/>
  <c r="AD75" i="15"/>
  <c r="AE75" i="15"/>
  <c r="AF75" i="15"/>
  <c r="L76" i="15"/>
  <c r="Y79" i="15"/>
  <c r="Z79" i="15"/>
  <c r="AB79" i="15"/>
  <c r="AC79" i="15"/>
  <c r="AD79" i="15"/>
  <c r="AE79" i="15"/>
  <c r="AF79" i="15"/>
  <c r="Y80" i="15"/>
  <c r="Z80" i="15"/>
  <c r="AB80" i="15"/>
  <c r="AC80" i="15"/>
  <c r="AD80" i="15"/>
  <c r="AE80" i="15"/>
  <c r="AF80" i="15"/>
  <c r="L82" i="15"/>
  <c r="H83" i="15"/>
  <c r="AA83" i="15"/>
  <c r="AB83" i="15"/>
  <c r="AC83" i="15"/>
  <c r="AD83" i="15"/>
  <c r="AE83" i="15"/>
  <c r="AF83" i="15"/>
  <c r="H84" i="15"/>
  <c r="L84" i="15"/>
  <c r="Y84" i="15"/>
  <c r="AB84" i="15"/>
  <c r="AC84" i="15"/>
  <c r="AD84" i="15"/>
  <c r="AE84" i="15"/>
  <c r="AF84" i="15"/>
  <c r="H85" i="15"/>
  <c r="L85" i="15"/>
  <c r="Y85" i="15"/>
  <c r="AB85" i="15"/>
  <c r="AC85" i="15"/>
  <c r="AD85" i="15"/>
  <c r="AE85" i="15"/>
  <c r="AF85" i="15"/>
  <c r="H87" i="15"/>
  <c r="Y87" i="15"/>
  <c r="AB87" i="15"/>
  <c r="AC87" i="15"/>
  <c r="AD87" i="15"/>
  <c r="AE87" i="15"/>
  <c r="AF87" i="15"/>
  <c r="D93" i="15"/>
  <c r="AC93" i="15"/>
  <c r="AD93" i="15"/>
  <c r="AE93" i="15"/>
  <c r="AF93" i="15"/>
  <c r="AC97" i="15"/>
  <c r="AD97" i="15"/>
  <c r="AE97" i="15"/>
  <c r="AF97" i="15"/>
  <c r="AC99" i="15"/>
  <c r="AD99" i="15"/>
  <c r="AE99" i="15"/>
  <c r="AF99" i="15"/>
  <c r="AC100" i="15"/>
  <c r="AD100" i="15"/>
  <c r="AE100" i="15"/>
  <c r="AF100" i="15"/>
  <c r="AC101" i="15"/>
  <c r="AD101" i="15"/>
  <c r="AE101" i="15"/>
  <c r="AF101" i="15"/>
  <c r="D108" i="15"/>
  <c r="AC109" i="15"/>
  <c r="AD109" i="15"/>
  <c r="AE109" i="15"/>
  <c r="AF109" i="15"/>
  <c r="AC115" i="15"/>
  <c r="AD115" i="15"/>
  <c r="AE115" i="15"/>
  <c r="AF115" i="15"/>
  <c r="AC116" i="15"/>
  <c r="AD116" i="15"/>
  <c r="AE116" i="15"/>
  <c r="AF116" i="15"/>
  <c r="AC117" i="15"/>
  <c r="AD117" i="15"/>
  <c r="AE117" i="15"/>
  <c r="AF117" i="15"/>
  <c r="AD119" i="15"/>
  <c r="AE119" i="15"/>
  <c r="AF119" i="15"/>
  <c r="AC121" i="15"/>
  <c r="AD121" i="15"/>
  <c r="AE121" i="15"/>
  <c r="AF121" i="15"/>
  <c r="AC122" i="15"/>
  <c r="AD122" i="15"/>
  <c r="AE122" i="15"/>
  <c r="AF122" i="15"/>
  <c r="AC124" i="15"/>
  <c r="AD124" i="15"/>
  <c r="AE124" i="15"/>
  <c r="AF124" i="15"/>
  <c r="AC126" i="15"/>
  <c r="AD126" i="15"/>
  <c r="AE126" i="15"/>
  <c r="AF126" i="15"/>
  <c r="AC127" i="15"/>
  <c r="AD127" i="15"/>
  <c r="AE127" i="15"/>
  <c r="AF127" i="15"/>
  <c r="AC144" i="15"/>
  <c r="AD144" i="15"/>
  <c r="AE144" i="15"/>
  <c r="AF144" i="15"/>
  <c r="AC145" i="15"/>
  <c r="AD145" i="15"/>
  <c r="AE145" i="15"/>
  <c r="AF145" i="15"/>
  <c r="AC146" i="15"/>
  <c r="AD146" i="15"/>
  <c r="AE146" i="15"/>
  <c r="AF146" i="15"/>
  <c r="AC148" i="15"/>
  <c r="AD148" i="15"/>
  <c r="AE148" i="15"/>
  <c r="AF148" i="15"/>
  <c r="AC149" i="15"/>
  <c r="AD149" i="15"/>
  <c r="AE149" i="15"/>
  <c r="AF149" i="15"/>
  <c r="AC150" i="15"/>
  <c r="AD150" i="15"/>
  <c r="AE150" i="15"/>
  <c r="AF150" i="15"/>
  <c r="AC153" i="15"/>
  <c r="AD153" i="15"/>
  <c r="AE153" i="15"/>
  <c r="AF153" i="15"/>
  <c r="AC155" i="15"/>
  <c r="AD155" i="15"/>
  <c r="AE155" i="15"/>
  <c r="AF155" i="15"/>
  <c r="AC156" i="15"/>
  <c r="AD156" i="15"/>
  <c r="AE156" i="15"/>
  <c r="AF156" i="15"/>
  <c r="AC157" i="15"/>
  <c r="AD157" i="15"/>
  <c r="AE157" i="15"/>
  <c r="AF157" i="15"/>
  <c r="AC158" i="15"/>
  <c r="AD158" i="15"/>
  <c r="AE158" i="15"/>
  <c r="AF158" i="15"/>
  <c r="AD163" i="15"/>
  <c r="AE163" i="15"/>
  <c r="AF163" i="15"/>
  <c r="AD164" i="15"/>
  <c r="AE164" i="15"/>
  <c r="AF164" i="15"/>
  <c r="AD166" i="15"/>
  <c r="AE166" i="15"/>
  <c r="AF166" i="15"/>
  <c r="AD167" i="15"/>
  <c r="AE167" i="15"/>
  <c r="AF167" i="15"/>
  <c r="AC170" i="15"/>
  <c r="AD170" i="15"/>
  <c r="AE170" i="15"/>
  <c r="AF170" i="15"/>
  <c r="AC171" i="15"/>
  <c r="AD171" i="15"/>
  <c r="AE171" i="15"/>
  <c r="AF171" i="15"/>
  <c r="AC172" i="15"/>
  <c r="AD172" i="15"/>
  <c r="AE172" i="15"/>
  <c r="AF172" i="15"/>
  <c r="AC175" i="15"/>
  <c r="AD175" i="15"/>
  <c r="AE175" i="15"/>
  <c r="AF175" i="15"/>
  <c r="AC177" i="15"/>
  <c r="AD177" i="15"/>
  <c r="AE177" i="15"/>
  <c r="AF177" i="15"/>
  <c r="AC178" i="15"/>
  <c r="AD178" i="15"/>
  <c r="AE178" i="15"/>
  <c r="AF178" i="15"/>
  <c r="J97" i="3"/>
  <c r="K97" i="3"/>
  <c r="L97" i="3"/>
  <c r="M97" i="3"/>
  <c r="N97" i="3"/>
  <c r="J99" i="3"/>
  <c r="K99" i="3"/>
  <c r="L99" i="3"/>
  <c r="M99" i="3"/>
  <c r="N99" i="3"/>
  <c r="J102" i="3"/>
  <c r="K102" i="3"/>
  <c r="L102" i="3"/>
  <c r="M102" i="3"/>
  <c r="N102" i="3"/>
  <c r="K104" i="3"/>
  <c r="L104" i="3"/>
  <c r="M104" i="3"/>
  <c r="N104" i="3"/>
  <c r="J105" i="3"/>
  <c r="K105" i="3"/>
  <c r="L105" i="3"/>
  <c r="M105" i="3"/>
  <c r="N105" i="3"/>
  <c r="J106" i="3"/>
  <c r="K106" i="3"/>
  <c r="L106" i="3"/>
  <c r="M106" i="3"/>
  <c r="N106" i="3"/>
  <c r="J107" i="3"/>
  <c r="K107" i="3"/>
  <c r="L107" i="3"/>
  <c r="M107" i="3"/>
  <c r="N107" i="3"/>
  <c r="J110" i="3"/>
  <c r="K110" i="3"/>
  <c r="L110" i="3"/>
  <c r="M110" i="3"/>
  <c r="N110" i="3"/>
  <c r="K114" i="3"/>
  <c r="L114" i="3"/>
  <c r="M114" i="3"/>
  <c r="N114" i="3"/>
  <c r="J115" i="3"/>
  <c r="K115" i="3"/>
  <c r="L115" i="3"/>
  <c r="M115" i="3"/>
  <c r="N115" i="3"/>
  <c r="J117" i="3"/>
  <c r="K117" i="3"/>
  <c r="L117" i="3"/>
  <c r="M117" i="3"/>
  <c r="N117" i="3"/>
  <c r="K119" i="3"/>
  <c r="L119" i="3"/>
  <c r="M119" i="3"/>
  <c r="N119" i="3"/>
  <c r="J120" i="3"/>
  <c r="K120" i="3"/>
  <c r="L120" i="3"/>
  <c r="M120" i="3"/>
  <c r="N120" i="3"/>
  <c r="J121" i="3"/>
  <c r="K121" i="3"/>
  <c r="L121" i="3"/>
  <c r="M121" i="3"/>
  <c r="N121" i="3"/>
  <c r="J41" i="8"/>
  <c r="K41" i="8"/>
  <c r="L41" i="8"/>
  <c r="M41" i="8"/>
  <c r="N41" i="8"/>
  <c r="J43" i="8"/>
  <c r="K43" i="8"/>
  <c r="L43" i="8"/>
  <c r="M43" i="8"/>
  <c r="N43" i="8"/>
  <c r="J44" i="8"/>
  <c r="K44" i="8"/>
  <c r="L44" i="8"/>
  <c r="M44" i="8"/>
  <c r="N44" i="8"/>
  <c r="J45" i="8"/>
  <c r="K45" i="8"/>
  <c r="L45" i="8"/>
  <c r="M45" i="8"/>
  <c r="N45" i="8"/>
  <c r="J48" i="8"/>
  <c r="K48" i="8"/>
  <c r="L48" i="8"/>
  <c r="M48" i="8"/>
  <c r="N48" i="8"/>
  <c r="J49" i="8"/>
  <c r="K49" i="8"/>
  <c r="L49" i="8"/>
  <c r="M49" i="8"/>
  <c r="N49" i="8"/>
  <c r="J59" i="8"/>
  <c r="K59" i="8"/>
  <c r="L59" i="8"/>
  <c r="M59" i="8"/>
  <c r="N59" i="8"/>
  <c r="J65" i="8"/>
  <c r="K65" i="8"/>
  <c r="L65" i="8"/>
  <c r="M65" i="8"/>
  <c r="N65" i="8"/>
  <c r="J73" i="8"/>
  <c r="K73" i="8"/>
  <c r="L73" i="8"/>
  <c r="M73" i="8"/>
  <c r="N73" i="8"/>
  <c r="J82" i="8"/>
  <c r="K82" i="8"/>
  <c r="L82" i="8"/>
  <c r="M82" i="8"/>
  <c r="N82" i="8"/>
  <c r="J89" i="8"/>
  <c r="K89" i="8"/>
  <c r="L89" i="8"/>
  <c r="M89" i="8"/>
  <c r="N89" i="8"/>
  <c r="J90" i="8"/>
  <c r="K90" i="8"/>
  <c r="L90" i="8"/>
  <c r="M90" i="8"/>
  <c r="N90" i="8"/>
  <c r="J94" i="8"/>
  <c r="K94" i="8"/>
  <c r="L94" i="8"/>
  <c r="M94" i="8"/>
  <c r="N94" i="8"/>
  <c r="J95" i="8"/>
  <c r="K95" i="8"/>
  <c r="L95" i="8"/>
  <c r="M95" i="8"/>
  <c r="N95" i="8"/>
  <c r="J98" i="8"/>
  <c r="K98" i="8"/>
  <c r="L98" i="8"/>
  <c r="M98" i="8"/>
  <c r="N98" i="8"/>
  <c r="J99" i="8"/>
  <c r="K99" i="8"/>
  <c r="L99" i="8"/>
  <c r="M99" i="8"/>
  <c r="N99" i="8"/>
  <c r="J101" i="8"/>
  <c r="K101" i="8"/>
  <c r="L101" i="8"/>
  <c r="M101" i="8"/>
  <c r="N101" i="8"/>
  <c r="J105" i="8"/>
  <c r="K105" i="8"/>
  <c r="L105" i="8"/>
  <c r="M105" i="8"/>
  <c r="N105" i="8"/>
  <c r="J108" i="8"/>
  <c r="K108" i="8"/>
  <c r="L108" i="8"/>
  <c r="M108" i="8"/>
  <c r="N108" i="8"/>
  <c r="J109" i="8"/>
  <c r="K109" i="8"/>
  <c r="L109" i="8"/>
  <c r="M109" i="8"/>
  <c r="N109" i="8"/>
  <c r="J117" i="8"/>
  <c r="K117" i="8"/>
  <c r="L117" i="8"/>
  <c r="M117" i="8"/>
  <c r="N117" i="8"/>
  <c r="J125" i="8"/>
  <c r="K125" i="8"/>
  <c r="L125" i="8"/>
  <c r="M125" i="8"/>
  <c r="N125" i="8"/>
  <c r="J128" i="8"/>
  <c r="K128" i="8"/>
  <c r="L128" i="8"/>
  <c r="M128" i="8"/>
  <c r="N128" i="8"/>
  <c r="J130" i="8"/>
  <c r="K130" i="8"/>
  <c r="L130" i="8"/>
  <c r="M130" i="8"/>
  <c r="N130" i="8"/>
  <c r="J132" i="8"/>
  <c r="K132" i="8"/>
  <c r="L132" i="8"/>
  <c r="M132" i="8"/>
  <c r="N132" i="8"/>
  <c r="K134" i="8"/>
  <c r="L134" i="8"/>
  <c r="M134" i="8"/>
  <c r="N134" i="8"/>
  <c r="J135" i="8"/>
  <c r="K135" i="8"/>
  <c r="L135" i="8"/>
  <c r="M135" i="8"/>
  <c r="N135" i="8"/>
  <c r="C24" i="6"/>
  <c r="C26" i="6"/>
  <c r="G29" i="6"/>
  <c r="G31" i="6"/>
</calcChain>
</file>

<file path=xl/sharedStrings.xml><?xml version="1.0" encoding="utf-8"?>
<sst xmlns="http://schemas.openxmlformats.org/spreadsheetml/2006/main" count="810" uniqueCount="508">
  <si>
    <t>Company Name</t>
  </si>
  <si>
    <t>Date</t>
  </si>
  <si>
    <t>Forecast</t>
  </si>
  <si>
    <t>\</t>
  </si>
  <si>
    <t>Units:</t>
  </si>
  <si>
    <t>Ticker</t>
  </si>
  <si>
    <t>Last Historical</t>
  </si>
  <si>
    <t>Selected Scenario</t>
  </si>
  <si>
    <t>Model Start Date</t>
  </si>
  <si>
    <t>Model End Date</t>
  </si>
  <si>
    <t>No. of Years Projected</t>
  </si>
  <si>
    <t>Years</t>
  </si>
  <si>
    <t>Days</t>
  </si>
  <si>
    <t>Days in an Year</t>
  </si>
  <si>
    <t xml:space="preserve">Hardcode </t>
  </si>
  <si>
    <t>Calculation</t>
  </si>
  <si>
    <t>Reference</t>
  </si>
  <si>
    <t>Assumptions</t>
  </si>
  <si>
    <t>Notes</t>
  </si>
  <si>
    <t>Caution</t>
  </si>
  <si>
    <t>Cell Reference</t>
  </si>
  <si>
    <t>Model Assumption</t>
  </si>
  <si>
    <t>Templete:</t>
  </si>
  <si>
    <t>Period type:</t>
  </si>
  <si>
    <t>Source:</t>
  </si>
  <si>
    <t xml:space="preserve">Decimals: </t>
  </si>
  <si>
    <t>Standard</t>
  </si>
  <si>
    <t>Annual</t>
  </si>
  <si>
    <t>Currency:</t>
  </si>
  <si>
    <t>Reported</t>
  </si>
  <si>
    <t>Company Website</t>
  </si>
  <si>
    <t>Default</t>
  </si>
  <si>
    <t>CAGR</t>
  </si>
  <si>
    <t>Dashboard</t>
  </si>
  <si>
    <t>#</t>
  </si>
  <si>
    <t>Income statement</t>
  </si>
  <si>
    <t>Financial statements</t>
  </si>
  <si>
    <t>Scenario</t>
  </si>
  <si>
    <t>Active Scenario</t>
  </si>
  <si>
    <t>Street</t>
  </si>
  <si>
    <t>25A - 30E</t>
  </si>
  <si>
    <t>22A - 25A</t>
  </si>
  <si>
    <t>s</t>
  </si>
  <si>
    <t>Schedule</t>
  </si>
  <si>
    <t>Working capital schedule</t>
  </si>
  <si>
    <t>Financials</t>
  </si>
  <si>
    <t>Statements</t>
  </si>
  <si>
    <t>&lt;-Back to dashboard</t>
  </si>
  <si>
    <t>Valuation</t>
  </si>
  <si>
    <t>FCFF</t>
  </si>
  <si>
    <t>WACC</t>
  </si>
  <si>
    <t>Beta</t>
  </si>
  <si>
    <t>&lt;- Go back to the top</t>
  </si>
  <si>
    <t>Go to -&gt;</t>
  </si>
  <si>
    <t>Balance statement</t>
  </si>
  <si>
    <t>Revenue forecast</t>
  </si>
  <si>
    <t>Expense forecast</t>
  </si>
  <si>
    <t>Working capital</t>
  </si>
  <si>
    <t>Report</t>
  </si>
  <si>
    <t>Market Cap</t>
  </si>
  <si>
    <t>EBIT</t>
  </si>
  <si>
    <t>Less: Income taxes</t>
  </si>
  <si>
    <t>NOPAT</t>
  </si>
  <si>
    <t>Add: Depreciation and Amortisation</t>
  </si>
  <si>
    <t>Add/Less: Change in Working capital</t>
  </si>
  <si>
    <t>Less: Capital Expenditure</t>
  </si>
  <si>
    <t>Free Cash Flow to Firm</t>
  </si>
  <si>
    <t>Valuation parameters</t>
  </si>
  <si>
    <t>Valuation as on specified date</t>
  </si>
  <si>
    <t>Date of year ending</t>
  </si>
  <si>
    <t>Enterprise value</t>
  </si>
  <si>
    <t>Less: Debt</t>
  </si>
  <si>
    <t>Add: Cash</t>
  </si>
  <si>
    <t>Table of Contents</t>
  </si>
  <si>
    <t>Particulars</t>
  </si>
  <si>
    <t>Ratio Analysis</t>
  </si>
  <si>
    <t>EBITDA</t>
  </si>
  <si>
    <t>Equity Report</t>
  </si>
  <si>
    <t>CMP</t>
  </si>
  <si>
    <t>Eldric Gregory Sequeira</t>
  </si>
  <si>
    <t xml:space="preserve">Recommendation </t>
  </si>
  <si>
    <t>Recommendation</t>
  </si>
  <si>
    <t>Upside / (Downside)</t>
  </si>
  <si>
    <t>DCF fair value</t>
  </si>
  <si>
    <t>Free float</t>
  </si>
  <si>
    <t>Shares outstanding</t>
  </si>
  <si>
    <t>52 week range</t>
  </si>
  <si>
    <t>Sensex/Nifty</t>
  </si>
  <si>
    <t>INR/US</t>
  </si>
  <si>
    <t>Key Data - INFO</t>
  </si>
  <si>
    <t>seqcapin@gmaco | 91+ 11111111111</t>
  </si>
  <si>
    <t>Terminal Growth rate</t>
  </si>
  <si>
    <t xml:space="preserve">NSE:  | BSE: </t>
  </si>
  <si>
    <t>COUNTRY | SECTOR | EQUITY RESEARCH</t>
  </si>
  <si>
    <t>Model Date: | Last Historical Year: FY 25 | Forecast Horizon: FY 26-FY 30</t>
  </si>
  <si>
    <t>Balance sheet</t>
  </si>
  <si>
    <t>Debt Schedule</t>
  </si>
  <si>
    <t>Equity schedule</t>
  </si>
  <si>
    <t>USD</t>
  </si>
  <si>
    <r>
      <t xml:space="preserve">Tax rate </t>
    </r>
    <r>
      <rPr>
        <i/>
        <sz val="10"/>
        <color theme="1"/>
        <rFont val="Aptos"/>
        <family val="2"/>
      </rPr>
      <t>(%)</t>
    </r>
  </si>
  <si>
    <t>Marginal Tax Rate (%)</t>
  </si>
  <si>
    <t>WACC (%)</t>
  </si>
  <si>
    <t>Terminal Growth Rate (%)</t>
  </si>
  <si>
    <r>
      <rPr>
        <b/>
        <sz val="11"/>
        <color theme="0"/>
        <rFont val="Aptos"/>
        <family val="2"/>
      </rPr>
      <t>SEQUEIRA CAPITAL</t>
    </r>
    <r>
      <rPr>
        <b/>
        <sz val="10"/>
        <color theme="0"/>
        <rFont val="Aptos"/>
        <family val="2"/>
      </rPr>
      <t xml:space="preserve">
</t>
    </r>
    <r>
      <rPr>
        <b/>
        <sz val="9"/>
        <color theme="0"/>
        <rFont val="Aptos"/>
        <family val="2"/>
      </rPr>
      <t>INVESTMENTS</t>
    </r>
  </si>
  <si>
    <t>DENN</t>
  </si>
  <si>
    <t>Revenue:</t>
  </si>
  <si>
    <t>Company restaurant sales</t>
  </si>
  <si>
    <t>Franchise and license revenue</t>
  </si>
  <si>
    <t>Total operating revenue</t>
  </si>
  <si>
    <t>Product costs</t>
  </si>
  <si>
    <t>Payroll and benefits</t>
  </si>
  <si>
    <t>Occupancy</t>
  </si>
  <si>
    <t>Other operating expenses</t>
  </si>
  <si>
    <t>General and administrative expenses</t>
  </si>
  <si>
    <t>Depreciation and amortization</t>
  </si>
  <si>
    <t>Goodwill impairment charges</t>
  </si>
  <si>
    <t>Total operating costs and expenses, net</t>
  </si>
  <si>
    <t>Operating income</t>
  </si>
  <si>
    <t>Interest expense, net</t>
  </si>
  <si>
    <t>Other nonoperating income, net</t>
  </si>
  <si>
    <t>Net income before income taxes</t>
  </si>
  <si>
    <t>Provision for income taxes</t>
  </si>
  <si>
    <t>Net income</t>
  </si>
  <si>
    <t>Costs of company restaurant sales:</t>
  </si>
  <si>
    <t>Total costs of company restaurant sales</t>
  </si>
  <si>
    <t xml:space="preserve">Costs of franchise and license revenue </t>
  </si>
  <si>
    <t>Operating (gains), losses and other charges, net</t>
  </si>
  <si>
    <t>Earnings per Share</t>
  </si>
  <si>
    <t>Diluted</t>
  </si>
  <si>
    <t xml:space="preserve">Basic </t>
  </si>
  <si>
    <t>Weighted Average Shares Outstanding</t>
  </si>
  <si>
    <t>Assets</t>
  </si>
  <si>
    <t>Current assets:</t>
  </si>
  <si>
    <t>Cash and cash equivalents</t>
  </si>
  <si>
    <t>Investments</t>
  </si>
  <si>
    <t>Receivables, net</t>
  </si>
  <si>
    <t>Inventories</t>
  </si>
  <si>
    <t>Assets held for sale</t>
  </si>
  <si>
    <t>Prepaid and other current assets</t>
  </si>
  <si>
    <t>Total current assets</t>
  </si>
  <si>
    <t>Operating lease right-of-use assets, net</t>
  </si>
  <si>
    <t>Goodwill</t>
  </si>
  <si>
    <t>Intangible assets, net</t>
  </si>
  <si>
    <t>Deferred financing costs, net</t>
  </si>
  <si>
    <t>Other noncurrent assets</t>
  </si>
  <si>
    <t>Total assets</t>
  </si>
  <si>
    <t>Liabilities</t>
  </si>
  <si>
    <t>Current liabilities:</t>
  </si>
  <si>
    <t>Current finance lease liabilities</t>
  </si>
  <si>
    <t>Current operating lease liabilities</t>
  </si>
  <si>
    <t>Accounts payable</t>
  </si>
  <si>
    <t>Other current liabilities</t>
  </si>
  <si>
    <t>Total current liabilities</t>
  </si>
  <si>
    <t>Long-term debt</t>
  </si>
  <si>
    <t>Noncurrent finance lease liabilities</t>
  </si>
  <si>
    <t>Noncurrent operating lease liabilities</t>
  </si>
  <si>
    <t>Liability for insurance claims, less current portion</t>
  </si>
  <si>
    <t>Deferred income taxes, net</t>
  </si>
  <si>
    <t>Other noncurrent liabilities</t>
  </si>
  <si>
    <t>Total long-term liabilities</t>
  </si>
  <si>
    <t>Total liabilities</t>
  </si>
  <si>
    <t>Shareholders' deficit</t>
  </si>
  <si>
    <t>Paid-in capital</t>
  </si>
  <si>
    <t>Deficit</t>
  </si>
  <si>
    <t>Accumulated other comprehensive loss, net</t>
  </si>
  <si>
    <t>Total shareholders' deficit</t>
  </si>
  <si>
    <t>Total liabilities and shareholders' deficit</t>
  </si>
  <si>
    <t xml:space="preserve">Property, net of accumulated depreciation </t>
  </si>
  <si>
    <t>Financing lease right-of-use assets, net</t>
  </si>
  <si>
    <t>Common Stock</t>
  </si>
  <si>
    <t>Treasury stock</t>
  </si>
  <si>
    <t>Historicals</t>
  </si>
  <si>
    <t>Historicals / Forecast</t>
  </si>
  <si>
    <t>Month / Year (A/E)</t>
  </si>
  <si>
    <t xml:space="preserve">Denny's </t>
  </si>
  <si>
    <t>Keke's</t>
  </si>
  <si>
    <t>Others (Keke's)</t>
  </si>
  <si>
    <t>Royalties</t>
  </si>
  <si>
    <t>Advertising revenue</t>
  </si>
  <si>
    <t>Company restaurant sales:</t>
  </si>
  <si>
    <t>Total company restaurant sales</t>
  </si>
  <si>
    <t>Initial and other fees</t>
  </si>
  <si>
    <t>Occupancy revenue</t>
  </si>
  <si>
    <t>Franchise and license revenue:</t>
  </si>
  <si>
    <t>Total Franchise and license revenue</t>
  </si>
  <si>
    <t>Total</t>
  </si>
  <si>
    <t xml:space="preserve">Analysis </t>
  </si>
  <si>
    <t>Company-owned restaurants</t>
  </si>
  <si>
    <t>Franchised restaurants</t>
  </si>
  <si>
    <t>Total no. of restaurants</t>
  </si>
  <si>
    <t>22A - 24A</t>
  </si>
  <si>
    <t>25E - 29E</t>
  </si>
  <si>
    <t>Products sold in restaurants are affected by commodity pricing and are subject to price volatility. (PPIACO)</t>
  </si>
  <si>
    <t>Total Revenue</t>
  </si>
  <si>
    <t>Total revenue from Denny's</t>
  </si>
  <si>
    <t>Total revenue from Keke's</t>
  </si>
  <si>
    <t>Senarios</t>
  </si>
  <si>
    <t>Optimistic</t>
  </si>
  <si>
    <t>Pessimistic</t>
  </si>
  <si>
    <t>(In $ thousands, except per share amounts)</t>
  </si>
  <si>
    <t>Growth (YoY %)</t>
  </si>
  <si>
    <t>Total human capital</t>
  </si>
  <si>
    <r>
      <t xml:space="preserve">Cost forecast </t>
    </r>
    <r>
      <rPr>
        <b/>
        <i/>
        <sz val="11"/>
        <color theme="1"/>
        <rFont val="Aptos"/>
        <family val="2"/>
      </rPr>
      <t>($ thousands)</t>
    </r>
  </si>
  <si>
    <t>Revenue Forecast ($ thousands)</t>
  </si>
  <si>
    <t>Product costs per restaurant</t>
  </si>
  <si>
    <t>Average Hourly Earnings of All Employees ($/Hr)</t>
  </si>
  <si>
    <t>Average Yearly Earnings ($)</t>
  </si>
  <si>
    <t xml:space="preserve">8-hour shift, 26 days a month, 12-months an year including benefits </t>
  </si>
  <si>
    <t>The average hourly earnings in calculated using average of all the payroll and benefits of employees in an restaurant</t>
  </si>
  <si>
    <t>Total human capital per year is linked to an increase in % of total restaurants per year</t>
  </si>
  <si>
    <t>Advertising costs</t>
  </si>
  <si>
    <t>Occupancy costs</t>
  </si>
  <si>
    <t>Other direct costs</t>
  </si>
  <si>
    <t>Advertising costs per Franchised store</t>
  </si>
  <si>
    <t>Occupancy costs per Franchised store</t>
  </si>
  <si>
    <t>Other direct costs per Franchised store</t>
  </si>
  <si>
    <t>Total costs of franchise and license rev.</t>
  </si>
  <si>
    <t>G&amp;A / Revenue (%)</t>
  </si>
  <si>
    <t>Occupancy cost / Occupancy Rev. (%)</t>
  </si>
  <si>
    <t>Other operating expenses / Revenue (%)</t>
  </si>
  <si>
    <t>Payroll per Employees ($)</t>
  </si>
  <si>
    <t xml:space="preserve">Costs of franchise &amp; license costs are linked to the % YoY growth in no. of franchised stores </t>
  </si>
  <si>
    <t>Income taxes / PBT (%)</t>
  </si>
  <si>
    <t>(Producer Price Index by Commodity: All Commodities)</t>
  </si>
  <si>
    <t>Occupancy costs linked to occupancy revenue</t>
  </si>
  <si>
    <t>Other operating costs linked to total revenue</t>
  </si>
  <si>
    <t>Check</t>
  </si>
  <si>
    <t>Producer commodity prices</t>
  </si>
  <si>
    <t xml:space="preserve">Property, plant and equipment </t>
  </si>
  <si>
    <t>Opening balance of Gross PP&amp;E</t>
  </si>
  <si>
    <t>PP&amp;E and intangibles</t>
  </si>
  <si>
    <t>PP&amp;E and Intangible schedule</t>
  </si>
  <si>
    <t>Additons to PP&amp;E</t>
  </si>
  <si>
    <t>Disposal of PP&amp;E</t>
  </si>
  <si>
    <t>Closing balance of Gross PP&amp;E</t>
  </si>
  <si>
    <t>Closing balance of Net, PP&amp;E</t>
  </si>
  <si>
    <t>Depreciation of PP&amp;E</t>
  </si>
  <si>
    <t>CapEx as a % of Revenue</t>
  </si>
  <si>
    <t xml:space="preserve">Intangible Assets </t>
  </si>
  <si>
    <t>Opening balance of Intangible assets</t>
  </si>
  <si>
    <t xml:space="preserve">Additions to intangibles </t>
  </si>
  <si>
    <t>Closing balance of Intangible assets</t>
  </si>
  <si>
    <t>Closing balance of Net, Intangibles</t>
  </si>
  <si>
    <t>CapEx related to PP&amp;E</t>
  </si>
  <si>
    <t>Depreciation as a % of Gross closing PP&amp;E</t>
  </si>
  <si>
    <t>CapEx related to intangibles</t>
  </si>
  <si>
    <t>Intangible assets with indefinte life</t>
  </si>
  <si>
    <t>Intangible assets with definte life</t>
  </si>
  <si>
    <t>Less: Accumulated amortization</t>
  </si>
  <si>
    <t>Less: Accumulated depreciation</t>
  </si>
  <si>
    <t>Amortization of Intangibles (existing)</t>
  </si>
  <si>
    <t>Amortization of Intangibles (new)</t>
  </si>
  <si>
    <t>Total Amortization of Intangibles</t>
  </si>
  <si>
    <t>Other non-current assets</t>
  </si>
  <si>
    <t>Opening balance of NCA</t>
  </si>
  <si>
    <t>Additons to NCA</t>
  </si>
  <si>
    <t>Closing balance of NCA</t>
  </si>
  <si>
    <t>Less: Amortization of NCA</t>
  </si>
  <si>
    <t>Current assets</t>
  </si>
  <si>
    <t>Current liabilities</t>
  </si>
  <si>
    <t>Turnover ratio</t>
  </si>
  <si>
    <t>Prepaid and other current as a % of revenue</t>
  </si>
  <si>
    <t>Other current liabilities as a % of revenue</t>
  </si>
  <si>
    <t>Other noncurrent liabilities as a % of revenue</t>
  </si>
  <si>
    <t>Issuance of new debt</t>
  </si>
  <si>
    <t>Closing balance of debt</t>
  </si>
  <si>
    <t>Opening balance of debt</t>
  </si>
  <si>
    <t>Interst Expenses</t>
  </si>
  <si>
    <t>Interest rate</t>
  </si>
  <si>
    <t>SOFR + 2.25%</t>
  </si>
  <si>
    <t>Cash Flow Statement</t>
  </si>
  <si>
    <t>Add/Less: Non-cash items</t>
  </si>
  <si>
    <t>Depreciation &amp; Amortization</t>
  </si>
  <si>
    <t>Opening balance of deficit</t>
  </si>
  <si>
    <t>Add: Net Income</t>
  </si>
  <si>
    <t>Closing balance of deficit</t>
  </si>
  <si>
    <t>Opening balance of Paid in Capital</t>
  </si>
  <si>
    <t>Add: Share Based compensation</t>
  </si>
  <si>
    <t>Closing balance of Paid in Capital</t>
  </si>
  <si>
    <t>Share based compensation as a % of PAT</t>
  </si>
  <si>
    <t>Less: Dividends Paid</t>
  </si>
  <si>
    <t>Share-based compensation</t>
  </si>
  <si>
    <t>Change in working capital</t>
  </si>
  <si>
    <t>Receivables</t>
  </si>
  <si>
    <t>Cash flow from operating activities</t>
  </si>
  <si>
    <t>Interest expenses</t>
  </si>
  <si>
    <t>Purchases for PP&amp;E</t>
  </si>
  <si>
    <t>Additions to Intangibles</t>
  </si>
  <si>
    <t>Cash flow from investing activities</t>
  </si>
  <si>
    <t>Revolver</t>
  </si>
  <si>
    <t>Repayment of Long-term debt</t>
  </si>
  <si>
    <t>Payments of dividends issued for the year</t>
  </si>
  <si>
    <t>Cash flow from financing activities</t>
  </si>
  <si>
    <t>Net cash flow for the year</t>
  </si>
  <si>
    <t>Cash at the beginning of the year</t>
  </si>
  <si>
    <t>Cash at the end of the year</t>
  </si>
  <si>
    <t>Beginning revolver balance</t>
  </si>
  <si>
    <t>Closing revolver balance</t>
  </si>
  <si>
    <t>Less: Repayment of debt</t>
  </si>
  <si>
    <t>Less: Repayment of revolver debt</t>
  </si>
  <si>
    <t>SOFR Curve</t>
  </si>
  <si>
    <t xml:space="preserve"> </t>
  </si>
  <si>
    <t>Cash flow before debt repayment</t>
  </si>
  <si>
    <t>Less: Minimum cash balance</t>
  </si>
  <si>
    <t>Cash flow available for debt</t>
  </si>
  <si>
    <t xml:space="preserve">Draw on revolver </t>
  </si>
  <si>
    <t>Less: Repayment of Long-term Debt</t>
  </si>
  <si>
    <t>Less: Payment of interest expenses</t>
  </si>
  <si>
    <t>Net cash after debt repayment</t>
  </si>
  <si>
    <t>Interest expenses on revolver</t>
  </si>
  <si>
    <t>SOFR + 1.25%</t>
  </si>
  <si>
    <t>Revolver draw (Repayment)</t>
  </si>
  <si>
    <t>Additions (Disposal) to NCA</t>
  </si>
  <si>
    <t>Company name</t>
  </si>
  <si>
    <t xml:space="preserve">Share price </t>
  </si>
  <si>
    <t>Diluted Shares</t>
  </si>
  <si>
    <t>Equity Value</t>
  </si>
  <si>
    <t xml:space="preserve">Debt </t>
  </si>
  <si>
    <t xml:space="preserve">Cash </t>
  </si>
  <si>
    <t>Enterprise Value</t>
  </si>
  <si>
    <t xml:space="preserve">Revenue </t>
  </si>
  <si>
    <t>Net Income</t>
  </si>
  <si>
    <t>EV/Revenue</t>
  </si>
  <si>
    <t>EV/EBITDA</t>
  </si>
  <si>
    <t>P/E Multiple</t>
  </si>
  <si>
    <t>Dine Brands Global, Inc.</t>
  </si>
  <si>
    <t>IHP.F</t>
  </si>
  <si>
    <t>(In $ Millions, except per share amounts and shares outstanding)</t>
  </si>
  <si>
    <r>
      <t xml:space="preserve">Comparable companies - US-based operating family-style dine-in &amp; QSR's </t>
    </r>
    <r>
      <rPr>
        <b/>
        <i/>
        <sz val="10"/>
        <color theme="1"/>
        <rFont val="Aptos"/>
        <family val="2"/>
      </rPr>
      <t>(In $ Millions)</t>
    </r>
  </si>
  <si>
    <t>Cracker Barrel Old Country Store, Inc.</t>
  </si>
  <si>
    <t>CBRL</t>
  </si>
  <si>
    <t>Texas Roadhouse, Inc.</t>
  </si>
  <si>
    <t>TXRH</t>
  </si>
  <si>
    <t>Brinker International, Inc.</t>
  </si>
  <si>
    <t>EAT</t>
  </si>
  <si>
    <t>Darden Restaurants, Inc.</t>
  </si>
  <si>
    <t>DRI</t>
  </si>
  <si>
    <t>Papa John's International, Inc.</t>
  </si>
  <si>
    <t>PZZA</t>
  </si>
  <si>
    <t>Other noncurrent assets as a % of revenue</t>
  </si>
  <si>
    <t xml:space="preserve">Amortization of NCA </t>
  </si>
  <si>
    <t>Amortization of NCA as a % of NCA</t>
  </si>
  <si>
    <t>Maxminum</t>
  </si>
  <si>
    <t>Median</t>
  </si>
  <si>
    <t>25th percentile</t>
  </si>
  <si>
    <t>Minimum</t>
  </si>
  <si>
    <t>75th percentile</t>
  </si>
  <si>
    <t>Valuation statistics</t>
  </si>
  <si>
    <t>Company Comparables</t>
  </si>
  <si>
    <t>Tax Rate</t>
  </si>
  <si>
    <t>Levered Beta</t>
  </si>
  <si>
    <t>Un-Levered Beta</t>
  </si>
  <si>
    <t>Average</t>
  </si>
  <si>
    <t>Cost of Debt</t>
  </si>
  <si>
    <t>Pre-Tax Cost of debt</t>
  </si>
  <si>
    <t>Post-Tax Cost of debt</t>
  </si>
  <si>
    <t>Cost of Equity</t>
  </si>
  <si>
    <t>Risk free rate</t>
  </si>
  <si>
    <t>Equity risk premium</t>
  </si>
  <si>
    <t>Country risk</t>
  </si>
  <si>
    <t>Weighted average cost of capital</t>
  </si>
  <si>
    <t>Denny's Diner</t>
  </si>
  <si>
    <t>Add: Share-based compensation</t>
  </si>
  <si>
    <t>(Except for the dashboard, and others)</t>
  </si>
  <si>
    <t>LBO Model</t>
  </si>
  <si>
    <t>Transaction Assumptions</t>
  </si>
  <si>
    <t>Current share price:</t>
  </si>
  <si>
    <t>Offer premium:</t>
  </si>
  <si>
    <t>Offer price per share:</t>
  </si>
  <si>
    <t>Leverage ratio:</t>
  </si>
  <si>
    <t>Equity purchase price:</t>
  </si>
  <si>
    <t>Enterprise value:</t>
  </si>
  <si>
    <t>EBITDA purchase multiple:</t>
  </si>
  <si>
    <t>Debt required:</t>
  </si>
  <si>
    <t>Equity used:</t>
  </si>
  <si>
    <t>EBITDA exit multiple:</t>
  </si>
  <si>
    <t>Purchase price calculation</t>
  </si>
  <si>
    <t>Basic equity value:</t>
  </si>
  <si>
    <t>Basic shares outstanding:</t>
  </si>
  <si>
    <t>Diluted shares outstanding:</t>
  </si>
  <si>
    <t>Diluted equity value:</t>
  </si>
  <si>
    <t>Less: Cash &amp; cash equivalents:</t>
  </si>
  <si>
    <t>Add: Other liabilities:</t>
  </si>
  <si>
    <t>Add: Preferred stock:</t>
  </si>
  <si>
    <t>Add: Minority interest:</t>
  </si>
  <si>
    <t>Add: Debt:</t>
  </si>
  <si>
    <t>Financing fee (%):</t>
  </si>
  <si>
    <t>Advisory fee (%):</t>
  </si>
  <si>
    <t>Legal &amp; Misc. fees (%):</t>
  </si>
  <si>
    <t>Debt Assumptions</t>
  </si>
  <si>
    <t>Term Loan A (%):</t>
  </si>
  <si>
    <t>Term Loan B (%):</t>
  </si>
  <si>
    <t>Subordinated debt (%):</t>
  </si>
  <si>
    <t>Mezzanine finance (%):</t>
  </si>
  <si>
    <t>Debt Required:</t>
  </si>
  <si>
    <t>Revolver:</t>
  </si>
  <si>
    <t>Term Loan A :</t>
  </si>
  <si>
    <t>Term Loan B :</t>
  </si>
  <si>
    <t>Subordinated debt :</t>
  </si>
  <si>
    <t>Mezzanine finance :</t>
  </si>
  <si>
    <t>Principal repayment (%)</t>
  </si>
  <si>
    <t>Interest rates (%)</t>
  </si>
  <si>
    <t>SOFR + 300</t>
  </si>
  <si>
    <t>SOFR + 400</t>
  </si>
  <si>
    <t>SOFR + 150</t>
  </si>
  <si>
    <t>N/A</t>
  </si>
  <si>
    <t>Sources &amp; Uses</t>
  </si>
  <si>
    <t>Sources</t>
  </si>
  <si>
    <t>Uses</t>
  </si>
  <si>
    <t>Excess cash:</t>
  </si>
  <si>
    <t>Term Loan A:</t>
  </si>
  <si>
    <t>Total Sources</t>
  </si>
  <si>
    <t>Equity Value of Company:</t>
  </si>
  <si>
    <t>Total Uses</t>
  </si>
  <si>
    <t>Investor equity:</t>
  </si>
  <si>
    <t>Advisory fee :</t>
  </si>
  <si>
    <t>Legal &amp; Misc. fees :</t>
  </si>
  <si>
    <t>Debit</t>
  </si>
  <si>
    <t>Credit</t>
  </si>
  <si>
    <t>Revenue</t>
  </si>
  <si>
    <t>Costs of company restaurant sales</t>
  </si>
  <si>
    <t>Historical</t>
  </si>
  <si>
    <t>Transaction Adjustments</t>
  </si>
  <si>
    <t>Minimum Cash Balance:</t>
  </si>
  <si>
    <t>Initial Cash Balance:</t>
  </si>
  <si>
    <t>Goodwill Creation &amp; Balance sheet Adjustments</t>
  </si>
  <si>
    <t>Goodwill calculation</t>
  </si>
  <si>
    <t>Equity purchase value:</t>
  </si>
  <si>
    <t>Less: Seller book value:</t>
  </si>
  <si>
    <t>Total allocable purchase premium:</t>
  </si>
  <si>
    <t>Add: Write-off of existing goodwill:</t>
  </si>
  <si>
    <t>Fixed asset-write up</t>
  </si>
  <si>
    <t>PP&amp;E write-up (%):</t>
  </si>
  <si>
    <t>PP&amp;E write-up amount:</t>
  </si>
  <si>
    <t>Depreciation period (Years):</t>
  </si>
  <si>
    <t>Intangible asset-write up</t>
  </si>
  <si>
    <t>Purchase price to allocate:</t>
  </si>
  <si>
    <t>% allocated to intangibles:</t>
  </si>
  <si>
    <t>Intangilbes write-up amount:</t>
  </si>
  <si>
    <t>Amortization period (Years):</t>
  </si>
  <si>
    <t>Less: Write-up of PP&amp;E:</t>
  </si>
  <si>
    <t>Less: Write-up of Intangibles:</t>
  </si>
  <si>
    <t>Less: Write-up of DTL:</t>
  </si>
  <si>
    <t>Add: New Deferred tax liabilities:</t>
  </si>
  <si>
    <t>Total goodwill created:</t>
  </si>
  <si>
    <t>Financing fees amortization period:</t>
  </si>
  <si>
    <t>New deferred tax liability:</t>
  </si>
  <si>
    <t>Income Statement</t>
  </si>
  <si>
    <t>Balance Sheet</t>
  </si>
  <si>
    <t>Tax Rate:</t>
  </si>
  <si>
    <t>Denny's Diner LBO model as of FY 2025</t>
  </si>
  <si>
    <t>Capitalised Financing fees</t>
  </si>
  <si>
    <t>Deferred tax liability</t>
  </si>
  <si>
    <t>Sponsor Common Equity</t>
  </si>
  <si>
    <t>*</t>
  </si>
  <si>
    <t>Depreciation of PP&amp;E Write-Up:</t>
  </si>
  <si>
    <t>New Intangibles Amortization:</t>
  </si>
  <si>
    <t>Amortization of Financing Fees:</t>
  </si>
  <si>
    <t>Accrual of Mezzanine:</t>
  </si>
  <si>
    <t>* capex as a % of revenue (3%)</t>
  </si>
  <si>
    <t>Capitalised Financing fee :</t>
  </si>
  <si>
    <t>Additon (disposal) of NCA</t>
  </si>
  <si>
    <t>*add share based compensation</t>
  </si>
  <si>
    <t>*add net income and less dividends paid</t>
  </si>
  <si>
    <t>Interest rate assumption</t>
  </si>
  <si>
    <t>SOFR</t>
  </si>
  <si>
    <t>Int. Rate</t>
  </si>
  <si>
    <t>SOFR curve:</t>
  </si>
  <si>
    <t>Interest Income (Expenses) Calculation</t>
  </si>
  <si>
    <t>Cash:</t>
  </si>
  <si>
    <t>Effective cash interest rate:</t>
  </si>
  <si>
    <t>Net Interest Income (Expenses)</t>
  </si>
  <si>
    <t>Source of funds</t>
  </si>
  <si>
    <t>Beginning cash balance</t>
  </si>
  <si>
    <t>Add: Cash flow available for debt payments</t>
  </si>
  <si>
    <t>Subtotal before Revolver</t>
  </si>
  <si>
    <t>Revolver borrowing required</t>
  </si>
  <si>
    <t>Total source of funds</t>
  </si>
  <si>
    <t>Use of funds</t>
  </si>
  <si>
    <t>Mandatory debt payments</t>
  </si>
  <si>
    <t>Optional debt payments</t>
  </si>
  <si>
    <t>Long-term Debt:</t>
  </si>
  <si>
    <t>Cash generated on balance sheet</t>
  </si>
  <si>
    <t>Total use of funds</t>
  </si>
  <si>
    <t>Purchases on CapEx (New)</t>
  </si>
  <si>
    <t>Long-term debt (Existing)</t>
  </si>
  <si>
    <t>Investor Returns</t>
  </si>
  <si>
    <t>EBITDA Multiple</t>
  </si>
  <si>
    <t>Investor return</t>
  </si>
  <si>
    <t>IRR:</t>
  </si>
  <si>
    <t>Sensitivity Analysis - 5-Year IRR and Purchase Premium vs. Exit Multiple</t>
  </si>
  <si>
    <t>Exit Multiple</t>
  </si>
  <si>
    <t>Purchase Premium / Per Share Price</t>
  </si>
  <si>
    <t>Sensitivity Analysis - 5-Year IRR and Purchase Premium vs. Leverage ratio</t>
  </si>
  <si>
    <t>Leverage Ratio</t>
  </si>
  <si>
    <t>Weightage</t>
  </si>
  <si>
    <t>Equity</t>
  </si>
  <si>
    <t>Debt</t>
  </si>
  <si>
    <t xml:space="preserve">Total </t>
  </si>
  <si>
    <t>Dicount Rate</t>
  </si>
  <si>
    <t>Terminal Value</t>
  </si>
  <si>
    <t>PV of Cash Flows</t>
  </si>
  <si>
    <t>Add: Investments &amp; Securities</t>
  </si>
  <si>
    <t>No. of Shares</t>
  </si>
  <si>
    <t>Price per Share</t>
  </si>
  <si>
    <t xml:space="preserve">Current Price </t>
  </si>
  <si>
    <t>Discount | (Premium)</t>
  </si>
  <si>
    <t>Implied Price per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</si>
</sst>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5" formatCode="&quot;₹&quot;\ #,##0;&quot;₹&quot;\ \-#,##0"/>
    <numFmt numFmtId="43" formatCode="_ * #,##0.00_ ;_ * \-#,##0.00_ ;_ * &quot;-&quot;??_ ;_ @_ "/>
    <numFmt numFmtId="164" formatCode="_ * #,##0.0_ ;_ * \-#,##0.0_ ;_ * &quot;-&quot;??_ ;_ @_ "/>
    <numFmt numFmtId="165" formatCode="mmm/yy\ \A"/>
    <numFmt numFmtId="166" formatCode="mmm/yy\ \E"/>
    <numFmt numFmtId="167" formatCode="#,##0.0"/>
    <numFmt numFmtId="168" formatCode="#,##0;\(#,##0\);\ \-"/>
    <numFmt numFmtId="169" formatCode="0.0%"/>
    <numFmt numFmtId="171" formatCode="0.0"/>
    <numFmt numFmtId="172" formatCode="dd\ mmmm\ yyyy"/>
    <numFmt numFmtId="173" formatCode="&quot;FY&quot;\ yyyy\ &quot;A&quot;"/>
    <numFmt numFmtId="174" formatCode="&quot;FY&quot;\ yyyy\ &quot;E&quot;"/>
    <numFmt numFmtId="175" formatCode="#,##0.00;\(#,##0.00\);\ \-"/>
    <numFmt numFmtId="177" formatCode="_-[$$-409]* #,##0.00_ ;_-[$$-409]* \-#,##0.00\ ;_-[$$-409]* &quot;-&quot;??_ ;_-@_ "/>
    <numFmt numFmtId="178" formatCode="_-[$$-409]* #,##0_ ;_-[$$-409]* \-#,##0\ ;_-[$$-409]* &quot;-&quot;??_ ;_-@_ "/>
    <numFmt numFmtId="179" formatCode="0.00\ \x"/>
    <numFmt numFmtId="180" formatCode="_-[$$-409]* #,##0_ ;_-[$$-409]* \(#,##0\)\ ;_-[$$-409]* &quot;-&quot;_ ;_-@_ "/>
    <numFmt numFmtId="181" formatCode="0.0E+00"/>
    <numFmt numFmtId="182" formatCode="0.0%;\(0.0%\)"/>
    <numFmt numFmtId="183" formatCode="_(&quot;$&quot;* #,##0.00_);_(&quot;$&quot;* \(#,##0.00\);_(&quot;$&quot;* &quot;-&quot;??_);_(@_)"/>
    <numFmt numFmtId="184" formatCode="0.0\ \x"/>
    <numFmt numFmtId="191" formatCode="_ * #,##0_ ;_ * \-#,##0_ ;_ * &quot;-&quot;??_ ;_ @_ "/>
  </numFmts>
  <fonts count="56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sz val="11"/>
      <color theme="0"/>
      <name val="Arial"/>
      <family val="2"/>
    </font>
    <font>
      <sz val="11"/>
      <color rgb="FFFF0000"/>
      <name val="Calibri"/>
      <family val="2"/>
    </font>
    <font>
      <sz val="10"/>
      <color rgb="FF0000FF"/>
      <name val="Arial"/>
      <family val="2"/>
    </font>
    <font>
      <u/>
      <sz val="11"/>
      <color theme="10"/>
      <name val="Calibri"/>
      <family val="2"/>
    </font>
    <font>
      <b/>
      <sz val="11"/>
      <color theme="3"/>
      <name val="Calibri"/>
      <family val="2"/>
    </font>
    <font>
      <sz val="18"/>
      <color rgb="FF001440"/>
      <name val="Arial Black"/>
      <family val="2"/>
    </font>
    <font>
      <sz val="10"/>
      <color theme="1"/>
      <name val="Aptos"/>
      <family val="2"/>
    </font>
    <font>
      <sz val="8"/>
      <color theme="1"/>
      <name val="Aptos"/>
      <family val="2"/>
    </font>
    <font>
      <b/>
      <sz val="12"/>
      <color theme="0"/>
      <name val="Aptos"/>
      <family val="2"/>
    </font>
    <font>
      <b/>
      <sz val="10"/>
      <color theme="0"/>
      <name val="Aptos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b/>
      <u/>
      <sz val="10"/>
      <color theme="1"/>
      <name val="Aptos"/>
      <family val="2"/>
    </font>
    <font>
      <sz val="11"/>
      <color rgb="FFFF0000"/>
      <name val="Aptos"/>
      <family val="2"/>
    </font>
    <font>
      <b/>
      <sz val="10"/>
      <color theme="1"/>
      <name val="Aptos"/>
      <family val="2"/>
    </font>
    <font>
      <b/>
      <sz val="10"/>
      <color theme="3"/>
      <name val="Aptos"/>
      <family val="2"/>
    </font>
    <font>
      <sz val="11"/>
      <color rgb="FF0000FF"/>
      <name val="Aptos"/>
      <family val="2"/>
    </font>
    <font>
      <sz val="11"/>
      <color rgb="FF00B000"/>
      <name val="Aptos"/>
      <family val="2"/>
    </font>
    <font>
      <sz val="11"/>
      <color theme="0"/>
      <name val="Aptos"/>
      <family val="2"/>
    </font>
    <font>
      <b/>
      <sz val="9"/>
      <color theme="0"/>
      <name val="Aptos"/>
      <family val="2"/>
    </font>
    <font>
      <sz val="10"/>
      <color theme="0"/>
      <name val="Aptos"/>
      <family val="2"/>
    </font>
    <font>
      <b/>
      <sz val="11"/>
      <color theme="0"/>
      <name val="Aptos"/>
      <family val="2"/>
    </font>
    <font>
      <u/>
      <sz val="11"/>
      <color theme="10"/>
      <name val="Aptos"/>
      <family val="2"/>
    </font>
    <font>
      <i/>
      <sz val="10"/>
      <color theme="1"/>
      <name val="Aptos"/>
      <family val="2"/>
    </font>
    <font>
      <sz val="9"/>
      <color theme="0"/>
      <name val="Aptos"/>
      <family val="2"/>
    </font>
    <font>
      <sz val="10"/>
      <color rgb="FF232526"/>
      <name val="Aptos"/>
      <family val="2"/>
    </font>
    <font>
      <sz val="11"/>
      <color rgb="FF232526"/>
      <name val="Aptos"/>
      <family val="2"/>
    </font>
    <font>
      <b/>
      <i/>
      <sz val="10"/>
      <color theme="1"/>
      <name val="Aptos"/>
      <family val="2"/>
    </font>
    <font>
      <b/>
      <sz val="11"/>
      <color rgb="FFD91400"/>
      <name val="Aptos"/>
      <family val="2"/>
    </font>
    <font>
      <b/>
      <sz val="11"/>
      <color rgb="FF007C32"/>
      <name val="Aptos"/>
      <family val="2"/>
    </font>
    <font>
      <i/>
      <sz val="10"/>
      <color theme="0"/>
      <name val="Aptos"/>
      <family val="2"/>
    </font>
    <font>
      <u/>
      <sz val="10"/>
      <color theme="10"/>
      <name val="Aptos"/>
      <family val="2"/>
    </font>
    <font>
      <sz val="18"/>
      <color rgb="FF00006C"/>
      <name val="Aptos"/>
      <family val="2"/>
    </font>
    <font>
      <b/>
      <sz val="9"/>
      <color theme="1"/>
      <name val="Aptos"/>
      <family val="2"/>
    </font>
    <font>
      <sz val="9"/>
      <color theme="1"/>
      <name val="Aptos"/>
      <family val="2"/>
    </font>
    <font>
      <b/>
      <sz val="8"/>
      <color theme="1"/>
      <name val="Aptos"/>
      <family val="2"/>
    </font>
    <font>
      <i/>
      <sz val="7"/>
      <color theme="1"/>
      <name val="Aptos"/>
      <family val="2"/>
    </font>
    <font>
      <i/>
      <sz val="10"/>
      <color theme="0" tint="-0.14999847407452621"/>
      <name val="Aptos"/>
      <family val="2"/>
    </font>
    <font>
      <sz val="10"/>
      <color theme="1"/>
      <name val="Calibri"/>
      <family val="2"/>
    </font>
    <font>
      <b/>
      <i/>
      <sz val="11"/>
      <color theme="1"/>
      <name val="Aptos"/>
      <family val="2"/>
    </font>
    <font>
      <i/>
      <sz val="10"/>
      <color theme="1"/>
      <name val="Calibri"/>
      <family val="2"/>
    </font>
    <font>
      <b/>
      <sz val="10"/>
      <color rgb="FF232526"/>
      <name val="Aptos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rgb="FF00B000"/>
      <name val="Calibri"/>
      <family val="2"/>
    </font>
    <font>
      <sz val="11"/>
      <color rgb="FF0000FF"/>
      <name val="Calibri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1"/>
      <color rgb="FF0000FF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1440"/>
        <bgColor indexed="64"/>
      </patternFill>
    </fill>
    <fill>
      <patternFill patternType="solid">
        <fgColor rgb="FF00004D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4FFAF"/>
        <bgColor rgb="FFF4FFAF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darkTrellis">
        <fgColor rgb="FF00006C"/>
        <bgColor rgb="FF00144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1" tint="4.9989318521683403E-2"/>
      </bottom>
      <diagonal/>
    </border>
    <border>
      <left/>
      <right/>
      <top style="thick">
        <color theme="1" tint="4.9989318521683403E-2"/>
      </top>
      <bottom/>
      <diagonal/>
    </border>
    <border>
      <left/>
      <right/>
      <top/>
      <bottom style="thin">
        <color theme="1" tint="4.9989318521683403E-2"/>
      </bottom>
      <diagonal/>
    </border>
    <border>
      <left style="thin">
        <color theme="1" tint="4.9989318521683403E-2"/>
      </left>
      <right/>
      <top/>
      <bottom/>
      <diagonal/>
    </border>
    <border>
      <left/>
      <right/>
      <top style="thin">
        <color theme="1" tint="4.9989318521683403E-2"/>
      </top>
      <bottom/>
      <diagonal/>
    </border>
    <border>
      <left style="thin">
        <color theme="1" tint="4.9989318521683403E-2"/>
      </left>
      <right/>
      <top style="thick">
        <color theme="1" tint="4.9989318521683403E-2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3" applyNumberFormat="0" applyFont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7" fontId="7" fillId="6" borderId="0"/>
    <xf numFmtId="0" fontId="8" fillId="0" borderId="0" applyNumberFormat="0" applyFill="0" applyBorder="0" applyAlignment="0" applyProtection="0"/>
    <xf numFmtId="0" fontId="9" fillId="0" borderId="20" applyNumberFormat="0" applyFill="0" applyAlignment="0" applyProtection="0"/>
    <xf numFmtId="0" fontId="10" fillId="0" borderId="0"/>
    <xf numFmtId="0" fontId="4" fillId="0" borderId="0"/>
    <xf numFmtId="0" fontId="52" fillId="0" borderId="0"/>
    <xf numFmtId="43" fontId="1" fillId="0" borderId="0" applyFont="0" applyFill="0" applyBorder="0" applyAlignment="0" applyProtection="0"/>
  </cellStyleXfs>
  <cellXfs count="432">
    <xf numFmtId="0" fontId="0" fillId="0" borderId="0" xfId="0"/>
    <xf numFmtId="0" fontId="4" fillId="0" borderId="0" xfId="0" applyFont="1"/>
    <xf numFmtId="0" fontId="5" fillId="4" borderId="0" xfId="0" applyFont="1" applyFill="1"/>
    <xf numFmtId="0" fontId="2" fillId="4" borderId="0" xfId="0" applyFont="1" applyFill="1"/>
    <xf numFmtId="0" fontId="3" fillId="4" borderId="0" xfId="0" applyFont="1" applyFill="1"/>
    <xf numFmtId="172" fontId="11" fillId="9" borderId="0" xfId="0" applyNumberFormat="1" applyFont="1" applyFill="1"/>
    <xf numFmtId="0" fontId="11" fillId="9" borderId="0" xfId="0" applyFont="1" applyFill="1"/>
    <xf numFmtId="172" fontId="11" fillId="9" borderId="0" xfId="0" applyNumberFormat="1" applyFont="1" applyFill="1" applyAlignment="1">
      <alignment horizontal="left"/>
    </xf>
    <xf numFmtId="172" fontId="12" fillId="9" borderId="0" xfId="0" applyNumberFormat="1" applyFont="1" applyFill="1" applyAlignment="1">
      <alignment horizontal="left"/>
    </xf>
    <xf numFmtId="0" fontId="4" fillId="0" borderId="0" xfId="8"/>
    <xf numFmtId="0" fontId="13" fillId="4" borderId="0" xfId="0" applyFont="1" applyFill="1"/>
    <xf numFmtId="0" fontId="14" fillId="3" borderId="0" xfId="0" applyFont="1" applyFill="1"/>
    <xf numFmtId="0" fontId="15" fillId="5" borderId="0" xfId="0" applyFont="1" applyFill="1"/>
    <xf numFmtId="0" fontId="16" fillId="5" borderId="0" xfId="0" applyFont="1" applyFill="1"/>
    <xf numFmtId="0" fontId="11" fillId="0" borderId="0" xfId="0" applyFont="1"/>
    <xf numFmtId="0" fontId="11" fillId="0" borderId="0" xfId="0" applyFont="1" applyAlignment="1">
      <alignment horizontal="center"/>
    </xf>
    <xf numFmtId="0" fontId="19" fillId="0" borderId="4" xfId="0" applyFont="1" applyBorder="1"/>
    <xf numFmtId="0" fontId="17" fillId="0" borderId="0" xfId="0" applyFont="1"/>
    <xf numFmtId="0" fontId="16" fillId="0" borderId="0" xfId="5" applyFont="1" applyBorder="1"/>
    <xf numFmtId="0" fontId="20" fillId="0" borderId="20" xfId="6" applyFont="1"/>
    <xf numFmtId="0" fontId="11" fillId="0" borderId="0" xfId="5" applyFont="1" applyAlignment="1">
      <alignment horizontal="left" indent="1"/>
    </xf>
    <xf numFmtId="0" fontId="20" fillId="0" borderId="20" xfId="6" applyFont="1" applyAlignment="1">
      <alignment horizontal="left"/>
    </xf>
    <xf numFmtId="0" fontId="16" fillId="0" borderId="0" xfId="0" applyFont="1"/>
    <xf numFmtId="0" fontId="16" fillId="0" borderId="0" xfId="0" applyFont="1" applyAlignment="1">
      <alignment wrapText="1"/>
    </xf>
    <xf numFmtId="0" fontId="13" fillId="3" borderId="0" xfId="0" applyFont="1" applyFill="1"/>
    <xf numFmtId="0" fontId="23" fillId="3" borderId="0" xfId="0" applyFont="1" applyFill="1"/>
    <xf numFmtId="0" fontId="24" fillId="3" borderId="0" xfId="0" applyFont="1" applyFill="1"/>
    <xf numFmtId="0" fontId="23" fillId="3" borderId="1" xfId="0" applyFont="1" applyFill="1" applyBorder="1"/>
    <xf numFmtId="0" fontId="25" fillId="3" borderId="0" xfId="0" applyFont="1" applyFill="1"/>
    <xf numFmtId="0" fontId="25" fillId="3" borderId="7" xfId="0" applyFont="1" applyFill="1" applyBorder="1"/>
    <xf numFmtId="165" fontId="14" fillId="3" borderId="14" xfId="0" applyNumberFormat="1" applyFont="1" applyFill="1" applyBorder="1"/>
    <xf numFmtId="165" fontId="14" fillId="3" borderId="0" xfId="0" applyNumberFormat="1" applyFont="1" applyFill="1"/>
    <xf numFmtId="166" fontId="14" fillId="3" borderId="14" xfId="0" applyNumberFormat="1" applyFont="1" applyFill="1" applyBorder="1"/>
    <xf numFmtId="166" fontId="14" fillId="3" borderId="8" xfId="0" applyNumberFormat="1" applyFont="1" applyFill="1" applyBorder="1"/>
    <xf numFmtId="15" fontId="14" fillId="3" borderId="14" xfId="0" applyNumberFormat="1" applyFont="1" applyFill="1" applyBorder="1" applyAlignment="1">
      <alignment horizontal="right"/>
    </xf>
    <xf numFmtId="0" fontId="14" fillId="3" borderId="8" xfId="0" applyFont="1" applyFill="1" applyBorder="1" applyAlignment="1">
      <alignment horizontal="right"/>
    </xf>
    <xf numFmtId="0" fontId="11" fillId="0" borderId="15" xfId="0" applyFont="1" applyBorder="1"/>
    <xf numFmtId="0" fontId="11" fillId="0" borderId="7" xfId="0" applyFont="1" applyBorder="1"/>
    <xf numFmtId="0" fontId="27" fillId="0" borderId="0" xfId="5" applyFont="1"/>
    <xf numFmtId="0" fontId="27" fillId="0" borderId="0" xfId="5" applyFont="1" applyAlignment="1">
      <alignment horizontal="left" indent="1"/>
    </xf>
    <xf numFmtId="0" fontId="23" fillId="5" borderId="0" xfId="0" applyFont="1" applyFill="1"/>
    <xf numFmtId="0" fontId="19" fillId="0" borderId="0" xfId="0" applyFont="1"/>
    <xf numFmtId="0" fontId="19" fillId="5" borderId="0" xfId="0" applyFont="1" applyFill="1"/>
    <xf numFmtId="0" fontId="11" fillId="0" borderId="0" xfId="8" applyFont="1"/>
    <xf numFmtId="0" fontId="27" fillId="5" borderId="0" xfId="5" applyFont="1" applyFill="1"/>
    <xf numFmtId="0" fontId="25" fillId="5" borderId="0" xfId="0" applyFont="1" applyFill="1"/>
    <xf numFmtId="0" fontId="11" fillId="5" borderId="0" xfId="0" applyFont="1" applyFill="1"/>
    <xf numFmtId="0" fontId="11" fillId="0" borderId="0" xfId="0" applyFont="1" applyAlignment="1">
      <alignment horizontal="left" indent="1"/>
    </xf>
    <xf numFmtId="168" fontId="11" fillId="0" borderId="0" xfId="0" applyNumberFormat="1" applyFont="1"/>
    <xf numFmtId="0" fontId="29" fillId="3" borderId="0" xfId="0" applyFont="1" applyFill="1"/>
    <xf numFmtId="14" fontId="30" fillId="7" borderId="0" xfId="0" applyNumberFormat="1" applyFont="1" applyFill="1" applyAlignment="1">
      <alignment horizontal="left" vertical="center"/>
    </xf>
    <xf numFmtId="4" fontId="11" fillId="7" borderId="0" xfId="0" applyNumberFormat="1" applyFont="1" applyFill="1" applyAlignment="1">
      <alignment horizontal="left" vertical="center" wrapText="1" readingOrder="1"/>
    </xf>
    <xf numFmtId="4" fontId="31" fillId="7" borderId="0" xfId="0" applyNumberFormat="1" applyFont="1" applyFill="1" applyAlignment="1">
      <alignment horizontal="right" vertical="center" wrapText="1"/>
    </xf>
    <xf numFmtId="4" fontId="11" fillId="0" borderId="0" xfId="0" applyNumberFormat="1" applyFont="1"/>
    <xf numFmtId="169" fontId="30" fillId="7" borderId="0" xfId="2" applyNumberFormat="1" applyFont="1" applyFill="1" applyAlignment="1">
      <alignment horizontal="right" vertical="center" wrapText="1"/>
    </xf>
    <xf numFmtId="10" fontId="11" fillId="0" borderId="0" xfId="0" applyNumberFormat="1" applyFont="1"/>
    <xf numFmtId="0" fontId="11" fillId="7" borderId="0" xfId="0" applyFont="1" applyFill="1" applyAlignment="1">
      <alignment horizontal="left" vertical="center" wrapText="1" readingOrder="1"/>
    </xf>
    <xf numFmtId="0" fontId="31" fillId="7" borderId="0" xfId="0" applyFont="1" applyFill="1" applyAlignment="1">
      <alignment horizontal="right" vertical="center" wrapText="1"/>
    </xf>
    <xf numFmtId="10" fontId="33" fillId="7" borderId="0" xfId="0" applyNumberFormat="1" applyFont="1" applyFill="1" applyAlignment="1">
      <alignment horizontal="right" vertical="center" readingOrder="1"/>
    </xf>
    <xf numFmtId="10" fontId="34" fillId="7" borderId="0" xfId="0" applyNumberFormat="1" applyFont="1" applyFill="1" applyAlignment="1">
      <alignment horizontal="right" vertical="center" readingOrder="1"/>
    </xf>
    <xf numFmtId="0" fontId="26" fillId="3" borderId="0" xfId="0" applyFont="1" applyFill="1"/>
    <xf numFmtId="167" fontId="11" fillId="0" borderId="0" xfId="0" applyNumberFormat="1" applyFont="1"/>
    <xf numFmtId="2" fontId="11" fillId="0" borderId="0" xfId="0" applyNumberFormat="1" applyFont="1"/>
    <xf numFmtId="0" fontId="28" fillId="0" borderId="0" xfId="0" applyFont="1"/>
    <xf numFmtId="10" fontId="11" fillId="0" borderId="0" xfId="2" applyNumberFormat="1" applyFont="1"/>
    <xf numFmtId="0" fontId="11" fillId="2" borderId="21" xfId="1" applyFont="1" applyBorder="1"/>
    <xf numFmtId="0" fontId="11" fillId="2" borderId="22" xfId="1" applyFont="1" applyBorder="1"/>
    <xf numFmtId="0" fontId="11" fillId="2" borderId="23" xfId="1" applyFont="1" applyBorder="1"/>
    <xf numFmtId="14" fontId="11" fillId="2" borderId="3" xfId="1" applyNumberFormat="1" applyFont="1"/>
    <xf numFmtId="10" fontId="11" fillId="2" borderId="3" xfId="1" applyNumberFormat="1" applyFont="1"/>
    <xf numFmtId="0" fontId="14" fillId="4" borderId="0" xfId="0" applyFont="1" applyFill="1"/>
    <xf numFmtId="10" fontId="28" fillId="0" borderId="0" xfId="2" applyNumberFormat="1" applyFont="1"/>
    <xf numFmtId="0" fontId="11" fillId="0" borderId="0" xfId="0" applyFont="1" applyAlignment="1">
      <alignment horizontal="left" indent="2"/>
    </xf>
    <xf numFmtId="168" fontId="19" fillId="0" borderId="0" xfId="0" applyNumberFormat="1" applyFont="1"/>
    <xf numFmtId="171" fontId="11" fillId="0" borderId="0" xfId="0" applyNumberFormat="1" applyFont="1"/>
    <xf numFmtId="0" fontId="35" fillId="3" borderId="0" xfId="0" applyFont="1" applyFill="1"/>
    <xf numFmtId="0" fontId="36" fillId="0" borderId="0" xfId="5" applyFont="1"/>
    <xf numFmtId="0" fontId="11" fillId="0" borderId="30" xfId="0" applyFont="1" applyBorder="1"/>
    <xf numFmtId="0" fontId="25" fillId="9" borderId="0" xfId="0" applyFont="1" applyFill="1"/>
    <xf numFmtId="0" fontId="37" fillId="9" borderId="0" xfId="7" applyFont="1" applyFill="1"/>
    <xf numFmtId="0" fontId="25" fillId="0" borderId="30" xfId="0" applyFont="1" applyBorder="1"/>
    <xf numFmtId="0" fontId="11" fillId="0" borderId="25" xfId="0" applyFont="1" applyBorder="1"/>
    <xf numFmtId="0" fontId="11" fillId="0" borderId="29" xfId="0" applyFont="1" applyBorder="1"/>
    <xf numFmtId="0" fontId="11" fillId="0" borderId="27" xfId="0" applyFont="1" applyBorder="1"/>
    <xf numFmtId="0" fontId="38" fillId="0" borderId="0" xfId="0" applyFont="1"/>
    <xf numFmtId="0" fontId="12" fillId="0" borderId="0" xfId="5" applyFont="1" applyFill="1" applyBorder="1"/>
    <xf numFmtId="0" fontId="28" fillId="0" borderId="0" xfId="0" applyFont="1" applyAlignment="1">
      <alignment vertical="center"/>
    </xf>
    <xf numFmtId="0" fontId="11" fillId="0" borderId="28" xfId="0" applyFont="1" applyBorder="1"/>
    <xf numFmtId="0" fontId="11" fillId="0" borderId="26" xfId="0" applyFont="1" applyBorder="1"/>
    <xf numFmtId="0" fontId="38" fillId="8" borderId="28" xfId="0" applyFont="1" applyFill="1" applyBorder="1"/>
    <xf numFmtId="0" fontId="39" fillId="8" borderId="0" xfId="0" applyFont="1" applyFill="1"/>
    <xf numFmtId="0" fontId="12" fillId="0" borderId="0" xfId="0" applyFont="1"/>
    <xf numFmtId="0" fontId="40" fillId="0" borderId="0" xfId="0" applyFont="1"/>
    <xf numFmtId="5" fontId="12" fillId="0" borderId="0" xfId="0" applyNumberFormat="1" applyFont="1" applyAlignment="1">
      <alignment horizontal="right"/>
    </xf>
    <xf numFmtId="10" fontId="12" fillId="0" borderId="0" xfId="0" applyNumberFormat="1" applyFont="1"/>
    <xf numFmtId="169" fontId="11" fillId="0" borderId="0" xfId="2" applyNumberFormat="1" applyFont="1" applyFill="1"/>
    <xf numFmtId="10" fontId="12" fillId="0" borderId="0" xfId="2" applyNumberFormat="1" applyFont="1" applyFill="1"/>
    <xf numFmtId="0" fontId="39" fillId="8" borderId="28" xfId="0" applyFont="1" applyFill="1" applyBorder="1"/>
    <xf numFmtId="0" fontId="12" fillId="0" borderId="0" xfId="0" applyFont="1" applyAlignment="1">
      <alignment horizontal="left"/>
    </xf>
    <xf numFmtId="167" fontId="12" fillId="0" borderId="0" xfId="0" applyNumberFormat="1" applyFont="1" applyAlignment="1">
      <alignment horizontal="right"/>
    </xf>
    <xf numFmtId="0" fontId="41" fillId="0" borderId="0" xfId="0" applyFont="1" applyAlignment="1">
      <alignment horizontal="left"/>
    </xf>
    <xf numFmtId="9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right"/>
    </xf>
    <xf numFmtId="0" fontId="27" fillId="0" borderId="0" xfId="5" applyFont="1" applyAlignment="1"/>
    <xf numFmtId="0" fontId="27" fillId="0" borderId="0" xfId="5" applyFont="1" applyAlignment="1">
      <alignment horizontal="left"/>
    </xf>
    <xf numFmtId="0" fontId="19" fillId="2" borderId="5" xfId="1" applyFont="1" applyBorder="1"/>
    <xf numFmtId="14" fontId="11" fillId="2" borderId="3" xfId="1" applyNumberFormat="1" applyFont="1" applyAlignment="1">
      <alignment horizontal="left"/>
    </xf>
    <xf numFmtId="164" fontId="11" fillId="2" borderId="3" xfId="1" applyNumberFormat="1" applyFont="1" applyAlignment="1">
      <alignment horizontal="left"/>
    </xf>
    <xf numFmtId="164" fontId="11" fillId="2" borderId="3" xfId="1" applyNumberFormat="1" applyFont="1" applyAlignment="1"/>
    <xf numFmtId="0" fontId="11" fillId="0" borderId="0" xfId="8" applyFont="1" applyAlignment="1">
      <alignment horizontal="left" indent="1"/>
    </xf>
    <xf numFmtId="0" fontId="11" fillId="0" borderId="0" xfId="8" applyFont="1" applyAlignment="1">
      <alignment horizontal="left" indent="2"/>
    </xf>
    <xf numFmtId="0" fontId="19" fillId="0" borderId="0" xfId="8" applyFont="1" applyAlignment="1">
      <alignment horizontal="left" indent="2"/>
    </xf>
    <xf numFmtId="0" fontId="19" fillId="0" borderId="0" xfId="8" applyFont="1"/>
    <xf numFmtId="0" fontId="19" fillId="0" borderId="0" xfId="8" applyFont="1" applyAlignment="1">
      <alignment horizontal="left" indent="1"/>
    </xf>
    <xf numFmtId="0" fontId="11" fillId="0" borderId="0" xfId="8" applyFont="1" applyAlignment="1">
      <alignment horizontal="left"/>
    </xf>
    <xf numFmtId="0" fontId="19" fillId="0" borderId="0" xfId="8" applyFont="1" applyAlignment="1">
      <alignment horizontal="left"/>
    </xf>
    <xf numFmtId="2" fontId="11" fillId="0" borderId="0" xfId="8" applyNumberFormat="1" applyFont="1"/>
    <xf numFmtId="0" fontId="0" fillId="0" borderId="0" xfId="0" applyAlignment="1">
      <alignment vertical="top"/>
    </xf>
    <xf numFmtId="168" fontId="11" fillId="0" borderId="0" xfId="8" applyNumberFormat="1" applyFont="1"/>
    <xf numFmtId="168" fontId="19" fillId="0" borderId="0" xfId="8" applyNumberFormat="1" applyFont="1"/>
    <xf numFmtId="173" fontId="15" fillId="5" borderId="0" xfId="0" applyNumberFormat="1" applyFont="1" applyFill="1"/>
    <xf numFmtId="174" fontId="15" fillId="5" borderId="0" xfId="0" applyNumberFormat="1" applyFont="1" applyFill="1"/>
    <xf numFmtId="3" fontId="11" fillId="0" borderId="0" xfId="8" applyNumberFormat="1" applyFont="1"/>
    <xf numFmtId="11" fontId="11" fillId="0" borderId="0" xfId="8" applyNumberFormat="1" applyFont="1"/>
    <xf numFmtId="0" fontId="19" fillId="0" borderId="0" xfId="8" applyFont="1" applyAlignment="1">
      <alignment horizontal="left" indent="3"/>
    </xf>
    <xf numFmtId="3" fontId="19" fillId="0" borderId="0" xfId="8" applyNumberFormat="1" applyFont="1"/>
    <xf numFmtId="0" fontId="17" fillId="0" borderId="0" xfId="8" applyFont="1"/>
    <xf numFmtId="169" fontId="11" fillId="0" borderId="0" xfId="2" applyNumberFormat="1" applyFont="1"/>
    <xf numFmtId="169" fontId="11" fillId="0" borderId="0" xfId="8" applyNumberFormat="1" applyFont="1"/>
    <xf numFmtId="169" fontId="32" fillId="0" borderId="0" xfId="2" applyNumberFormat="1" applyFont="1"/>
    <xf numFmtId="3" fontId="11" fillId="0" borderId="0" xfId="0" applyNumberFormat="1" applyFont="1"/>
    <xf numFmtId="0" fontId="19" fillId="0" borderId="0" xfId="0" applyFont="1" applyAlignment="1">
      <alignment horizontal="left" indent="1"/>
    </xf>
    <xf numFmtId="0" fontId="19" fillId="0" borderId="0" xfId="0" applyFont="1" applyAlignment="1">
      <alignment horizontal="left" indent="3"/>
    </xf>
    <xf numFmtId="11" fontId="19" fillId="0" borderId="0" xfId="0" applyNumberFormat="1" applyFont="1" applyAlignment="1">
      <alignment horizontal="left" indent="1"/>
    </xf>
    <xf numFmtId="171" fontId="11" fillId="0" borderId="0" xfId="8" applyNumberFormat="1" applyFont="1"/>
    <xf numFmtId="3" fontId="19" fillId="0" borderId="0" xfId="0" applyNumberFormat="1" applyFont="1"/>
    <xf numFmtId="0" fontId="35" fillId="4" borderId="0" xfId="0" applyFont="1" applyFill="1"/>
    <xf numFmtId="169" fontId="11" fillId="2" borderId="3" xfId="2" applyNumberFormat="1" applyFont="1" applyFill="1" applyBorder="1"/>
    <xf numFmtId="10" fontId="42" fillId="0" borderId="0" xfId="8" applyNumberFormat="1" applyFont="1"/>
    <xf numFmtId="0" fontId="42" fillId="0" borderId="0" xfId="8" applyFont="1"/>
    <xf numFmtId="9" fontId="42" fillId="0" borderId="0" xfId="8" applyNumberFormat="1" applyFont="1"/>
    <xf numFmtId="0" fontId="43" fillId="0" borderId="0" xfId="0" applyFont="1"/>
    <xf numFmtId="0" fontId="36" fillId="5" borderId="0" xfId="5" applyFont="1" applyFill="1"/>
    <xf numFmtId="169" fontId="11" fillId="0" borderId="0" xfId="0" applyNumberFormat="1" applyFont="1"/>
    <xf numFmtId="2" fontId="11" fillId="0" borderId="0" xfId="2" applyNumberFormat="1" applyFont="1"/>
    <xf numFmtId="10" fontId="42" fillId="0" borderId="0" xfId="0" applyNumberFormat="1" applyFont="1"/>
    <xf numFmtId="0" fontId="42" fillId="0" borderId="0" xfId="0" applyFont="1"/>
    <xf numFmtId="1" fontId="11" fillId="0" borderId="0" xfId="2" applyNumberFormat="1" applyFont="1"/>
    <xf numFmtId="1" fontId="11" fillId="0" borderId="0" xfId="0" applyNumberFormat="1" applyFont="1"/>
    <xf numFmtId="0" fontId="11" fillId="0" borderId="0" xfId="0" applyFont="1" applyAlignment="1">
      <alignment horizontal="left"/>
    </xf>
    <xf numFmtId="0" fontId="45" fillId="0" borderId="0" xfId="0" applyFont="1"/>
    <xf numFmtId="0" fontId="6" fillId="0" borderId="0" xfId="3"/>
    <xf numFmtId="0" fontId="11" fillId="0" borderId="0" xfId="8" applyFont="1" applyAlignment="1">
      <alignment horizontal="left" indent="3"/>
    </xf>
    <xf numFmtId="0" fontId="36" fillId="0" borderId="0" xfId="5" applyFont="1" applyAlignment="1">
      <alignment horizontal="left" indent="1"/>
    </xf>
    <xf numFmtId="173" fontId="19" fillId="5" borderId="0" xfId="0" applyNumberFormat="1" applyFont="1" applyFill="1"/>
    <xf numFmtId="174" fontId="19" fillId="5" borderId="0" xfId="0" applyNumberFormat="1" applyFont="1" applyFill="1"/>
    <xf numFmtId="0" fontId="11" fillId="8" borderId="0" xfId="0" applyFont="1" applyFill="1"/>
    <xf numFmtId="10" fontId="11" fillId="0" borderId="0" xfId="8" applyNumberFormat="1" applyFont="1"/>
    <xf numFmtId="2" fontId="6" fillId="0" borderId="0" xfId="3" applyNumberFormat="1"/>
    <xf numFmtId="3" fontId="19" fillId="0" borderId="31" xfId="0" applyNumberFormat="1" applyFont="1" applyBorder="1"/>
    <xf numFmtId="168" fontId="19" fillId="0" borderId="31" xfId="8" applyNumberFormat="1" applyFont="1" applyBorder="1"/>
    <xf numFmtId="168" fontId="19" fillId="0" borderId="31" xfId="0" applyNumberFormat="1" applyFont="1" applyBorder="1"/>
    <xf numFmtId="0" fontId="11" fillId="8" borderId="0" xfId="8" applyFont="1" applyFill="1"/>
    <xf numFmtId="0" fontId="19" fillId="8" borderId="0" xfId="8" applyFont="1" applyFill="1"/>
    <xf numFmtId="0" fontId="19" fillId="8" borderId="0" xfId="0" applyFont="1" applyFill="1"/>
    <xf numFmtId="0" fontId="19" fillId="0" borderId="31" xfId="0" applyFont="1" applyBorder="1"/>
    <xf numFmtId="175" fontId="11" fillId="0" borderId="0" xfId="0" applyNumberFormat="1" applyFont="1"/>
    <xf numFmtId="175" fontId="11" fillId="0" borderId="34" xfId="0" applyNumberFormat="1" applyFont="1" applyBorder="1"/>
    <xf numFmtId="0" fontId="11" fillId="0" borderId="35" xfId="0" applyFont="1" applyBorder="1"/>
    <xf numFmtId="0" fontId="11" fillId="0" borderId="36" xfId="0" applyFont="1" applyBorder="1"/>
    <xf numFmtId="175" fontId="11" fillId="0" borderId="36" xfId="0" applyNumberFormat="1" applyFont="1" applyBorder="1"/>
    <xf numFmtId="175" fontId="11" fillId="0" borderId="37" xfId="0" applyNumberFormat="1" applyFont="1" applyBorder="1"/>
    <xf numFmtId="0" fontId="19" fillId="8" borderId="16" xfId="0" applyFont="1" applyFill="1" applyBorder="1"/>
    <xf numFmtId="0" fontId="19" fillId="8" borderId="4" xfId="0" applyFont="1" applyFill="1" applyBorder="1"/>
    <xf numFmtId="0" fontId="19" fillId="8" borderId="38" xfId="0" applyFont="1" applyFill="1" applyBorder="1"/>
    <xf numFmtId="0" fontId="11" fillId="11" borderId="32" xfId="0" applyFont="1" applyFill="1" applyBorder="1"/>
    <xf numFmtId="175" fontId="11" fillId="11" borderId="31" xfId="0" applyNumberFormat="1" applyFont="1" applyFill="1" applyBorder="1"/>
    <xf numFmtId="175" fontId="11" fillId="11" borderId="33" xfId="0" applyNumberFormat="1" applyFont="1" applyFill="1" applyBorder="1"/>
    <xf numFmtId="0" fontId="11" fillId="11" borderId="30" xfId="0" applyFont="1" applyFill="1" applyBorder="1"/>
    <xf numFmtId="175" fontId="11" fillId="11" borderId="0" xfId="0" applyNumberFormat="1" applyFont="1" applyFill="1"/>
    <xf numFmtId="175" fontId="11" fillId="11" borderId="34" xfId="0" applyNumberFormat="1" applyFont="1" applyFill="1" applyBorder="1"/>
    <xf numFmtId="0" fontId="11" fillId="11" borderId="35" xfId="0" applyFont="1" applyFill="1" applyBorder="1"/>
    <xf numFmtId="175" fontId="11" fillId="11" borderId="36" xfId="0" applyNumberFormat="1" applyFont="1" applyFill="1" applyBorder="1"/>
    <xf numFmtId="175" fontId="11" fillId="11" borderId="37" xfId="0" applyNumberFormat="1" applyFont="1" applyFill="1" applyBorder="1"/>
    <xf numFmtId="0" fontId="19" fillId="8" borderId="30" xfId="0" applyFont="1" applyFill="1" applyBorder="1"/>
    <xf numFmtId="175" fontId="19" fillId="8" borderId="0" xfId="0" applyNumberFormat="1" applyFont="1" applyFill="1"/>
    <xf numFmtId="175" fontId="19" fillId="8" borderId="34" xfId="0" applyNumberFormat="1" applyFont="1" applyFill="1" applyBorder="1"/>
    <xf numFmtId="0" fontId="11" fillId="0" borderId="16" xfId="0" applyFont="1" applyBorder="1"/>
    <xf numFmtId="0" fontId="11" fillId="0" borderId="4" xfId="0" applyFont="1" applyBorder="1"/>
    <xf numFmtId="175" fontId="11" fillId="0" borderId="4" xfId="0" applyNumberFormat="1" applyFont="1" applyBorder="1"/>
    <xf numFmtId="175" fontId="11" fillId="0" borderId="38" xfId="0" applyNumberFormat="1" applyFont="1" applyBorder="1"/>
    <xf numFmtId="0" fontId="19" fillId="0" borderId="0" xfId="0" applyFont="1" applyAlignment="1">
      <alignment horizontal="center"/>
    </xf>
    <xf numFmtId="4" fontId="46" fillId="0" borderId="0" xfId="0" applyNumberFormat="1" applyFont="1" applyAlignment="1">
      <alignment horizontal="center" wrapText="1"/>
    </xf>
    <xf numFmtId="14" fontId="46" fillId="0" borderId="0" xfId="0" applyNumberFormat="1" applyFont="1" applyAlignment="1">
      <alignment horizontal="center"/>
    </xf>
    <xf numFmtId="4" fontId="19" fillId="0" borderId="0" xfId="0" applyNumberFormat="1" applyFont="1" applyAlignment="1">
      <alignment horizontal="center" wrapText="1" readingOrder="1"/>
    </xf>
    <xf numFmtId="10" fontId="11" fillId="7" borderId="0" xfId="2" applyNumberFormat="1" applyFont="1" applyFill="1" applyAlignment="1">
      <alignment horizontal="right" vertical="center" wrapText="1" readingOrder="1"/>
    </xf>
    <xf numFmtId="14" fontId="46" fillId="7" borderId="31" xfId="0" applyNumberFormat="1" applyFont="1" applyFill="1" applyBorder="1" applyAlignment="1">
      <alignment horizontal="left" vertical="center"/>
    </xf>
    <xf numFmtId="4" fontId="30" fillId="7" borderId="0" xfId="0" applyNumberFormat="1" applyFont="1" applyFill="1" applyAlignment="1">
      <alignment vertical="center"/>
    </xf>
    <xf numFmtId="14" fontId="30" fillId="7" borderId="31" xfId="0" applyNumberFormat="1" applyFont="1" applyFill="1" applyBorder="1" applyAlignment="1">
      <alignment horizontal="left" vertical="center"/>
    </xf>
    <xf numFmtId="4" fontId="11" fillId="7" borderId="31" xfId="0" applyNumberFormat="1" applyFont="1" applyFill="1" applyBorder="1" applyAlignment="1">
      <alignment horizontal="left" vertical="center" wrapText="1" readingOrder="1"/>
    </xf>
    <xf numFmtId="169" fontId="30" fillId="7" borderId="31" xfId="2" applyNumberFormat="1" applyFont="1" applyFill="1" applyBorder="1" applyAlignment="1">
      <alignment horizontal="right" vertical="center" wrapText="1"/>
    </xf>
    <xf numFmtId="4" fontId="31" fillId="7" borderId="31" xfId="0" applyNumberFormat="1" applyFont="1" applyFill="1" applyBorder="1" applyAlignment="1">
      <alignment horizontal="right" vertical="center" wrapText="1"/>
    </xf>
    <xf numFmtId="4" fontId="11" fillId="7" borderId="0" xfId="0" applyNumberFormat="1" applyFont="1" applyFill="1" applyAlignment="1">
      <alignment horizontal="right" vertical="center" wrapText="1" readingOrder="1"/>
    </xf>
    <xf numFmtId="2" fontId="30" fillId="7" borderId="0" xfId="2" applyNumberFormat="1" applyFont="1" applyFill="1" applyBorder="1" applyAlignment="1">
      <alignment horizontal="right" vertical="center" wrapText="1"/>
    </xf>
    <xf numFmtId="10" fontId="30" fillId="7" borderId="0" xfId="2" applyNumberFormat="1" applyFont="1" applyFill="1" applyBorder="1" applyAlignment="1">
      <alignment horizontal="right" vertical="center" wrapText="1"/>
    </xf>
    <xf numFmtId="2" fontId="30" fillId="7" borderId="0" xfId="0" applyNumberFormat="1" applyFont="1" applyFill="1" applyAlignment="1">
      <alignment horizontal="right" vertical="center"/>
    </xf>
    <xf numFmtId="169" fontId="46" fillId="7" borderId="31" xfId="2" applyNumberFormat="1" applyFont="1" applyFill="1" applyBorder="1" applyAlignment="1">
      <alignment horizontal="left" vertical="center" wrapText="1"/>
    </xf>
    <xf numFmtId="10" fontId="30" fillId="7" borderId="31" xfId="2" applyNumberFormat="1" applyFont="1" applyFill="1" applyBorder="1" applyAlignment="1">
      <alignment horizontal="right" vertical="center" wrapText="1"/>
    </xf>
    <xf numFmtId="4" fontId="30" fillId="7" borderId="31" xfId="0" applyNumberFormat="1" applyFont="1" applyFill="1" applyBorder="1" applyAlignment="1">
      <alignment horizontal="right" vertical="center" wrapText="1"/>
    </xf>
    <xf numFmtId="169" fontId="46" fillId="7" borderId="36" xfId="2" applyNumberFormat="1" applyFont="1" applyFill="1" applyBorder="1" applyAlignment="1">
      <alignment horizontal="left" vertical="center" wrapText="1"/>
    </xf>
    <xf numFmtId="10" fontId="30" fillId="7" borderId="36" xfId="2" applyNumberFormat="1" applyFont="1" applyFill="1" applyBorder="1" applyAlignment="1">
      <alignment horizontal="right" vertical="center" wrapText="1"/>
    </xf>
    <xf numFmtId="4" fontId="30" fillId="7" borderId="36" xfId="0" applyNumberFormat="1" applyFont="1" applyFill="1" applyBorder="1" applyAlignment="1">
      <alignment horizontal="right" vertical="center" wrapText="1"/>
    </xf>
    <xf numFmtId="14" fontId="46" fillId="7" borderId="36" xfId="0" applyNumberFormat="1" applyFont="1" applyFill="1" applyBorder="1" applyAlignment="1">
      <alignment horizontal="left" vertical="center"/>
    </xf>
    <xf numFmtId="4" fontId="11" fillId="7" borderId="36" xfId="0" applyNumberFormat="1" applyFont="1" applyFill="1" applyBorder="1" applyAlignment="1">
      <alignment horizontal="left" vertical="center" wrapText="1" readingOrder="1"/>
    </xf>
    <xf numFmtId="0" fontId="19" fillId="0" borderId="36" xfId="0" applyFont="1" applyBorder="1" applyAlignment="1">
      <alignment horizontal="left"/>
    </xf>
    <xf numFmtId="4" fontId="46" fillId="7" borderId="31" xfId="0" applyNumberFormat="1" applyFont="1" applyFill="1" applyBorder="1" applyAlignment="1">
      <alignment vertical="center"/>
    </xf>
    <xf numFmtId="4" fontId="46" fillId="7" borderId="36" xfId="0" applyNumberFormat="1" applyFont="1" applyFill="1" applyBorder="1" applyAlignment="1">
      <alignment vertical="center"/>
    </xf>
    <xf numFmtId="14" fontId="30" fillId="7" borderId="36" xfId="0" applyNumberFormat="1" applyFont="1" applyFill="1" applyBorder="1" applyAlignment="1">
      <alignment horizontal="left" vertical="center"/>
    </xf>
    <xf numFmtId="2" fontId="11" fillId="7" borderId="0" xfId="2" applyNumberFormat="1" applyFont="1" applyFill="1" applyAlignment="1">
      <alignment horizontal="right" vertical="center" wrapText="1" readingOrder="1"/>
    </xf>
    <xf numFmtId="0" fontId="47" fillId="0" borderId="0" xfId="0" applyFont="1"/>
    <xf numFmtId="178" fontId="0" fillId="0" borderId="0" xfId="0" applyNumberFormat="1"/>
    <xf numFmtId="168" fontId="0" fillId="0" borderId="0" xfId="0" applyNumberFormat="1"/>
    <xf numFmtId="179" fontId="0" fillId="0" borderId="0" xfId="0" applyNumberFormat="1"/>
    <xf numFmtId="0" fontId="47" fillId="8" borderId="16" xfId="0" applyFont="1" applyFill="1" applyBorder="1"/>
    <xf numFmtId="0" fontId="0" fillId="8" borderId="4" xfId="0" applyFill="1" applyBorder="1"/>
    <xf numFmtId="0" fontId="0" fillId="8" borderId="38" xfId="0" applyFill="1" applyBorder="1"/>
    <xf numFmtId="0" fontId="47" fillId="0" borderId="31" xfId="0" applyFont="1" applyBorder="1"/>
    <xf numFmtId="0" fontId="0" fillId="0" borderId="31" xfId="0" applyBorder="1"/>
    <xf numFmtId="173" fontId="19" fillId="8" borderId="5" xfId="0" applyNumberFormat="1" applyFont="1" applyFill="1" applyBorder="1" applyAlignment="1">
      <alignment horizontal="center"/>
    </xf>
    <xf numFmtId="174" fontId="19" fillId="8" borderId="5" xfId="0" applyNumberFormat="1" applyFont="1" applyFill="1" applyBorder="1" applyAlignment="1">
      <alignment horizontal="center"/>
    </xf>
    <xf numFmtId="178" fontId="47" fillId="0" borderId="31" xfId="0" applyNumberFormat="1" applyFont="1" applyBorder="1"/>
    <xf numFmtId="0" fontId="0" fillId="0" borderId="0" xfId="0" applyAlignment="1">
      <alignment horizontal="right"/>
    </xf>
    <xf numFmtId="0" fontId="25" fillId="8" borderId="31" xfId="0" applyFont="1" applyFill="1" applyBorder="1"/>
    <xf numFmtId="0" fontId="25" fillId="8" borderId="33" xfId="0" applyFont="1" applyFill="1" applyBorder="1"/>
    <xf numFmtId="0" fontId="25" fillId="8" borderId="36" xfId="0" applyFont="1" applyFill="1" applyBorder="1"/>
    <xf numFmtId="0" fontId="25" fillId="8" borderId="37" xfId="0" applyFont="1" applyFill="1" applyBorder="1"/>
    <xf numFmtId="0" fontId="0" fillId="0" borderId="0" xfId="0" applyAlignment="1">
      <alignment horizontal="left" indent="1"/>
    </xf>
    <xf numFmtId="173" fontId="19" fillId="8" borderId="16" xfId="0" applyNumberFormat="1" applyFont="1" applyFill="1" applyBorder="1" applyAlignment="1">
      <alignment horizontal="center"/>
    </xf>
    <xf numFmtId="174" fontId="19" fillId="8" borderId="38" xfId="0" applyNumberFormat="1" applyFont="1" applyFill="1" applyBorder="1" applyAlignment="1">
      <alignment horizontal="center"/>
    </xf>
    <xf numFmtId="0" fontId="0" fillId="0" borderId="30" xfId="0" applyBorder="1"/>
    <xf numFmtId="0" fontId="0" fillId="0" borderId="34" xfId="0" applyBorder="1"/>
    <xf numFmtId="0" fontId="0" fillId="0" borderId="36" xfId="0" applyBorder="1"/>
    <xf numFmtId="180" fontId="0" fillId="0" borderId="0" xfId="0" applyNumberFormat="1"/>
    <xf numFmtId="3" fontId="0" fillId="0" borderId="0" xfId="0" applyNumberFormat="1"/>
    <xf numFmtId="0" fontId="48" fillId="0" borderId="0" xfId="0" applyFont="1"/>
    <xf numFmtId="168" fontId="0" fillId="0" borderId="34" xfId="0" applyNumberFormat="1" applyBorder="1"/>
    <xf numFmtId="0" fontId="47" fillId="0" borderId="36" xfId="0" applyFont="1" applyBorder="1"/>
    <xf numFmtId="178" fontId="0" fillId="0" borderId="30" xfId="0" applyNumberFormat="1" applyBorder="1"/>
    <xf numFmtId="177" fontId="47" fillId="0" borderId="0" xfId="0" applyNumberFormat="1" applyFont="1"/>
    <xf numFmtId="168" fontId="0" fillId="0" borderId="30" xfId="0" applyNumberFormat="1" applyBorder="1"/>
    <xf numFmtId="0" fontId="11" fillId="0" borderId="31" xfId="8" applyFont="1" applyBorder="1" applyAlignment="1">
      <alignment horizontal="left" indent="2"/>
    </xf>
    <xf numFmtId="0" fontId="0" fillId="0" borderId="33" xfId="0" applyBorder="1"/>
    <xf numFmtId="0" fontId="11" fillId="0" borderId="36" xfId="8" applyFont="1" applyBorder="1" applyAlignment="1">
      <alignment horizontal="left" indent="2"/>
    </xf>
    <xf numFmtId="0" fontId="11" fillId="0" borderId="31" xfId="8" applyFont="1" applyBorder="1"/>
    <xf numFmtId="0" fontId="11" fillId="0" borderId="36" xfId="8" applyFont="1" applyBorder="1"/>
    <xf numFmtId="0" fontId="11" fillId="0" borderId="4" xfId="8" applyFont="1" applyBorder="1"/>
    <xf numFmtId="0" fontId="0" fillId="0" borderId="4" xfId="0" applyBorder="1"/>
    <xf numFmtId="0" fontId="47" fillId="0" borderId="16" xfId="0" applyFont="1" applyBorder="1"/>
    <xf numFmtId="10" fontId="50" fillId="0" borderId="0" xfId="0" applyNumberFormat="1" applyFont="1"/>
    <xf numFmtId="0" fontId="0" fillId="8" borderId="0" xfId="0" applyFill="1"/>
    <xf numFmtId="0" fontId="0" fillId="8" borderId="34" xfId="0" applyFill="1" applyBorder="1"/>
    <xf numFmtId="0" fontId="0" fillId="8" borderId="31" xfId="0" applyFill="1" applyBorder="1"/>
    <xf numFmtId="0" fontId="0" fillId="8" borderId="33" xfId="0" applyFill="1" applyBorder="1"/>
    <xf numFmtId="0" fontId="0" fillId="8" borderId="36" xfId="0" applyFill="1" applyBorder="1"/>
    <xf numFmtId="0" fontId="0" fillId="8" borderId="37" xfId="0" applyFill="1" applyBorder="1"/>
    <xf numFmtId="0" fontId="11" fillId="0" borderId="31" xfId="0" applyFont="1" applyBorder="1" applyAlignment="1">
      <alignment horizontal="left" indent="1"/>
    </xf>
    <xf numFmtId="0" fontId="11" fillId="0" borderId="36" xfId="0" applyFont="1" applyBorder="1" applyAlignment="1">
      <alignment horizontal="left" indent="1"/>
    </xf>
    <xf numFmtId="0" fontId="11" fillId="0" borderId="4" xfId="8" applyFont="1" applyBorder="1" applyAlignment="1">
      <alignment horizontal="left" indent="2"/>
    </xf>
    <xf numFmtId="0" fontId="19" fillId="0" borderId="36" xfId="8" applyFont="1" applyBorder="1" applyAlignment="1">
      <alignment horizontal="left" indent="3"/>
    </xf>
    <xf numFmtId="0" fontId="0" fillId="0" borderId="31" xfId="0" applyBorder="1" applyAlignment="1">
      <alignment horizontal="left" indent="3"/>
    </xf>
    <xf numFmtId="0" fontId="0" fillId="0" borderId="0" xfId="0" applyAlignment="1">
      <alignment horizontal="left" indent="3"/>
    </xf>
    <xf numFmtId="0" fontId="11" fillId="0" borderId="36" xfId="8" applyFont="1" applyBorder="1" applyAlignment="1">
      <alignment horizontal="left" indent="3"/>
    </xf>
    <xf numFmtId="0" fontId="19" fillId="0" borderId="4" xfId="8" applyFont="1" applyBorder="1" applyAlignment="1">
      <alignment horizontal="left" indent="2"/>
    </xf>
    <xf numFmtId="179" fontId="0" fillId="0" borderId="34" xfId="0" applyNumberFormat="1" applyBorder="1"/>
    <xf numFmtId="178" fontId="0" fillId="0" borderId="34" xfId="0" applyNumberFormat="1" applyBorder="1"/>
    <xf numFmtId="0" fontId="0" fillId="0" borderId="38" xfId="0" applyBorder="1"/>
    <xf numFmtId="179" fontId="0" fillId="0" borderId="30" xfId="0" applyNumberFormat="1" applyBorder="1"/>
    <xf numFmtId="180" fontId="0" fillId="0" borderId="30" xfId="0" applyNumberFormat="1" applyBorder="1"/>
    <xf numFmtId="10" fontId="47" fillId="0" borderId="16" xfId="0" applyNumberFormat="1" applyFont="1" applyBorder="1"/>
    <xf numFmtId="0" fontId="51" fillId="0" borderId="0" xfId="0" applyFont="1"/>
    <xf numFmtId="184" fontId="47" fillId="11" borderId="4" xfId="9" applyNumberFormat="1" applyFont="1" applyFill="1" applyBorder="1" applyAlignment="1">
      <alignment horizontal="center"/>
    </xf>
    <xf numFmtId="0" fontId="53" fillId="5" borderId="32" xfId="0" applyFont="1" applyFill="1" applyBorder="1"/>
    <xf numFmtId="0" fontId="53" fillId="5" borderId="31" xfId="0" applyFont="1" applyFill="1" applyBorder="1"/>
    <xf numFmtId="0" fontId="51" fillId="5" borderId="31" xfId="0" applyFont="1" applyFill="1" applyBorder="1" applyAlignment="1">
      <alignment horizontal="centerContinuous"/>
    </xf>
    <xf numFmtId="0" fontId="51" fillId="5" borderId="33" xfId="0" applyFont="1" applyFill="1" applyBorder="1" applyAlignment="1">
      <alignment horizontal="centerContinuous"/>
    </xf>
    <xf numFmtId="0" fontId="53" fillId="5" borderId="30" xfId="0" applyFont="1" applyFill="1" applyBorder="1"/>
    <xf numFmtId="182" fontId="53" fillId="11" borderId="32" xfId="0" applyNumberFormat="1" applyFont="1" applyFill="1" applyBorder="1"/>
    <xf numFmtId="183" fontId="51" fillId="11" borderId="30" xfId="9" applyNumberFormat="1" applyFont="1" applyFill="1" applyBorder="1"/>
    <xf numFmtId="169" fontId="51" fillId="11" borderId="34" xfId="9" applyNumberFormat="1" applyFont="1" applyFill="1" applyBorder="1" applyAlignment="1">
      <alignment horizontal="center"/>
    </xf>
    <xf numFmtId="183" fontId="51" fillId="11" borderId="35" xfId="9" applyNumberFormat="1" applyFont="1" applyFill="1" applyBorder="1"/>
    <xf numFmtId="169" fontId="51" fillId="11" borderId="37" xfId="9" applyNumberFormat="1" applyFont="1" applyFill="1" applyBorder="1" applyAlignment="1">
      <alignment horizontal="center"/>
    </xf>
    <xf numFmtId="182" fontId="54" fillId="11" borderId="31" xfId="0" applyNumberFormat="1" applyFont="1" applyFill="1" applyBorder="1"/>
    <xf numFmtId="182" fontId="0" fillId="0" borderId="32" xfId="0" applyNumberFormat="1" applyBorder="1"/>
    <xf numFmtId="182" fontId="0" fillId="0" borderId="31" xfId="0" applyNumberFormat="1" applyBorder="1"/>
    <xf numFmtId="182" fontId="0" fillId="0" borderId="33" xfId="0" applyNumberFormat="1" applyBorder="1"/>
    <xf numFmtId="182" fontId="0" fillId="0" borderId="30" xfId="0" applyNumberFormat="1" applyBorder="1"/>
    <xf numFmtId="182" fontId="0" fillId="0" borderId="34" xfId="0" applyNumberFormat="1" applyBorder="1"/>
    <xf numFmtId="182" fontId="0" fillId="0" borderId="35" xfId="0" applyNumberFormat="1" applyBorder="1"/>
    <xf numFmtId="182" fontId="0" fillId="0" borderId="36" xfId="0" applyNumberFormat="1" applyBorder="1"/>
    <xf numFmtId="182" fontId="0" fillId="0" borderId="37" xfId="0" applyNumberFormat="1" applyBorder="1"/>
    <xf numFmtId="183" fontId="51" fillId="12" borderId="30" xfId="9" applyNumberFormat="1" applyFont="1" applyFill="1" applyBorder="1"/>
    <xf numFmtId="169" fontId="51" fillId="12" borderId="34" xfId="9" applyNumberFormat="1" applyFont="1" applyFill="1" applyBorder="1" applyAlignment="1">
      <alignment horizontal="center"/>
    </xf>
    <xf numFmtId="182" fontId="0" fillId="12" borderId="34" xfId="0" applyNumberFormat="1" applyFill="1" applyBorder="1"/>
    <xf numFmtId="184" fontId="47" fillId="12" borderId="4" xfId="9" applyNumberFormat="1" applyFont="1" applyFill="1" applyBorder="1" applyAlignment="1">
      <alignment horizontal="center"/>
    </xf>
    <xf numFmtId="182" fontId="0" fillId="12" borderId="36" xfId="0" applyNumberFormat="1" applyFill="1" applyBorder="1"/>
    <xf numFmtId="182" fontId="0" fillId="12" borderId="30" xfId="0" applyNumberFormat="1" applyFill="1" applyBorder="1"/>
    <xf numFmtId="182" fontId="0" fillId="12" borderId="31" xfId="0" applyNumberFormat="1" applyFill="1" applyBorder="1"/>
    <xf numFmtId="182" fontId="0" fillId="12" borderId="0" xfId="0" applyNumberFormat="1" applyFill="1"/>
    <xf numFmtId="182" fontId="47" fillId="12" borderId="0" xfId="0" applyNumberFormat="1" applyFont="1" applyFill="1"/>
    <xf numFmtId="184" fontId="47" fillId="11" borderId="38" xfId="9" applyNumberFormat="1" applyFont="1" applyFill="1" applyBorder="1" applyAlignment="1">
      <alignment horizontal="center"/>
    </xf>
    <xf numFmtId="182" fontId="0" fillId="0" borderId="0" xfId="0" applyNumberFormat="1"/>
    <xf numFmtId="168" fontId="47" fillId="2" borderId="3" xfId="1" applyNumberFormat="1" applyFont="1"/>
    <xf numFmtId="0" fontId="2" fillId="4" borderId="0" xfId="0" applyFont="1" applyFill="1" applyAlignment="1">
      <alignment horizontal="center"/>
    </xf>
    <xf numFmtId="0" fontId="16" fillId="0" borderId="5" xfId="0" applyFont="1" applyBorder="1"/>
    <xf numFmtId="0" fontId="16" fillId="0" borderId="16" xfId="0" applyFont="1" applyBorder="1"/>
    <xf numFmtId="0" fontId="22" fillId="0" borderId="5" xfId="0" applyFont="1" applyBorder="1"/>
    <xf numFmtId="0" fontId="18" fillId="0" borderId="17" xfId="3" applyFont="1" applyBorder="1"/>
    <xf numFmtId="167" fontId="21" fillId="6" borderId="19" xfId="4" applyFont="1" applyBorder="1"/>
    <xf numFmtId="0" fontId="16" fillId="2" borderId="18" xfId="1" applyFont="1" applyBorder="1"/>
    <xf numFmtId="0" fontId="11" fillId="2" borderId="3" xfId="1" applyFont="1" applyAlignment="1">
      <alignment horizontal="left"/>
    </xf>
    <xf numFmtId="14" fontId="11" fillId="2" borderId="3" xfId="1" applyNumberFormat="1" applyFont="1" applyAlignment="1">
      <alignment horizontal="left"/>
    </xf>
    <xf numFmtId="0" fontId="17" fillId="0" borderId="0" xfId="0" applyFont="1" applyAlignment="1">
      <alignment horizontal="center"/>
    </xf>
    <xf numFmtId="0" fontId="21" fillId="0" borderId="5" xfId="0" applyFont="1" applyBorder="1"/>
    <xf numFmtId="0" fontId="14" fillId="3" borderId="1" xfId="0" applyFont="1" applyFill="1" applyBorder="1" applyAlignment="1">
      <alignment horizontal="center"/>
    </xf>
    <xf numFmtId="0" fontId="14" fillId="3" borderId="6" xfId="0" applyFont="1" applyFill="1" applyBorder="1" applyAlignment="1">
      <alignment horizontal="center"/>
    </xf>
    <xf numFmtId="0" fontId="14" fillId="3" borderId="9" xfId="0" applyFont="1" applyFill="1" applyBorder="1" applyAlignment="1">
      <alignment horizontal="center"/>
    </xf>
    <xf numFmtId="0" fontId="14" fillId="3" borderId="10" xfId="0" applyFont="1" applyFill="1" applyBorder="1" applyAlignment="1">
      <alignment horizontal="center"/>
    </xf>
    <xf numFmtId="0" fontId="26" fillId="3" borderId="9" xfId="0" applyFont="1" applyFill="1" applyBorder="1" applyAlignment="1">
      <alignment horizontal="center"/>
    </xf>
    <xf numFmtId="0" fontId="26" fillId="3" borderId="11" xfId="0" applyFont="1" applyFill="1" applyBorder="1" applyAlignment="1">
      <alignment horizontal="center"/>
    </xf>
    <xf numFmtId="0" fontId="26" fillId="3" borderId="2" xfId="0" applyFont="1" applyFill="1" applyBorder="1" applyAlignment="1">
      <alignment horizontal="center" vertical="center"/>
    </xf>
    <xf numFmtId="0" fontId="26" fillId="3" borderId="12" xfId="0" applyFont="1" applyFill="1" applyBorder="1" applyAlignment="1">
      <alignment horizontal="center" vertical="center"/>
    </xf>
    <xf numFmtId="0" fontId="26" fillId="3" borderId="13" xfId="0" applyFont="1" applyFill="1" applyBorder="1" applyAlignment="1">
      <alignment horizontal="center" vertical="center"/>
    </xf>
    <xf numFmtId="0" fontId="26" fillId="3" borderId="0" xfId="0" applyFont="1" applyFill="1" applyAlignment="1">
      <alignment horizontal="center" vertical="center"/>
    </xf>
    <xf numFmtId="0" fontId="11" fillId="0" borderId="0" xfId="8" applyFont="1" applyAlignment="1">
      <alignment horizontal="center" vertical="center"/>
    </xf>
    <xf numFmtId="165" fontId="14" fillId="3" borderId="9" xfId="0" applyNumberFormat="1" applyFont="1" applyFill="1" applyBorder="1" applyAlignment="1">
      <alignment horizontal="center"/>
    </xf>
    <xf numFmtId="165" fontId="14" fillId="3" borderId="10" xfId="0" applyNumberFormat="1" applyFont="1" applyFill="1" applyBorder="1" applyAlignment="1">
      <alignment horizontal="center"/>
    </xf>
    <xf numFmtId="165" fontId="14" fillId="3" borderId="11" xfId="0" applyNumberFormat="1" applyFont="1" applyFill="1" applyBorder="1" applyAlignment="1">
      <alignment horizontal="center"/>
    </xf>
    <xf numFmtId="0" fontId="11" fillId="2" borderId="21" xfId="1" applyFont="1" applyBorder="1"/>
    <xf numFmtId="0" fontId="11" fillId="2" borderId="22" xfId="1" applyFont="1" applyBorder="1"/>
    <xf numFmtId="0" fontId="11" fillId="2" borderId="23" xfId="1" applyFont="1" applyBorder="1"/>
    <xf numFmtId="166" fontId="14" fillId="3" borderId="9" xfId="0" applyNumberFormat="1" applyFont="1" applyFill="1" applyBorder="1" applyAlignment="1">
      <alignment horizontal="center"/>
    </xf>
    <xf numFmtId="166" fontId="14" fillId="3" borderId="10" xfId="0" applyNumberFormat="1" applyFont="1" applyFill="1" applyBorder="1" applyAlignment="1">
      <alignment horizontal="center"/>
    </xf>
    <xf numFmtId="166" fontId="14" fillId="3" borderId="11" xfId="0" applyNumberFormat="1" applyFont="1" applyFill="1" applyBorder="1" applyAlignment="1">
      <alignment horizontal="center"/>
    </xf>
    <xf numFmtId="174" fontId="19" fillId="8" borderId="38" xfId="0" applyNumberFormat="1" applyFont="1" applyFill="1" applyBorder="1" applyAlignment="1">
      <alignment horizontal="center"/>
    </xf>
    <xf numFmtId="174" fontId="19" fillId="8" borderId="5" xfId="0" applyNumberFormat="1" applyFont="1" applyFill="1" applyBorder="1" applyAlignment="1">
      <alignment horizontal="center"/>
    </xf>
    <xf numFmtId="173" fontId="19" fillId="8" borderId="5" xfId="0" applyNumberFormat="1" applyFont="1" applyFill="1" applyBorder="1" applyAlignment="1">
      <alignment horizontal="center"/>
    </xf>
    <xf numFmtId="173" fontId="19" fillId="8" borderId="16" xfId="0" applyNumberFormat="1" applyFont="1" applyFill="1" applyBorder="1" applyAlignment="1">
      <alignment horizontal="center"/>
    </xf>
    <xf numFmtId="0" fontId="19" fillId="8" borderId="32" xfId="0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center" vertical="center"/>
    </xf>
    <xf numFmtId="0" fontId="19" fillId="8" borderId="35" xfId="0" applyFont="1" applyFill="1" applyBorder="1" applyAlignment="1">
      <alignment horizontal="center" vertical="center"/>
    </xf>
    <xf numFmtId="0" fontId="19" fillId="8" borderId="36" xfId="0" applyFont="1" applyFill="1" applyBorder="1" applyAlignment="1">
      <alignment horizontal="center" vertical="center"/>
    </xf>
    <xf numFmtId="0" fontId="51" fillId="5" borderId="30" xfId="0" applyFont="1" applyFill="1" applyBorder="1" applyAlignment="1">
      <alignment horizontal="center" vertical="center" textRotation="90" wrapText="1"/>
    </xf>
    <xf numFmtId="0" fontId="51" fillId="5" borderId="35" xfId="0" applyFont="1" applyFill="1" applyBorder="1" applyAlignment="1">
      <alignment horizontal="center" vertical="center" textRotation="90" wrapText="1"/>
    </xf>
    <xf numFmtId="0" fontId="14" fillId="10" borderId="0" xfId="0" applyFont="1" applyFill="1" applyAlignment="1">
      <alignment horizontal="center" wrapText="1"/>
    </xf>
    <xf numFmtId="0" fontId="14" fillId="10" borderId="24" xfId="0" applyFont="1" applyFill="1" applyBorder="1" applyAlignment="1">
      <alignment horizontal="center" wrapText="1"/>
    </xf>
    <xf numFmtId="177" fontId="55" fillId="0" borderId="0" xfId="0" applyNumberFormat="1" applyFont="1"/>
    <xf numFmtId="9" fontId="50" fillId="0" borderId="0" xfId="0" applyNumberFormat="1" applyFont="1"/>
    <xf numFmtId="179" fontId="50" fillId="0" borderId="0" xfId="0" applyNumberFormat="1" applyFont="1"/>
    <xf numFmtId="3" fontId="50" fillId="0" borderId="0" xfId="0" applyNumberFormat="1" applyFont="1"/>
    <xf numFmtId="178" fontId="50" fillId="0" borderId="0" xfId="0" applyNumberFormat="1" applyFont="1"/>
    <xf numFmtId="0" fontId="50" fillId="0" borderId="0" xfId="0" applyFont="1"/>
    <xf numFmtId="180" fontId="50" fillId="0" borderId="0" xfId="0" applyNumberFormat="1" applyFont="1"/>
    <xf numFmtId="0" fontId="0" fillId="0" borderId="0" xfId="0" applyAlignment="1">
      <alignment horizontal="center"/>
    </xf>
    <xf numFmtId="0" fontId="0" fillId="0" borderId="30" xfId="0" applyBorder="1" applyAlignment="1">
      <alignment horizontal="center"/>
    </xf>
    <xf numFmtId="0" fontId="0" fillId="0" borderId="34" xfId="0" applyBorder="1" applyAlignment="1">
      <alignment horizontal="center"/>
    </xf>
    <xf numFmtId="168" fontId="11" fillId="0" borderId="0" xfId="8" applyNumberFormat="1" applyFont="1" applyAlignment="1">
      <alignment horizontal="center"/>
    </xf>
    <xf numFmtId="168" fontId="0" fillId="0" borderId="30" xfId="0" applyNumberFormat="1" applyBorder="1" applyAlignment="1">
      <alignment horizontal="center"/>
    </xf>
    <xf numFmtId="168" fontId="0" fillId="0" borderId="0" xfId="0" applyNumberFormat="1" applyAlignment="1">
      <alignment horizontal="center"/>
    </xf>
    <xf numFmtId="168" fontId="0" fillId="0" borderId="34" xfId="0" applyNumberFormat="1" applyBorder="1" applyAlignment="1">
      <alignment horizontal="center"/>
    </xf>
    <xf numFmtId="168" fontId="11" fillId="0" borderId="31" xfId="8" applyNumberFormat="1" applyFont="1" applyBorder="1" applyAlignment="1">
      <alignment horizontal="center"/>
    </xf>
    <xf numFmtId="168" fontId="0" fillId="0" borderId="32" xfId="0" applyNumberFormat="1" applyBorder="1" applyAlignment="1">
      <alignment horizontal="center"/>
    </xf>
    <xf numFmtId="168" fontId="0" fillId="0" borderId="31" xfId="0" applyNumberFormat="1" applyBorder="1" applyAlignment="1">
      <alignment horizontal="center"/>
    </xf>
    <xf numFmtId="168" fontId="0" fillId="0" borderId="33" xfId="0" applyNumberFormat="1" applyBorder="1" applyAlignment="1">
      <alignment horizontal="center"/>
    </xf>
    <xf numFmtId="168" fontId="11" fillId="0" borderId="36" xfId="8" applyNumberFormat="1" applyFont="1" applyBorder="1" applyAlignment="1">
      <alignment horizontal="center"/>
    </xf>
    <xf numFmtId="168" fontId="0" fillId="0" borderId="35" xfId="0" applyNumberFormat="1" applyBorder="1" applyAlignment="1">
      <alignment horizontal="center"/>
    </xf>
    <xf numFmtId="168" fontId="0" fillId="0" borderId="36" xfId="0" applyNumberFormat="1" applyBorder="1" applyAlignment="1">
      <alignment horizontal="center"/>
    </xf>
    <xf numFmtId="168" fontId="0" fillId="0" borderId="37" xfId="0" applyNumberFormat="1" applyBorder="1" applyAlignment="1">
      <alignment horizontal="center"/>
    </xf>
    <xf numFmtId="168" fontId="19" fillId="0" borderId="0" xfId="8" applyNumberFormat="1" applyFont="1" applyAlignment="1">
      <alignment horizontal="center"/>
    </xf>
    <xf numFmtId="168" fontId="47" fillId="0" borderId="30" xfId="0" applyNumberFormat="1" applyFont="1" applyBorder="1" applyAlignment="1">
      <alignment horizontal="center"/>
    </xf>
    <xf numFmtId="168" fontId="47" fillId="0" borderId="0" xfId="0" applyNumberFormat="1" applyFont="1" applyAlignment="1">
      <alignment horizontal="center"/>
    </xf>
    <xf numFmtId="168" fontId="47" fillId="0" borderId="34" xfId="0" applyNumberFormat="1" applyFont="1" applyBorder="1" applyAlignment="1">
      <alignment horizontal="center"/>
    </xf>
    <xf numFmtId="168" fontId="11" fillId="0" borderId="4" xfId="8" applyNumberFormat="1" applyFont="1" applyBorder="1" applyAlignment="1">
      <alignment horizontal="center"/>
    </xf>
    <xf numFmtId="168" fontId="0" fillId="0" borderId="16" xfId="0" applyNumberFormat="1" applyBorder="1" applyAlignment="1">
      <alignment horizontal="center"/>
    </xf>
    <xf numFmtId="168" fontId="0" fillId="0" borderId="38" xfId="0" applyNumberFormat="1" applyBorder="1" applyAlignment="1">
      <alignment horizontal="center"/>
    </xf>
    <xf numFmtId="168" fontId="19" fillId="0" borderId="36" xfId="8" applyNumberFormat="1" applyFont="1" applyBorder="1" applyAlignment="1">
      <alignment horizontal="center"/>
    </xf>
    <xf numFmtId="168" fontId="47" fillId="0" borderId="35" xfId="0" applyNumberFormat="1" applyFont="1" applyBorder="1" applyAlignment="1">
      <alignment horizontal="center"/>
    </xf>
    <xf numFmtId="168" fontId="47" fillId="0" borderId="36" xfId="0" applyNumberFormat="1" applyFont="1" applyBorder="1" applyAlignment="1">
      <alignment horizontal="center"/>
    </xf>
    <xf numFmtId="168" fontId="47" fillId="0" borderId="37" xfId="0" applyNumberFormat="1" applyFont="1" applyBorder="1" applyAlignment="1">
      <alignment horizontal="center"/>
    </xf>
    <xf numFmtId="168" fontId="19" fillId="0" borderId="4" xfId="8" applyNumberFormat="1" applyFont="1" applyBorder="1" applyAlignment="1">
      <alignment horizontal="center"/>
    </xf>
    <xf numFmtId="168" fontId="47" fillId="0" borderId="16" xfId="0" applyNumberFormat="1" applyFont="1" applyBorder="1" applyAlignment="1">
      <alignment horizontal="center"/>
    </xf>
    <xf numFmtId="168" fontId="47" fillId="0" borderId="38" xfId="0" applyNumberFormat="1" applyFont="1" applyBorder="1" applyAlignment="1">
      <alignment horizontal="center"/>
    </xf>
    <xf numFmtId="168" fontId="0" fillId="0" borderId="4" xfId="0" applyNumberFormat="1" applyBorder="1" applyAlignment="1">
      <alignment horizontal="center"/>
    </xf>
    <xf numFmtId="0" fontId="6" fillId="0" borderId="0" xfId="3" applyAlignment="1">
      <alignment horizontal="center"/>
    </xf>
    <xf numFmtId="168" fontId="6" fillId="0" borderId="0" xfId="3" applyNumberFormat="1" applyAlignment="1">
      <alignment horizontal="center"/>
    </xf>
    <xf numFmtId="181" fontId="6" fillId="0" borderId="0" xfId="3" applyNumberFormat="1" applyAlignment="1">
      <alignment horizontal="center"/>
    </xf>
    <xf numFmtId="0" fontId="0" fillId="0" borderId="32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47" fillId="0" borderId="35" xfId="0" applyFont="1" applyBorder="1" applyAlignment="1">
      <alignment horizontal="center"/>
    </xf>
    <xf numFmtId="3" fontId="0" fillId="0" borderId="0" xfId="0" applyNumberFormat="1" applyAlignment="1">
      <alignment horizontal="center"/>
    </xf>
    <xf numFmtId="168" fontId="47" fillId="0" borderId="32" xfId="0" applyNumberFormat="1" applyFont="1" applyBorder="1" applyAlignment="1">
      <alignment horizontal="center"/>
    </xf>
    <xf numFmtId="168" fontId="47" fillId="0" borderId="31" xfId="0" applyNumberFormat="1" applyFont="1" applyBorder="1" applyAlignment="1">
      <alignment horizontal="center"/>
    </xf>
    <xf numFmtId="168" fontId="47" fillId="0" borderId="4" xfId="0" applyNumberFormat="1" applyFont="1" applyBorder="1" applyAlignment="1">
      <alignment horizontal="center"/>
    </xf>
    <xf numFmtId="0" fontId="0" fillId="8" borderId="30" xfId="0" applyFill="1" applyBorder="1"/>
    <xf numFmtId="0" fontId="0" fillId="8" borderId="32" xfId="0" applyFill="1" applyBorder="1"/>
    <xf numFmtId="0" fontId="0" fillId="8" borderId="35" xfId="0" applyFill="1" applyBorder="1"/>
    <xf numFmtId="10" fontId="49" fillId="0" borderId="0" xfId="0" applyNumberFormat="1" applyFont="1" applyAlignment="1">
      <alignment horizontal="center"/>
    </xf>
    <xf numFmtId="10" fontId="50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0" fontId="47" fillId="0" borderId="0" xfId="0" applyFont="1" applyAlignment="1">
      <alignment horizontal="center"/>
    </xf>
    <xf numFmtId="0" fontId="19" fillId="0" borderId="36" xfId="0" applyFont="1" applyBorder="1"/>
    <xf numFmtId="0" fontId="11" fillId="0" borderId="31" xfId="0" applyFont="1" applyBorder="1"/>
    <xf numFmtId="2" fontId="11" fillId="0" borderId="31" xfId="0" applyNumberFormat="1" applyFont="1" applyBorder="1"/>
    <xf numFmtId="2" fontId="19" fillId="0" borderId="31" xfId="0" applyNumberFormat="1" applyFont="1" applyBorder="1"/>
    <xf numFmtId="10" fontId="19" fillId="7" borderId="31" xfId="2" applyNumberFormat="1" applyFont="1" applyFill="1" applyBorder="1" applyAlignment="1">
      <alignment horizontal="right" vertical="center" wrapText="1" readingOrder="1"/>
    </xf>
    <xf numFmtId="10" fontId="11" fillId="7" borderId="0" xfId="0" applyNumberFormat="1" applyFont="1" applyFill="1" applyAlignment="1">
      <alignment horizontal="left" vertical="center" wrapText="1" readingOrder="1"/>
    </xf>
    <xf numFmtId="10" fontId="11" fillId="7" borderId="36" xfId="0" applyNumberFormat="1" applyFont="1" applyFill="1" applyBorder="1" applyAlignment="1">
      <alignment horizontal="left" vertical="center" wrapText="1" readingOrder="1"/>
    </xf>
    <xf numFmtId="10" fontId="11" fillId="7" borderId="0" xfId="2" applyNumberFormat="1" applyFont="1" applyFill="1" applyAlignment="1">
      <alignment horizontal="right" vertical="center" readingOrder="1"/>
    </xf>
    <xf numFmtId="166" fontId="14" fillId="4" borderId="0" xfId="0" applyNumberFormat="1" applyFont="1" applyFill="1" applyBorder="1"/>
    <xf numFmtId="0" fontId="11" fillId="0" borderId="0" xfId="0" applyFont="1" applyFill="1" applyBorder="1"/>
    <xf numFmtId="168" fontId="19" fillId="0" borderId="31" xfId="0" applyNumberFormat="1" applyFont="1" applyFill="1" applyBorder="1"/>
    <xf numFmtId="0" fontId="19" fillId="0" borderId="0" xfId="0" applyFont="1" applyFill="1" applyBorder="1" applyAlignment="1">
      <alignment horizontal="left" indent="1"/>
    </xf>
    <xf numFmtId="0" fontId="11" fillId="0" borderId="0" xfId="0" applyFont="1" applyBorder="1"/>
    <xf numFmtId="168" fontId="11" fillId="0" borderId="0" xfId="0" applyNumberFormat="1" applyFont="1" applyBorder="1"/>
    <xf numFmtId="168" fontId="11" fillId="0" borderId="36" xfId="0" applyNumberFormat="1" applyFont="1" applyBorder="1"/>
    <xf numFmtId="177" fontId="19" fillId="0" borderId="4" xfId="0" applyNumberFormat="1" applyFont="1" applyBorder="1"/>
    <xf numFmtId="177" fontId="11" fillId="2" borderId="3" xfId="1" applyNumberFormat="1" applyFont="1"/>
    <xf numFmtId="191" fontId="11" fillId="0" borderId="0" xfId="10" applyNumberFormat="1" applyFont="1"/>
  </cellXfs>
  <cellStyles count="11">
    <cellStyle name="Assumption" xfId="4" xr:uid="{13E0F060-244A-4114-804B-D04C2B579D70}"/>
    <cellStyle name="Comma" xfId="10" builtinId="3"/>
    <cellStyle name="Heading 3" xfId="6" builtinId="18"/>
    <cellStyle name="Hyperlink" xfId="5" builtinId="8"/>
    <cellStyle name="Normal" xfId="0" builtinId="0"/>
    <cellStyle name="Normal 2" xfId="9" xr:uid="{C9B24AB3-6715-4671-8850-E280676AA35A}"/>
    <cellStyle name="Normal_1" xfId="8" xr:uid="{84F30508-1BA6-480D-880A-10F79C0DAE3A}"/>
    <cellStyle name="Note" xfId="1" builtinId="10"/>
    <cellStyle name="Percent" xfId="2" builtinId="5"/>
    <cellStyle name="Title ERP" xfId="7" xr:uid="{77A82A11-F05B-46F3-BC2E-2128335B1F29}"/>
    <cellStyle name="Warning Text" xfId="3" builtinId="11"/>
  </cellStyles>
  <dxfs count="0"/>
  <tableStyles count="0" defaultTableStyle="TableStyleMedium2" defaultPivotStyle="PivotStyleLight16"/>
  <colors>
    <mruColors>
      <color rgb="FF0000FF"/>
      <color rgb="FF00B000"/>
      <color rgb="FF001440"/>
      <color rgb="FF00006C"/>
      <color rgb="FF00004D"/>
      <color rgb="FFF4FFAF"/>
      <color rgb="FF6666CC"/>
      <color rgb="FF8DA9DB"/>
      <color rgb="FF008000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552772</xdr:colOff>
      <xdr:row>0</xdr:row>
      <xdr:rowOff>26503</xdr:rowOff>
    </xdr:from>
    <xdr:to>
      <xdr:col>9</xdr:col>
      <xdr:colOff>494921</xdr:colOff>
      <xdr:row>3</xdr:row>
      <xdr:rowOff>246948</xdr:rowOff>
    </xdr:to>
    <xdr:pic>
      <xdr:nvPicPr>
        <xdr:cNvPr id="4" name="Graphic 3" descr="Bank with solid fill">
          <a:extLst>
            <a:ext uri="{FF2B5EF4-FFF2-40B4-BE49-F238E27FC236}">
              <a16:creationId xmlns:a16="http://schemas.microsoft.com/office/drawing/2014/main" id="{3F4768FC-40C5-D170-7B28-EE49A686F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347510" y="26503"/>
          <a:ext cx="551749" cy="554553"/>
        </a:xfrm>
        <a:prstGeom prst="rect">
          <a:avLst/>
        </a:prstGeom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seqcapin@gmaco%20|%2091+%20111111111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826EC-05B6-4765-9112-E5A4EA942541}">
  <dimension ref="B2:V37"/>
  <sheetViews>
    <sheetView showGridLines="0" workbookViewId="0">
      <selection activeCell="G13" sqref="G13"/>
    </sheetView>
  </sheetViews>
  <sheetFormatPr defaultRowHeight="13.2" x14ac:dyDescent="0.25"/>
  <cols>
    <col min="1" max="1" width="1.88671875" style="1" customWidth="1"/>
    <col min="2" max="5" width="8.88671875" style="1"/>
    <col min="6" max="6" width="9.77734375" style="1" customWidth="1"/>
    <col min="7" max="7" width="17.77734375" style="1" customWidth="1"/>
    <col min="8" max="8" width="5.44140625" style="1" customWidth="1"/>
    <col min="9" max="10" width="11.33203125" style="1" customWidth="1"/>
    <col min="11" max="11" width="15.33203125" style="1" customWidth="1"/>
    <col min="12" max="12" width="7.88671875" style="1" customWidth="1"/>
    <col min="13" max="13" width="8.44140625" style="1" customWidth="1"/>
    <col min="14" max="14" width="11.33203125" style="1" customWidth="1"/>
    <col min="15" max="15" width="6" style="1" customWidth="1"/>
    <col min="16" max="16" width="9.21875" style="1" bestFit="1" customWidth="1"/>
    <col min="17" max="16384" width="8.88671875" style="1"/>
  </cols>
  <sheetData>
    <row r="2" spans="2:22" ht="15.6" x14ac:dyDescent="0.3">
      <c r="B2" s="10" t="s">
        <v>361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2:22" ht="14.4" x14ac:dyDescent="0.3">
      <c r="B3" s="60" t="s">
        <v>33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2" ht="14.4" x14ac:dyDescent="0.3">
      <c r="B4" s="136" t="s">
        <v>199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2:22" x14ac:dyDescent="0.25">
      <c r="B5" s="3"/>
      <c r="C5" s="4"/>
      <c r="D5" s="4"/>
      <c r="E5" s="4"/>
      <c r="F5" s="4"/>
      <c r="G5" s="312"/>
      <c r="H5" s="312"/>
      <c r="I5" s="312"/>
      <c r="J5" s="312"/>
      <c r="K5" s="312"/>
      <c r="L5" s="312"/>
      <c r="M5" s="312"/>
      <c r="N5" s="312"/>
      <c r="O5" s="312"/>
    </row>
    <row r="7" spans="2:22" s="14" customFormat="1" ht="14.4" x14ac:dyDescent="0.3">
      <c r="B7" s="12" t="s">
        <v>21</v>
      </c>
      <c r="C7" s="12"/>
      <c r="D7" s="12"/>
      <c r="E7" s="12"/>
      <c r="F7" s="12" t="s">
        <v>4</v>
      </c>
      <c r="G7" s="12"/>
      <c r="H7" s="13"/>
      <c r="I7" s="13"/>
      <c r="J7" s="13"/>
      <c r="K7" s="13"/>
      <c r="L7" s="13"/>
      <c r="M7" s="13"/>
      <c r="N7" s="13"/>
      <c r="O7" s="13"/>
    </row>
    <row r="8" spans="2:22" s="14" customFormat="1" ht="13.8" x14ac:dyDescent="0.3"/>
    <row r="9" spans="2:22" s="14" customFormat="1" ht="13.8" x14ac:dyDescent="0.3">
      <c r="B9" s="14" t="s">
        <v>0</v>
      </c>
      <c r="G9" s="319" t="str">
        <f>B2</f>
        <v>Denny's Diner</v>
      </c>
      <c r="H9" s="319"/>
      <c r="M9" s="321" t="s">
        <v>20</v>
      </c>
      <c r="N9" s="321"/>
    </row>
    <row r="10" spans="2:22" s="14" customFormat="1" ht="13.8" x14ac:dyDescent="0.3">
      <c r="B10" s="14" t="s">
        <v>5</v>
      </c>
      <c r="G10" s="319" t="s">
        <v>104</v>
      </c>
      <c r="H10" s="319"/>
      <c r="P10" s="15"/>
      <c r="Q10" s="15"/>
      <c r="R10" s="15"/>
      <c r="S10" s="15"/>
      <c r="T10" s="15"/>
      <c r="U10" s="15"/>
      <c r="V10" s="15"/>
    </row>
    <row r="11" spans="2:22" s="14" customFormat="1" ht="14.4" x14ac:dyDescent="0.3">
      <c r="B11" s="14" t="s">
        <v>6</v>
      </c>
      <c r="F11" s="14" t="s">
        <v>1</v>
      </c>
      <c r="G11" s="320">
        <f>Statements!I7</f>
        <v>45651</v>
      </c>
      <c r="H11" s="320"/>
      <c r="L11" s="322" t="s">
        <v>14</v>
      </c>
      <c r="M11" s="322"/>
      <c r="N11" s="316" t="s">
        <v>19</v>
      </c>
      <c r="O11" s="316"/>
      <c r="P11" s="15"/>
      <c r="Q11" s="15"/>
      <c r="R11" s="15"/>
      <c r="S11" s="15"/>
      <c r="T11" s="15"/>
      <c r="U11" s="15"/>
      <c r="V11" s="15"/>
    </row>
    <row r="12" spans="2:22" s="14" customFormat="1" ht="14.4" x14ac:dyDescent="0.3">
      <c r="L12" s="313" t="s">
        <v>15</v>
      </c>
      <c r="M12" s="314"/>
      <c r="N12" s="317" t="s">
        <v>17</v>
      </c>
      <c r="O12" s="317"/>
      <c r="P12" s="15"/>
      <c r="Q12" s="15"/>
      <c r="R12" s="15"/>
      <c r="S12" s="15"/>
      <c r="T12" s="15"/>
      <c r="U12" s="15"/>
      <c r="V12" s="15"/>
    </row>
    <row r="13" spans="2:22" s="14" customFormat="1" ht="14.4" x14ac:dyDescent="0.3">
      <c r="B13" s="16" t="s">
        <v>7</v>
      </c>
      <c r="C13" s="16"/>
      <c r="D13" s="16"/>
      <c r="E13" s="16"/>
      <c r="F13" s="16"/>
      <c r="G13" s="105" t="s">
        <v>39</v>
      </c>
      <c r="L13" s="315" t="s">
        <v>16</v>
      </c>
      <c r="M13" s="315"/>
      <c r="N13" s="318" t="s">
        <v>18</v>
      </c>
      <c r="O13" s="318"/>
      <c r="P13" s="15"/>
      <c r="Q13" s="15"/>
      <c r="R13" s="15"/>
      <c r="S13" s="15"/>
      <c r="T13" s="15"/>
      <c r="U13" s="15"/>
      <c r="V13" s="15"/>
    </row>
    <row r="14" spans="2:22" s="14" customFormat="1" ht="13.8" x14ac:dyDescent="0.3">
      <c r="L14" s="63" t="s">
        <v>363</v>
      </c>
      <c r="M14" s="15"/>
      <c r="N14" s="15"/>
      <c r="O14" s="15"/>
      <c r="P14" s="15"/>
      <c r="Q14" s="15"/>
      <c r="R14" s="15"/>
      <c r="S14" s="15"/>
      <c r="T14" s="15"/>
      <c r="U14" s="15"/>
      <c r="V14" s="15"/>
    </row>
    <row r="15" spans="2:22" s="14" customFormat="1" ht="13.8" x14ac:dyDescent="0.3">
      <c r="B15" s="14" t="s">
        <v>8</v>
      </c>
      <c r="F15" s="14" t="s">
        <v>1</v>
      </c>
      <c r="G15" s="106">
        <f>Statements!I7</f>
        <v>45651</v>
      </c>
      <c r="M15" s="15"/>
      <c r="N15" s="15"/>
      <c r="O15" s="15"/>
      <c r="P15" s="15"/>
      <c r="Q15" s="15"/>
      <c r="R15" s="15"/>
      <c r="S15" s="15"/>
      <c r="T15" s="15"/>
      <c r="U15" s="15"/>
      <c r="V15" s="15"/>
    </row>
    <row r="16" spans="2:22" s="14" customFormat="1" ht="13.8" x14ac:dyDescent="0.3">
      <c r="B16" s="14" t="s">
        <v>9</v>
      </c>
      <c r="F16" s="14" t="s">
        <v>1</v>
      </c>
      <c r="G16" s="106">
        <f>Statements!N7</f>
        <v>47477</v>
      </c>
      <c r="M16" s="15"/>
      <c r="N16" s="15"/>
      <c r="O16" s="15"/>
      <c r="P16" s="15"/>
      <c r="Q16" s="15"/>
      <c r="R16" s="15"/>
      <c r="S16" s="15"/>
      <c r="T16" s="15"/>
      <c r="U16" s="15"/>
      <c r="V16" s="15"/>
    </row>
    <row r="17" spans="2:22" s="14" customFormat="1" ht="13.8" x14ac:dyDescent="0.3">
      <c r="B17" s="14" t="s">
        <v>10</v>
      </c>
      <c r="F17" s="14" t="s">
        <v>11</v>
      </c>
      <c r="G17" s="107">
        <f>YEARFRAC(G15,G16,1)</f>
        <v>4.9981751824817522</v>
      </c>
      <c r="M17" s="15"/>
      <c r="N17" s="15"/>
      <c r="O17" s="15"/>
      <c r="P17" s="15"/>
      <c r="Q17" s="15"/>
      <c r="R17" s="15"/>
      <c r="S17" s="15"/>
      <c r="T17" s="15"/>
      <c r="U17" s="15"/>
      <c r="V17" s="15"/>
    </row>
    <row r="18" spans="2:22" s="14" customFormat="1" ht="13.8" x14ac:dyDescent="0.3">
      <c r="B18" s="14" t="s">
        <v>13</v>
      </c>
      <c r="F18" s="14" t="s">
        <v>12</v>
      </c>
      <c r="G18" s="108">
        <v>365</v>
      </c>
      <c r="M18" s="15"/>
      <c r="N18" s="15"/>
      <c r="O18" s="15"/>
      <c r="P18" s="15"/>
      <c r="Q18" s="15"/>
      <c r="R18" s="15"/>
      <c r="S18" s="15"/>
      <c r="T18" s="15"/>
      <c r="U18" s="15"/>
      <c r="V18" s="15"/>
    </row>
    <row r="19" spans="2:22" s="14" customFormat="1" ht="13.8" x14ac:dyDescent="0.3">
      <c r="M19" s="15"/>
      <c r="N19" s="15"/>
      <c r="O19" s="15"/>
      <c r="P19" s="15"/>
      <c r="Q19" s="15"/>
      <c r="R19" s="15"/>
      <c r="S19" s="15"/>
      <c r="T19" s="15"/>
      <c r="U19" s="15"/>
      <c r="V19" s="15"/>
    </row>
    <row r="20" spans="2:22" s="14" customFormat="1" ht="13.8" x14ac:dyDescent="0.3"/>
    <row r="21" spans="2:22" s="14" customFormat="1" ht="14.4" x14ac:dyDescent="0.3">
      <c r="C21" s="12" t="s">
        <v>73</v>
      </c>
      <c r="D21" s="13"/>
      <c r="E21" s="13"/>
      <c r="F21" s="13"/>
    </row>
    <row r="22" spans="2:22" s="14" customFormat="1" ht="13.8" x14ac:dyDescent="0.3">
      <c r="C22" s="17" t="s">
        <v>74</v>
      </c>
    </row>
    <row r="23" spans="2:22" s="14" customFormat="1" ht="3.6" customHeight="1" x14ac:dyDescent="0.3"/>
    <row r="24" spans="2:22" s="14" customFormat="1" ht="14.4" x14ac:dyDescent="0.3">
      <c r="B24" s="15">
        <v>1</v>
      </c>
      <c r="C24" s="18" t="s">
        <v>33</v>
      </c>
    </row>
    <row r="25" spans="2:22" s="14" customFormat="1" ht="14.4" thickBot="1" x14ac:dyDescent="0.35">
      <c r="B25" s="15">
        <v>2</v>
      </c>
      <c r="C25" s="19" t="s">
        <v>45</v>
      </c>
    </row>
    <row r="26" spans="2:22" s="14" customFormat="1" ht="13.8" x14ac:dyDescent="0.3">
      <c r="B26" s="15">
        <v>3</v>
      </c>
      <c r="C26" s="20" t="s">
        <v>46</v>
      </c>
    </row>
    <row r="27" spans="2:22" s="14" customFormat="1" ht="13.8" x14ac:dyDescent="0.3">
      <c r="B27" s="15">
        <v>4</v>
      </c>
      <c r="C27" s="20" t="s">
        <v>37</v>
      </c>
    </row>
    <row r="28" spans="2:22" s="14" customFormat="1" ht="13.8" x14ac:dyDescent="0.3">
      <c r="B28" s="15">
        <v>5</v>
      </c>
      <c r="C28" s="20" t="s">
        <v>17</v>
      </c>
    </row>
    <row r="29" spans="2:22" s="14" customFormat="1" ht="13.8" x14ac:dyDescent="0.3">
      <c r="B29" s="15">
        <v>6</v>
      </c>
      <c r="C29" s="20" t="s">
        <v>43</v>
      </c>
    </row>
    <row r="30" spans="2:22" s="14" customFormat="1" ht="14.4" thickBot="1" x14ac:dyDescent="0.35">
      <c r="B30" s="15">
        <v>7</v>
      </c>
      <c r="C30" s="19" t="s">
        <v>48</v>
      </c>
    </row>
    <row r="31" spans="2:22" s="14" customFormat="1" ht="13.8" x14ac:dyDescent="0.3">
      <c r="B31" s="15">
        <v>8</v>
      </c>
      <c r="C31" s="20" t="s">
        <v>51</v>
      </c>
    </row>
    <row r="32" spans="2:22" s="14" customFormat="1" ht="13.8" x14ac:dyDescent="0.3">
      <c r="B32" s="15">
        <v>9</v>
      </c>
      <c r="C32" s="20" t="s">
        <v>50</v>
      </c>
    </row>
    <row r="33" spans="2:6" s="14" customFormat="1" ht="13.8" x14ac:dyDescent="0.3">
      <c r="B33" s="15">
        <v>10</v>
      </c>
      <c r="C33" s="20" t="s">
        <v>49</v>
      </c>
    </row>
    <row r="34" spans="2:6" s="14" customFormat="1" ht="14.4" thickBot="1" x14ac:dyDescent="0.35">
      <c r="B34" s="15">
        <v>11</v>
      </c>
      <c r="C34" s="21" t="s">
        <v>58</v>
      </c>
    </row>
    <row r="35" spans="2:6" s="14" customFormat="1" ht="13.8" x14ac:dyDescent="0.3">
      <c r="B35" s="15">
        <v>12</v>
      </c>
      <c r="C35" s="20" t="s">
        <v>75</v>
      </c>
    </row>
    <row r="36" spans="2:6" s="14" customFormat="1" ht="13.8" x14ac:dyDescent="0.3">
      <c r="B36" s="15">
        <v>13</v>
      </c>
      <c r="C36" s="20" t="s">
        <v>77</v>
      </c>
    </row>
    <row r="37" spans="2:6" s="14" customFormat="1" ht="14.4" x14ac:dyDescent="0.3">
      <c r="C37" s="13"/>
      <c r="D37" s="13"/>
      <c r="E37" s="13"/>
      <c r="F37" s="13"/>
    </row>
  </sheetData>
  <mergeCells count="12">
    <mergeCell ref="G5:J5"/>
    <mergeCell ref="K5:O5"/>
    <mergeCell ref="L12:M12"/>
    <mergeCell ref="L13:M13"/>
    <mergeCell ref="N11:O11"/>
    <mergeCell ref="N12:O12"/>
    <mergeCell ref="N13:O13"/>
    <mergeCell ref="G9:H9"/>
    <mergeCell ref="G10:H10"/>
    <mergeCell ref="G11:H11"/>
    <mergeCell ref="M9:N9"/>
    <mergeCell ref="L11:M11"/>
  </mergeCells>
  <hyperlinks>
    <hyperlink ref="C24" location="Dashboard!A1" display="Dashboard" xr:uid="{9C73C154-C68B-454C-852F-D91427F3C438}"/>
    <hyperlink ref="C25" location="'Financials-&gt;'!A1" display="Financials" xr:uid="{9EB1F29F-EE24-4AE6-AFF2-F1CBF4F8C1DE}"/>
    <hyperlink ref="C26" location="Statements!A1" display="Statements" xr:uid="{FF406334-9291-44BC-A10D-46BA488F313D}"/>
    <hyperlink ref="C27" location="Scenario!A1" display="Scenario" xr:uid="{627DCDE0-0927-4D09-AABB-133D7D82A9AD}"/>
    <hyperlink ref="C28" location="Assumptions!A1" display="Assumptions" xr:uid="{B0546597-0306-49E6-8CA2-46F168078804}"/>
    <hyperlink ref="C29" location="Schedule!A1" display="Schedule" xr:uid="{F8C637A0-EADC-4EA0-984D-A00DB590DF2C}"/>
    <hyperlink ref="C30" location="'Valuation-&gt;'!A1" display="Valuation" xr:uid="{285E0536-6BC2-46FA-8BAF-2F6A42DB5126}"/>
    <hyperlink ref="C31" location="Beta!A1" display="Beta" xr:uid="{9EFBD76D-E381-42AC-BD1F-8C26DC615ED0}"/>
    <hyperlink ref="C32" location="WACC!A1" display="WACC" xr:uid="{0415E4CF-6814-493D-A057-79F7E9E7D99F}"/>
    <hyperlink ref="C33" location="FCFF!A1" display="FCFF" xr:uid="{B5AD4E4D-210D-4829-927E-24383B87FBCF}"/>
    <hyperlink ref="C34" location="Report!A1" display="Report" xr:uid="{AE5AD584-FDA9-4512-AFC4-856E2FEB3AAE}"/>
    <hyperlink ref="C35" location="'Ratio Analysis'!A1" display="Ratio Analysis" xr:uid="{71B97E50-971D-4837-A6B4-58EF43AF1C7C}"/>
    <hyperlink ref="C36" location="'Equity Report'!A1" display="Equity Report" xr:uid="{0FFC448C-375D-41DE-A8DB-BBD220A9CB46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Scenario" prompt="Optimestic - &quot;Best&quot;_x000a_Street - &quot;Market&quot;_x000a_Pessimestic - &quot;Worst&quot;" xr:uid="{D8C8D7D8-48EB-49CE-BD5A-11487FC86F41}">
          <x14:formula1>
            <xm:f>Assumptions!$B$14:$B$16</xm:f>
          </x14:formula1>
          <xm:sqref>G13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4CFEF-B378-4225-B4E0-924531738075}">
  <sheetPr>
    <tabColor rgb="FF00004D"/>
  </sheetPr>
  <dimension ref="A1"/>
  <sheetViews>
    <sheetView showGridLines="0"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86AC-83E4-4BFE-86DE-94869AE10D6C}">
  <dimension ref="A1:S147"/>
  <sheetViews>
    <sheetView showGridLines="0" topLeftCell="A9" zoomScaleNormal="100" workbookViewId="0">
      <selection activeCell="K59" sqref="K59"/>
    </sheetView>
  </sheetViews>
  <sheetFormatPr defaultRowHeight="13.8" outlineLevelRow="1" x14ac:dyDescent="0.3"/>
  <cols>
    <col min="1" max="1" width="1.88671875" style="14" customWidth="1"/>
    <col min="2" max="2" width="12.21875" style="14" customWidth="1"/>
    <col min="3" max="3" width="6.33203125" style="14" customWidth="1"/>
    <col min="4" max="4" width="8.88671875" style="14"/>
    <col min="5" max="5" width="9.77734375" style="14" customWidth="1"/>
    <col min="6" max="6" width="9.44140625" style="14" customWidth="1"/>
    <col min="7" max="14" width="13.109375" style="14" customWidth="1"/>
    <col min="15" max="16" width="12" style="14" customWidth="1"/>
    <col min="17" max="19" width="16" style="14" customWidth="1"/>
    <col min="20" max="16384" width="8.88671875" style="14"/>
  </cols>
  <sheetData>
    <row r="1" spans="1:19" s="22" customFormat="1" ht="14.4" x14ac:dyDescent="0.3"/>
    <row r="2" spans="1:19" s="22" customFormat="1" ht="15.6" x14ac:dyDescent="0.3">
      <c r="A2" s="23"/>
      <c r="B2" s="24" t="str">
        <f>Dashboard!B2</f>
        <v>Denny's Diner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</row>
    <row r="3" spans="1:19" s="22" customFormat="1" ht="14.4" x14ac:dyDescent="0.3">
      <c r="B3" s="60" t="s">
        <v>36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</row>
    <row r="4" spans="1:19" s="22" customFormat="1" ht="14.4" x14ac:dyDescent="0.3">
      <c r="B4" s="75" t="str">
        <f>Dashboard!B4</f>
        <v>(In $ thousands, except per share amounts)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s="22" customFormat="1" ht="14.4" x14ac:dyDescent="0.3">
      <c r="B5" s="11" t="s">
        <v>38</v>
      </c>
      <c r="C5" s="25"/>
      <c r="D5" s="11" t="str">
        <f>Dashboard!G13</f>
        <v>Street</v>
      </c>
      <c r="E5" s="25"/>
      <c r="F5" s="25"/>
      <c r="G5" s="27"/>
      <c r="H5" s="27"/>
      <c r="I5" s="27"/>
      <c r="J5" s="27"/>
      <c r="K5" s="27"/>
      <c r="L5" s="27"/>
      <c r="M5" s="27"/>
      <c r="N5" s="27"/>
      <c r="O5" s="25"/>
      <c r="P5" s="25"/>
      <c r="Q5" s="25"/>
      <c r="R5" s="25"/>
      <c r="S5" s="25"/>
    </row>
    <row r="6" spans="1:19" s="22" customFormat="1" ht="14.4" x14ac:dyDescent="0.3">
      <c r="B6" s="11" t="s">
        <v>172</v>
      </c>
      <c r="C6" s="28"/>
      <c r="D6" s="28"/>
      <c r="E6" s="28"/>
      <c r="F6" s="29"/>
      <c r="G6" s="323" t="s">
        <v>171</v>
      </c>
      <c r="H6" s="323"/>
      <c r="I6" s="324"/>
      <c r="J6" s="325" t="s">
        <v>2</v>
      </c>
      <c r="K6" s="326"/>
      <c r="L6" s="326"/>
      <c r="M6" s="326"/>
      <c r="N6" s="326"/>
      <c r="O6" s="327" t="s">
        <v>32</v>
      </c>
      <c r="P6" s="328"/>
      <c r="Q6" s="329" t="s">
        <v>18</v>
      </c>
      <c r="R6" s="330"/>
      <c r="S6" s="330"/>
    </row>
    <row r="7" spans="1:19" s="22" customFormat="1" ht="14.4" x14ac:dyDescent="0.3">
      <c r="B7" s="11" t="s">
        <v>173</v>
      </c>
      <c r="C7" s="28"/>
      <c r="D7" s="28"/>
      <c r="E7" s="28"/>
      <c r="F7" s="29"/>
      <c r="G7" s="30">
        <v>44920</v>
      </c>
      <c r="H7" s="30">
        <f t="shared" ref="H7:N7" si="0">EDATE(G7,12)</f>
        <v>45285</v>
      </c>
      <c r="I7" s="31">
        <f t="shared" si="0"/>
        <v>45651</v>
      </c>
      <c r="J7" s="32">
        <f t="shared" si="0"/>
        <v>46016</v>
      </c>
      <c r="K7" s="32">
        <f t="shared" si="0"/>
        <v>46381</v>
      </c>
      <c r="L7" s="33">
        <f t="shared" si="0"/>
        <v>46746</v>
      </c>
      <c r="M7" s="32">
        <f t="shared" si="0"/>
        <v>47112</v>
      </c>
      <c r="N7" s="33">
        <f t="shared" si="0"/>
        <v>47477</v>
      </c>
      <c r="O7" s="34" t="s">
        <v>41</v>
      </c>
      <c r="P7" s="35" t="s">
        <v>40</v>
      </c>
      <c r="Q7" s="331"/>
      <c r="R7" s="332"/>
      <c r="S7" s="332"/>
    </row>
    <row r="8" spans="1:19" x14ac:dyDescent="0.3">
      <c r="G8" s="36"/>
      <c r="H8" s="36"/>
      <c r="L8" s="37"/>
    </row>
    <row r="9" spans="1:19" ht="14.4" x14ac:dyDescent="0.3">
      <c r="B9" s="38" t="s">
        <v>47</v>
      </c>
    </row>
    <row r="10" spans="1:19" ht="14.4" x14ac:dyDescent="0.3">
      <c r="B10" s="38"/>
    </row>
    <row r="11" spans="1:19" ht="14.4" x14ac:dyDescent="0.3">
      <c r="B11" s="38" t="s">
        <v>53</v>
      </c>
      <c r="C11" s="104" t="s">
        <v>35</v>
      </c>
      <c r="E11" s="103" t="s">
        <v>54</v>
      </c>
    </row>
    <row r="12" spans="1:19" ht="14.4" x14ac:dyDescent="0.3">
      <c r="B12" s="38"/>
      <c r="C12" s="39"/>
      <c r="E12" s="39"/>
    </row>
    <row r="13" spans="1:19" ht="14.4" x14ac:dyDescent="0.3"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</row>
    <row r="15" spans="1:19" x14ac:dyDescent="0.3">
      <c r="B15" s="41" t="s">
        <v>22</v>
      </c>
      <c r="C15" s="14" t="s">
        <v>26</v>
      </c>
      <c r="E15" s="41" t="s">
        <v>24</v>
      </c>
      <c r="F15" s="14" t="s">
        <v>30</v>
      </c>
    </row>
    <row r="16" spans="1:19" x14ac:dyDescent="0.3">
      <c r="B16" s="41" t="s">
        <v>23</v>
      </c>
      <c r="C16" s="14" t="s">
        <v>27</v>
      </c>
      <c r="E16" s="41" t="s">
        <v>25</v>
      </c>
      <c r="F16" s="14" t="s">
        <v>31</v>
      </c>
    </row>
    <row r="17" spans="1:19" x14ac:dyDescent="0.3">
      <c r="B17" s="41" t="s">
        <v>28</v>
      </c>
      <c r="C17" s="14" t="s">
        <v>29</v>
      </c>
    </row>
    <row r="18" spans="1:19" x14ac:dyDescent="0.3">
      <c r="B18" s="41" t="s">
        <v>4</v>
      </c>
      <c r="C18" s="14" t="s">
        <v>98</v>
      </c>
    </row>
    <row r="20" spans="1:19" s="22" customFormat="1" ht="14.4" x14ac:dyDescent="0.3">
      <c r="A20" s="22" t="s">
        <v>34</v>
      </c>
      <c r="B20" s="42" t="s">
        <v>35</v>
      </c>
      <c r="C20" s="40"/>
      <c r="D20" s="40"/>
      <c r="E20" s="40"/>
      <c r="F20" s="40"/>
      <c r="G20" s="120">
        <v>44920</v>
      </c>
      <c r="H20" s="120">
        <v>45285</v>
      </c>
      <c r="I20" s="120">
        <v>45651</v>
      </c>
      <c r="J20" s="121">
        <v>46016</v>
      </c>
      <c r="K20" s="121">
        <v>46381</v>
      </c>
      <c r="L20" s="121">
        <v>46746</v>
      </c>
      <c r="M20" s="121">
        <v>47112</v>
      </c>
      <c r="N20" s="121">
        <v>47477</v>
      </c>
      <c r="O20" s="40"/>
      <c r="P20" s="40"/>
      <c r="Q20" s="40"/>
      <c r="R20" s="40"/>
      <c r="S20" s="40"/>
    </row>
    <row r="21" spans="1:19" s="43" customFormat="1" x14ac:dyDescent="0.3"/>
    <row r="22" spans="1:19" s="43" customFormat="1" x14ac:dyDescent="0.3">
      <c r="B22" s="112" t="s">
        <v>105</v>
      </c>
    </row>
    <row r="23" spans="1:19" s="43" customFormat="1" x14ac:dyDescent="0.3">
      <c r="B23" s="109" t="s">
        <v>106</v>
      </c>
      <c r="G23" s="118">
        <v>199753</v>
      </c>
      <c r="H23" s="118">
        <v>215532</v>
      </c>
      <c r="I23" s="118">
        <v>211781</v>
      </c>
      <c r="J23" s="118">
        <f ca="1">Assumptions!J23</f>
        <v>213633.92022701126</v>
      </c>
      <c r="K23" s="118">
        <f ca="1">Assumptions!K23</f>
        <v>218849.95715017742</v>
      </c>
      <c r="L23" s="118">
        <f ca="1">Assumptions!L23</f>
        <v>228203.91530585609</v>
      </c>
      <c r="M23" s="118">
        <f ca="1">Assumptions!M23</f>
        <v>238731.34100994869</v>
      </c>
      <c r="N23" s="118">
        <f ca="1">Assumptions!N23</f>
        <v>251341.80326014449</v>
      </c>
    </row>
    <row r="24" spans="1:19" s="43" customFormat="1" x14ac:dyDescent="0.3">
      <c r="B24" s="109" t="s">
        <v>107</v>
      </c>
      <c r="G24" s="118">
        <v>256676</v>
      </c>
      <c r="H24" s="118">
        <v>248390</v>
      </c>
      <c r="I24" s="118">
        <v>240553</v>
      </c>
      <c r="J24" s="118">
        <f ca="1">Assumptions!J42</f>
        <v>241068.34565072367</v>
      </c>
      <c r="K24" s="118">
        <f ca="1">Assumptions!K42</f>
        <v>245424.28262319809</v>
      </c>
      <c r="L24" s="118">
        <f ca="1">Assumptions!L42</f>
        <v>254555.12179133919</v>
      </c>
      <c r="M24" s="118">
        <f ca="1">Assumptions!M42</f>
        <v>264671.24900658417</v>
      </c>
      <c r="N24" s="118">
        <f ca="1">Assumptions!N42</f>
        <v>276654.60448994988</v>
      </c>
    </row>
    <row r="25" spans="1:19" s="43" customFormat="1" x14ac:dyDescent="0.3">
      <c r="B25" s="111" t="s">
        <v>108</v>
      </c>
      <c r="G25" s="119">
        <v>456429</v>
      </c>
      <c r="H25" s="119">
        <v>463922</v>
      </c>
      <c r="I25" s="119">
        <f>SUM(I23:I24)</f>
        <v>452334</v>
      </c>
      <c r="J25" s="119">
        <f ca="1">SUM(J23:J24)</f>
        <v>454702.26587773493</v>
      </c>
      <c r="K25" s="119">
        <f t="shared" ref="K25:N25" ca="1" si="1">SUM(K23:K24)</f>
        <v>464274.23977337551</v>
      </c>
      <c r="L25" s="119">
        <f t="shared" ca="1" si="1"/>
        <v>482759.03709719528</v>
      </c>
      <c r="M25" s="119">
        <f t="shared" ca="1" si="1"/>
        <v>503402.59001653286</v>
      </c>
      <c r="N25" s="119">
        <f t="shared" ca="1" si="1"/>
        <v>527996.40775009431</v>
      </c>
    </row>
    <row r="26" spans="1:19" s="43" customFormat="1" outlineLevel="1" x14ac:dyDescent="0.3">
      <c r="B26" s="112" t="s">
        <v>123</v>
      </c>
      <c r="G26" s="118"/>
      <c r="H26" s="118"/>
      <c r="I26" s="118"/>
      <c r="J26" s="118"/>
      <c r="K26" s="118"/>
      <c r="L26" s="118"/>
      <c r="M26" s="118"/>
      <c r="N26" s="118"/>
    </row>
    <row r="27" spans="1:19" s="43" customFormat="1" outlineLevel="1" x14ac:dyDescent="0.3">
      <c r="B27" s="109" t="s">
        <v>109</v>
      </c>
      <c r="G27" s="118">
        <v>53617</v>
      </c>
      <c r="H27" s="118">
        <v>55789</v>
      </c>
      <c r="I27" s="118">
        <v>53931</v>
      </c>
      <c r="J27" s="118">
        <f ca="1">Assumptions!J86</f>
        <v>55718.532842616019</v>
      </c>
      <c r="K27" s="118">
        <f ca="1">Assumptions!K86</f>
        <v>57048.893833388749</v>
      </c>
      <c r="L27" s="118">
        <f ca="1">Assumptions!L86</f>
        <v>60191.557903106754</v>
      </c>
      <c r="M27" s="118">
        <f ca="1">Assumptions!M86</f>
        <v>63708.953486677237</v>
      </c>
      <c r="N27" s="118">
        <f ca="1">Assumptions!N86</f>
        <v>67525.476969302254</v>
      </c>
    </row>
    <row r="28" spans="1:19" s="43" customFormat="1" outlineLevel="1" x14ac:dyDescent="0.3">
      <c r="B28" s="109" t="s">
        <v>110</v>
      </c>
      <c r="G28" s="118">
        <v>76412</v>
      </c>
      <c r="H28" s="118">
        <v>80666</v>
      </c>
      <c r="I28" s="118">
        <v>80605</v>
      </c>
      <c r="J28" s="118">
        <f ca="1">Assumptions!J94</f>
        <v>81242.611227493078</v>
      </c>
      <c r="K28" s="118">
        <f ca="1">Assumptions!K94</f>
        <v>84511.780332756243</v>
      </c>
      <c r="L28" s="118">
        <f ca="1">Assumptions!L94</f>
        <v>91198.439558171754</v>
      </c>
      <c r="M28" s="118">
        <f ca="1">Assumptions!M94</f>
        <v>98937.055436288108</v>
      </c>
      <c r="N28" s="118">
        <f ca="1">Assumptions!N94</f>
        <v>108511.30505574794</v>
      </c>
    </row>
    <row r="29" spans="1:19" s="43" customFormat="1" outlineLevel="1" x14ac:dyDescent="0.3">
      <c r="B29" s="109" t="s">
        <v>111</v>
      </c>
      <c r="G29" s="118">
        <v>15154</v>
      </c>
      <c r="H29" s="118">
        <v>16809</v>
      </c>
      <c r="I29" s="118">
        <v>18129</v>
      </c>
      <c r="J29" s="118">
        <f ca="1">Assumptions!J104</f>
        <v>15545.869263878325</v>
      </c>
      <c r="K29" s="118">
        <f ca="1">Assumptions!K104</f>
        <v>16637.872873522108</v>
      </c>
      <c r="L29" s="118">
        <f ca="1">Assumptions!L104</f>
        <v>17517.315312380219</v>
      </c>
      <c r="M29" s="118">
        <f ca="1">Assumptions!M104</f>
        <v>17640.412989499146</v>
      </c>
      <c r="N29" s="118">
        <f ca="1">Assumptions!N104</f>
        <v>18622.843038222331</v>
      </c>
    </row>
    <row r="30" spans="1:19" s="43" customFormat="1" outlineLevel="1" x14ac:dyDescent="0.3">
      <c r="B30" s="109" t="s">
        <v>112</v>
      </c>
      <c r="G30" s="118">
        <v>34275</v>
      </c>
      <c r="H30" s="118">
        <v>34335</v>
      </c>
      <c r="I30" s="118">
        <v>37079</v>
      </c>
      <c r="J30" s="118">
        <f ca="1">Assumptions!J107</f>
        <v>35023.703569795704</v>
      </c>
      <c r="K30" s="118">
        <f ca="1">Assumptions!K107</f>
        <v>36059.944129070886</v>
      </c>
      <c r="L30" s="118">
        <f ca="1">Assumptions!L107</f>
        <v>38084.48708176909</v>
      </c>
      <c r="M30" s="118">
        <f ca="1">Assumptions!M107</f>
        <v>39195.646083788204</v>
      </c>
      <c r="N30" s="118">
        <f ca="1">Assumptions!N107</f>
        <v>41257.665570139208</v>
      </c>
    </row>
    <row r="31" spans="1:19" s="43" customFormat="1" outlineLevel="1" x14ac:dyDescent="0.3">
      <c r="B31" s="111" t="s">
        <v>124</v>
      </c>
      <c r="G31" s="119">
        <f t="shared" ref="G31:I31" si="2">SUM(G27:G30)</f>
        <v>179458</v>
      </c>
      <c r="H31" s="119">
        <f t="shared" si="2"/>
        <v>187599</v>
      </c>
      <c r="I31" s="119">
        <f t="shared" si="2"/>
        <v>189744</v>
      </c>
      <c r="J31" s="119">
        <f ca="1">SUM(J27:J30)</f>
        <v>187530.71690378312</v>
      </c>
      <c r="K31" s="119">
        <f t="shared" ref="K31:N31" ca="1" si="3">SUM(K27:K30)</f>
        <v>194258.49116873796</v>
      </c>
      <c r="L31" s="119">
        <f t="shared" ca="1" si="3"/>
        <v>206991.79985542782</v>
      </c>
      <c r="M31" s="119">
        <f t="shared" ca="1" si="3"/>
        <v>219482.06799625268</v>
      </c>
      <c r="N31" s="119">
        <f t="shared" ca="1" si="3"/>
        <v>235917.29063341176</v>
      </c>
    </row>
    <row r="32" spans="1:19" s="43" customFormat="1" outlineLevel="1" x14ac:dyDescent="0.3">
      <c r="G32" s="118"/>
      <c r="H32" s="118"/>
      <c r="I32" s="118"/>
      <c r="J32" s="118"/>
      <c r="K32" s="118"/>
      <c r="L32" s="118"/>
      <c r="M32" s="118"/>
      <c r="N32" s="118"/>
    </row>
    <row r="33" spans="2:14" s="43" customFormat="1" outlineLevel="1" x14ac:dyDescent="0.3">
      <c r="B33" s="114" t="s">
        <v>125</v>
      </c>
      <c r="G33" s="118">
        <v>135327</v>
      </c>
      <c r="H33" s="118">
        <v>122452</v>
      </c>
      <c r="I33" s="118">
        <v>120226</v>
      </c>
      <c r="J33" s="118">
        <f ca="1">Assumptions!J119</f>
        <v>122250.35118166066</v>
      </c>
      <c r="K33" s="118">
        <f ca="1">Assumptions!K119</f>
        <v>122584.66387285219</v>
      </c>
      <c r="L33" s="118">
        <f ca="1">Assumptions!L119</f>
        <v>128099.43628776954</v>
      </c>
      <c r="M33" s="118">
        <f ca="1">Assumptions!M119</f>
        <v>133401.97450684439</v>
      </c>
      <c r="N33" s="118">
        <f ca="1">Assumptions!N119</f>
        <v>138979.75556920064</v>
      </c>
    </row>
    <row r="34" spans="2:14" s="43" customFormat="1" outlineLevel="1" x14ac:dyDescent="0.3">
      <c r="B34" s="114" t="s">
        <v>113</v>
      </c>
      <c r="G34" s="118">
        <v>67173</v>
      </c>
      <c r="H34" s="118">
        <v>77770</v>
      </c>
      <c r="I34" s="118">
        <v>80197</v>
      </c>
      <c r="J34" s="118">
        <f ca="1">Assumptions!J121</f>
        <v>74586.733491046325</v>
      </c>
      <c r="K34" s="118">
        <f ca="1">Assumptions!K121</f>
        <v>78766.623122145349</v>
      </c>
      <c r="L34" s="118">
        <f ca="1">Assumptions!L121</f>
        <v>82227.636478275163</v>
      </c>
      <c r="M34" s="118">
        <f ca="1">Assumptions!M121</f>
        <v>84574.67805240117</v>
      </c>
      <c r="N34" s="118">
        <f ca="1">Assumptions!N121</f>
        <v>89405.623725269776</v>
      </c>
    </row>
    <row r="35" spans="2:14" s="43" customFormat="1" outlineLevel="1" x14ac:dyDescent="0.3">
      <c r="B35" s="114" t="s">
        <v>114</v>
      </c>
      <c r="G35" s="118">
        <v>14862</v>
      </c>
      <c r="H35" s="118">
        <v>14385</v>
      </c>
      <c r="I35" s="118">
        <v>14857</v>
      </c>
      <c r="J35" s="118">
        <f ca="1">Schedule!J27+Schedule!J45+Schedule!J60</f>
        <v>13724.576657638916</v>
      </c>
      <c r="K35" s="118">
        <f ca="1">Schedule!K27+Schedule!K45+Schedule!K60</f>
        <v>13914.684419788182</v>
      </c>
      <c r="L35" s="118">
        <f ca="1">Schedule!L27+Schedule!L45+Schedule!L60</f>
        <v>14602.521047936578</v>
      </c>
      <c r="M35" s="118">
        <f ca="1">Schedule!M27+Schedule!M45+Schedule!M60</f>
        <v>15365.381207057684</v>
      </c>
      <c r="N35" s="118">
        <f ca="1">Schedule!N27+Schedule!N45+Schedule!N60</f>
        <v>16163.077366366026</v>
      </c>
    </row>
    <row r="36" spans="2:14" s="43" customFormat="1" outlineLevel="1" x14ac:dyDescent="0.3">
      <c r="B36" s="114" t="s">
        <v>115</v>
      </c>
      <c r="G36" s="118">
        <v>0</v>
      </c>
      <c r="H36" s="118">
        <v>6363</v>
      </c>
      <c r="I36" s="118">
        <v>20</v>
      </c>
      <c r="J36" s="118">
        <v>0</v>
      </c>
      <c r="K36" s="118">
        <v>0</v>
      </c>
      <c r="L36" s="118">
        <v>0</v>
      </c>
      <c r="M36" s="118">
        <v>0</v>
      </c>
      <c r="N36" s="118">
        <v>0</v>
      </c>
    </row>
    <row r="37" spans="2:14" s="43" customFormat="1" outlineLevel="1" x14ac:dyDescent="0.3">
      <c r="B37" s="114" t="s">
        <v>126</v>
      </c>
      <c r="G37" s="118">
        <v>-1005</v>
      </c>
      <c r="H37" s="118">
        <v>2530</v>
      </c>
      <c r="I37" s="118">
        <v>1974</v>
      </c>
      <c r="J37" s="118">
        <v>0</v>
      </c>
      <c r="K37" s="118">
        <v>0</v>
      </c>
      <c r="L37" s="118">
        <v>0</v>
      </c>
      <c r="M37" s="118">
        <v>0</v>
      </c>
      <c r="N37" s="118">
        <v>0</v>
      </c>
    </row>
    <row r="38" spans="2:14" s="43" customFormat="1" x14ac:dyDescent="0.3">
      <c r="B38" s="113" t="s">
        <v>116</v>
      </c>
      <c r="G38" s="119">
        <v>395815</v>
      </c>
      <c r="H38" s="119">
        <v>411099</v>
      </c>
      <c r="I38" s="119">
        <v>407018</v>
      </c>
      <c r="J38" s="119">
        <f ca="1">SUM(J33:J37)+J31</f>
        <v>398092.37823412905</v>
      </c>
      <c r="K38" s="119">
        <f t="shared" ref="K38:N38" ca="1" si="4">SUM(K33:K37)+K31</f>
        <v>409524.46258352371</v>
      </c>
      <c r="L38" s="119">
        <f t="shared" ca="1" si="4"/>
        <v>431921.3936694091</v>
      </c>
      <c r="M38" s="119">
        <f t="shared" ca="1" si="4"/>
        <v>452824.10176255589</v>
      </c>
      <c r="N38" s="119">
        <f t="shared" ca="1" si="4"/>
        <v>480465.7472942482</v>
      </c>
    </row>
    <row r="39" spans="2:14" s="43" customFormat="1" x14ac:dyDescent="0.3">
      <c r="G39" s="118"/>
      <c r="H39" s="118"/>
      <c r="I39" s="118"/>
      <c r="J39" s="118"/>
      <c r="K39" s="118"/>
      <c r="L39" s="118"/>
      <c r="M39" s="118"/>
      <c r="N39" s="118"/>
    </row>
    <row r="40" spans="2:14" s="43" customFormat="1" x14ac:dyDescent="0.3">
      <c r="B40" s="115" t="s">
        <v>117</v>
      </c>
      <c r="G40" s="119">
        <v>60614</v>
      </c>
      <c r="H40" s="119">
        <v>52823</v>
      </c>
      <c r="I40" s="119">
        <v>45316</v>
      </c>
      <c r="J40" s="119">
        <f ca="1">J25-J38</f>
        <v>56609.887643605878</v>
      </c>
      <c r="K40" s="119">
        <f t="shared" ref="K40:N40" ca="1" si="5">K25-K38</f>
        <v>54749.777189851797</v>
      </c>
      <c r="L40" s="119">
        <f t="shared" ca="1" si="5"/>
        <v>50837.643427786184</v>
      </c>
      <c r="M40" s="119">
        <f t="shared" ca="1" si="5"/>
        <v>50578.488253976975</v>
      </c>
      <c r="N40" s="119">
        <f t="shared" ca="1" si="5"/>
        <v>47530.660455846111</v>
      </c>
    </row>
    <row r="41" spans="2:14" s="43" customFormat="1" outlineLevel="1" x14ac:dyDescent="0.3">
      <c r="B41" s="109" t="s">
        <v>118</v>
      </c>
      <c r="G41" s="118">
        <v>13769</v>
      </c>
      <c r="H41" s="118">
        <v>17597</v>
      </c>
      <c r="I41" s="118">
        <v>17974</v>
      </c>
      <c r="J41" s="118">
        <f ca="1">Schedule!J95+Schedule!J110</f>
        <v>16021.14</v>
      </c>
      <c r="K41" s="118">
        <f ca="1">Schedule!K95+Schedule!K110</f>
        <v>12912.75</v>
      </c>
      <c r="L41" s="118">
        <f ca="1">Schedule!L95+Schedule!L110</f>
        <v>9910.15</v>
      </c>
      <c r="M41" s="118">
        <f ca="1">Schedule!M95+Schedule!M110</f>
        <v>7234.5</v>
      </c>
      <c r="N41" s="118">
        <f ca="1">Schedule!N95+Schedule!N110</f>
        <v>4563.2</v>
      </c>
    </row>
    <row r="42" spans="2:14" s="43" customFormat="1" outlineLevel="1" x14ac:dyDescent="0.3">
      <c r="B42" s="109" t="s">
        <v>119</v>
      </c>
      <c r="G42" s="118">
        <v>-52585</v>
      </c>
      <c r="H42" s="118">
        <v>8288</v>
      </c>
      <c r="I42" s="118">
        <v>-1907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2:14" s="43" customFormat="1" outlineLevel="1" x14ac:dyDescent="0.3">
      <c r="B43" s="111" t="s">
        <v>120</v>
      </c>
      <c r="G43" s="119">
        <v>99430</v>
      </c>
      <c r="H43" s="119">
        <v>26938</v>
      </c>
      <c r="I43" s="119">
        <v>29249</v>
      </c>
      <c r="J43" s="119">
        <f ca="1">J40-SUM(J41:J42)</f>
        <v>40588.747643605879</v>
      </c>
      <c r="K43" s="119">
        <f t="shared" ref="K43:N43" ca="1" si="6">K40-SUM(K41:K42)</f>
        <v>41837.027189851797</v>
      </c>
      <c r="L43" s="119">
        <f t="shared" ca="1" si="6"/>
        <v>40927.493427786183</v>
      </c>
      <c r="M43" s="119">
        <f t="shared" ca="1" si="6"/>
        <v>43343.988253976975</v>
      </c>
      <c r="N43" s="119">
        <f t="shared" ca="1" si="6"/>
        <v>42967.460455846114</v>
      </c>
    </row>
    <row r="44" spans="2:14" s="43" customFormat="1" outlineLevel="1" x14ac:dyDescent="0.3">
      <c r="B44" s="109" t="s">
        <v>121</v>
      </c>
      <c r="G44" s="118">
        <v>24718</v>
      </c>
      <c r="H44" s="118">
        <v>6993</v>
      </c>
      <c r="I44" s="118">
        <v>7678</v>
      </c>
      <c r="J44" s="118">
        <f ca="1">Assumptions!J124</f>
        <v>10553.074387337529</v>
      </c>
      <c r="K44" s="118">
        <f ca="1">Assumptions!K124</f>
        <v>10877.627069361468</v>
      </c>
      <c r="L44" s="118">
        <f ca="1">Assumptions!L124</f>
        <v>10641.148291224408</v>
      </c>
      <c r="M44" s="118">
        <f ca="1">Assumptions!M124</f>
        <v>11269.436946034013</v>
      </c>
      <c r="N44" s="118">
        <f ca="1">Assumptions!N124</f>
        <v>11171.539718519991</v>
      </c>
    </row>
    <row r="45" spans="2:14" s="43" customFormat="1" x14ac:dyDescent="0.3">
      <c r="B45" s="111" t="s">
        <v>122</v>
      </c>
      <c r="G45" s="119">
        <v>74712</v>
      </c>
      <c r="H45" s="119">
        <v>19945</v>
      </c>
      <c r="I45" s="119">
        <v>21571</v>
      </c>
      <c r="J45" s="119">
        <f ca="1">J43-J44</f>
        <v>30035.67325626835</v>
      </c>
      <c r="K45" s="119">
        <f t="shared" ref="K45:N45" ca="1" si="7">K43-K44</f>
        <v>30959.400120490329</v>
      </c>
      <c r="L45" s="119">
        <f t="shared" ca="1" si="7"/>
        <v>30286.345136561773</v>
      </c>
      <c r="M45" s="119">
        <f t="shared" ca="1" si="7"/>
        <v>32074.551307942962</v>
      </c>
      <c r="N45" s="119">
        <f t="shared" ca="1" si="7"/>
        <v>31795.920737326123</v>
      </c>
    </row>
    <row r="46" spans="2:14" s="43" customFormat="1" x14ac:dyDescent="0.3">
      <c r="B46" s="115"/>
      <c r="I46" s="112"/>
    </row>
    <row r="47" spans="2:14" s="43" customFormat="1" x14ac:dyDescent="0.3">
      <c r="B47" s="115" t="s">
        <v>127</v>
      </c>
      <c r="I47" s="112"/>
    </row>
    <row r="48" spans="2:14" s="43" customFormat="1" x14ac:dyDescent="0.3">
      <c r="B48" s="114" t="s">
        <v>129</v>
      </c>
      <c r="G48" s="116">
        <f>G$45/G52</f>
        <v>1.2294021819617911</v>
      </c>
      <c r="H48" s="116">
        <f t="shared" ref="H48" si="8">H$45/H52</f>
        <v>0.35626250357244926</v>
      </c>
      <c r="I48" s="116">
        <f>I$45/I52</f>
        <v>0.41088401683841597</v>
      </c>
      <c r="J48" s="116">
        <f t="shared" ref="J48:N48" ca="1" si="9">J$45/J52</f>
        <v>0.57211895952815006</v>
      </c>
      <c r="K48" s="116">
        <f t="shared" ca="1" si="9"/>
        <v>0.58971409208728409</v>
      </c>
      <c r="L48" s="116">
        <f t="shared" ca="1" si="9"/>
        <v>0.57689375295837586</v>
      </c>
      <c r="M48" s="116">
        <f t="shared" ca="1" si="9"/>
        <v>0.61095547168408848</v>
      </c>
      <c r="N48" s="116">
        <f t="shared" ca="1" si="9"/>
        <v>0.6056481216275762</v>
      </c>
    </row>
    <row r="49" spans="1:19" s="43" customFormat="1" x14ac:dyDescent="0.3">
      <c r="B49" s="114" t="s">
        <v>128</v>
      </c>
      <c r="G49" s="116">
        <f t="shared" ref="G49:H49" si="10">G$45/G53</f>
        <v>1.2272212092839896</v>
      </c>
      <c r="H49" s="116">
        <f t="shared" si="10"/>
        <v>0.35491849953733362</v>
      </c>
      <c r="I49" s="116">
        <f>I$45/I53</f>
        <v>0.40998593530239102</v>
      </c>
      <c r="J49" s="116">
        <f ca="1">J$45/J53</f>
        <v>0.5708684619353851</v>
      </c>
      <c r="K49" s="116">
        <f t="shared" ref="K49:N49" ca="1" si="11">K$45/K53</f>
        <v>0.58842513628483539</v>
      </c>
      <c r="L49" s="116">
        <f t="shared" ca="1" si="11"/>
        <v>0.57563281895620511</v>
      </c>
      <c r="M49" s="116">
        <f t="shared" ca="1" si="11"/>
        <v>0.60962008796029499</v>
      </c>
      <c r="N49" s="116">
        <f t="shared" ca="1" si="11"/>
        <v>0.60432433833820132</v>
      </c>
    </row>
    <row r="50" spans="1:19" s="43" customFormat="1" x14ac:dyDescent="0.3">
      <c r="B50" s="114"/>
      <c r="I50" s="112"/>
    </row>
    <row r="51" spans="1:19" s="43" customFormat="1" x14ac:dyDescent="0.3">
      <c r="B51" s="115" t="s">
        <v>130</v>
      </c>
      <c r="I51" s="112"/>
    </row>
    <row r="52" spans="1:19" s="43" customFormat="1" x14ac:dyDescent="0.3">
      <c r="B52" s="114" t="s">
        <v>129</v>
      </c>
      <c r="G52" s="118">
        <v>60771</v>
      </c>
      <c r="H52" s="118">
        <v>55984</v>
      </c>
      <c r="I52" s="118">
        <v>52499</v>
      </c>
      <c r="J52" s="118">
        <f>I52</f>
        <v>52499</v>
      </c>
      <c r="K52" s="118">
        <f t="shared" ref="K52:N52" si="12">J52</f>
        <v>52499</v>
      </c>
      <c r="L52" s="118">
        <f t="shared" si="12"/>
        <v>52499</v>
      </c>
      <c r="M52" s="118">
        <f t="shared" si="12"/>
        <v>52499</v>
      </c>
      <c r="N52" s="118">
        <f t="shared" si="12"/>
        <v>52499</v>
      </c>
    </row>
    <row r="53" spans="1:19" s="43" customFormat="1" x14ac:dyDescent="0.3">
      <c r="B53" s="114" t="s">
        <v>128</v>
      </c>
      <c r="G53" s="118">
        <v>60879</v>
      </c>
      <c r="H53" s="118">
        <v>56196</v>
      </c>
      <c r="I53" s="118">
        <v>52614</v>
      </c>
      <c r="J53" s="118">
        <f>I53</f>
        <v>52614</v>
      </c>
      <c r="K53" s="118">
        <f t="shared" ref="K53:N53" si="13">J53</f>
        <v>52614</v>
      </c>
      <c r="L53" s="118">
        <f t="shared" si="13"/>
        <v>52614</v>
      </c>
      <c r="M53" s="118">
        <f t="shared" si="13"/>
        <v>52614</v>
      </c>
      <c r="N53" s="118">
        <f t="shared" si="13"/>
        <v>52614</v>
      </c>
    </row>
    <row r="54" spans="1:19" s="43" customFormat="1" x14ac:dyDescent="0.3">
      <c r="B54" s="114"/>
    </row>
    <row r="55" spans="1:19" ht="14.4" x14ac:dyDescent="0.3">
      <c r="A55" s="22" t="s">
        <v>34</v>
      </c>
      <c r="B55" s="42" t="s">
        <v>95</v>
      </c>
      <c r="C55" s="40"/>
      <c r="D55" s="40"/>
      <c r="E55" s="40"/>
      <c r="F55" s="40"/>
      <c r="G55" s="120">
        <v>44920</v>
      </c>
      <c r="H55" s="120">
        <v>45285</v>
      </c>
      <c r="I55" s="120">
        <v>45651</v>
      </c>
      <c r="J55" s="121">
        <v>46016</v>
      </c>
      <c r="K55" s="121">
        <v>46381</v>
      </c>
      <c r="L55" s="121">
        <v>46746</v>
      </c>
      <c r="M55" s="121">
        <v>47112</v>
      </c>
      <c r="N55" s="121">
        <v>47477</v>
      </c>
      <c r="O55" s="40"/>
      <c r="P55" s="40"/>
      <c r="Q55" s="40"/>
      <c r="R55" s="40"/>
      <c r="S55" s="40"/>
    </row>
    <row r="56" spans="1:19" s="43" customFormat="1" x14ac:dyDescent="0.3"/>
    <row r="57" spans="1:19" s="43" customFormat="1" x14ac:dyDescent="0.3">
      <c r="B57" s="112" t="s">
        <v>131</v>
      </c>
    </row>
    <row r="58" spans="1:19" s="43" customFormat="1" outlineLevel="1" x14ac:dyDescent="0.3">
      <c r="B58" s="112" t="s">
        <v>132</v>
      </c>
    </row>
    <row r="59" spans="1:19" s="43" customFormat="1" outlineLevel="1" x14ac:dyDescent="0.3">
      <c r="B59" s="109" t="s">
        <v>133</v>
      </c>
      <c r="G59" s="118">
        <v>3523</v>
      </c>
      <c r="H59" s="118">
        <v>4893</v>
      </c>
      <c r="I59" s="118">
        <v>1698</v>
      </c>
      <c r="J59" s="118">
        <f ca="1">J135</f>
        <v>2265.5068459356553</v>
      </c>
      <c r="K59" s="118">
        <f t="shared" ref="K59:N59" ca="1" si="14">K135</f>
        <v>8146.7722288512159</v>
      </c>
      <c r="L59" s="118">
        <f t="shared" ca="1" si="14"/>
        <v>9126.4640894576078</v>
      </c>
      <c r="M59" s="118">
        <f t="shared" ca="1" si="14"/>
        <v>14570.650250922095</v>
      </c>
      <c r="N59" s="118">
        <f t="shared" ca="1" si="14"/>
        <v>17404.289176014492</v>
      </c>
    </row>
    <row r="60" spans="1:19" s="43" customFormat="1" outlineLevel="1" x14ac:dyDescent="0.3">
      <c r="B60" s="109" t="s">
        <v>134</v>
      </c>
      <c r="G60" s="118">
        <v>1746</v>
      </c>
      <c r="H60" s="118">
        <v>1281</v>
      </c>
      <c r="I60" s="118">
        <v>1106</v>
      </c>
      <c r="J60" s="118">
        <f>I60</f>
        <v>1106</v>
      </c>
      <c r="K60" s="118">
        <f t="shared" ref="K60:N60" si="15">J60</f>
        <v>1106</v>
      </c>
      <c r="L60" s="118">
        <f t="shared" si="15"/>
        <v>1106</v>
      </c>
      <c r="M60" s="118">
        <f t="shared" si="15"/>
        <v>1106</v>
      </c>
      <c r="N60" s="118">
        <f t="shared" si="15"/>
        <v>1106</v>
      </c>
    </row>
    <row r="61" spans="1:19" s="43" customFormat="1" outlineLevel="1" x14ac:dyDescent="0.3">
      <c r="B61" s="109" t="s">
        <v>135</v>
      </c>
      <c r="G61" s="118">
        <v>25576</v>
      </c>
      <c r="H61" s="118">
        <v>21391</v>
      </c>
      <c r="I61" s="118">
        <v>24433</v>
      </c>
      <c r="J61" s="118">
        <f ca="1">Schedule!J66</f>
        <v>24560.922818516181</v>
      </c>
      <c r="K61" s="118">
        <f ca="1">Schedule!K66</f>
        <v>25077.956776149669</v>
      </c>
      <c r="L61" s="118">
        <f ca="1">Schedule!L66</f>
        <v>26076.420418088786</v>
      </c>
      <c r="M61" s="118">
        <f ca="1">Schedule!M66</f>
        <v>27191.490097746242</v>
      </c>
      <c r="N61" s="118">
        <f ca="1">Schedule!N66</f>
        <v>28519.934894476326</v>
      </c>
    </row>
    <row r="62" spans="1:19" s="43" customFormat="1" outlineLevel="1" x14ac:dyDescent="0.3">
      <c r="B62" s="109" t="s">
        <v>136</v>
      </c>
      <c r="G62" s="118">
        <v>5538</v>
      </c>
      <c r="H62" s="118">
        <v>2175</v>
      </c>
      <c r="I62" s="118">
        <v>1747</v>
      </c>
      <c r="J62" s="118">
        <f ca="1">Schedule!J67</f>
        <v>1726.6219876829261</v>
      </c>
      <c r="K62" s="118">
        <f ca="1">Schedule!K67</f>
        <v>1788.5655623987334</v>
      </c>
      <c r="L62" s="118">
        <f ca="1">Schedule!L67</f>
        <v>1905.8029468517184</v>
      </c>
      <c r="M62" s="118">
        <f ca="1">Schedule!M67</f>
        <v>2020.802622425233</v>
      </c>
      <c r="N62" s="118">
        <f ca="1">Schedule!N67</f>
        <v>2172.1240552353192</v>
      </c>
    </row>
    <row r="63" spans="1:19" s="43" customFormat="1" outlineLevel="1" x14ac:dyDescent="0.3">
      <c r="B63" s="109" t="s">
        <v>137</v>
      </c>
      <c r="G63" s="118">
        <v>1403</v>
      </c>
      <c r="H63" s="118">
        <v>1455</v>
      </c>
      <c r="I63" s="118">
        <v>381</v>
      </c>
      <c r="J63" s="118">
        <f>I63</f>
        <v>381</v>
      </c>
      <c r="K63" s="118">
        <f t="shared" ref="K63:N63" si="16">J63</f>
        <v>381</v>
      </c>
      <c r="L63" s="118">
        <f t="shared" si="16"/>
        <v>381</v>
      </c>
      <c r="M63" s="118">
        <f t="shared" si="16"/>
        <v>381</v>
      </c>
      <c r="N63" s="118">
        <f t="shared" si="16"/>
        <v>381</v>
      </c>
    </row>
    <row r="64" spans="1:19" s="43" customFormat="1" outlineLevel="1" x14ac:dyDescent="0.3">
      <c r="B64" s="109" t="s">
        <v>138</v>
      </c>
      <c r="G64" s="118">
        <v>12529</v>
      </c>
      <c r="H64" s="118">
        <v>12855</v>
      </c>
      <c r="I64" s="118">
        <v>10628</v>
      </c>
      <c r="J64" s="118">
        <f ca="1">Schedule!J77</f>
        <v>11921.590776582849</v>
      </c>
      <c r="K64" s="118">
        <f ca="1">Schedule!K77</f>
        <v>11981.953440062221</v>
      </c>
      <c r="L64" s="118">
        <f ca="1">Schedule!L77</f>
        <v>12153.022539034453</v>
      </c>
      <c r="M64" s="118">
        <f ca="1">Schedule!M77</f>
        <v>12954.306069434433</v>
      </c>
      <c r="N64" s="118">
        <f ca="1">Schedule!N77</f>
        <v>13501.837839654814</v>
      </c>
    </row>
    <row r="65" spans="2:15" s="43" customFormat="1" outlineLevel="1" x14ac:dyDescent="0.3">
      <c r="B65" s="111" t="s">
        <v>139</v>
      </c>
      <c r="G65" s="119">
        <f t="shared" ref="G65:H65" si="17">SUM(G59:G64)</f>
        <v>50315</v>
      </c>
      <c r="H65" s="119">
        <f t="shared" si="17"/>
        <v>44050</v>
      </c>
      <c r="I65" s="119">
        <f>SUM(I59:I64)</f>
        <v>39993</v>
      </c>
      <c r="J65" s="119">
        <f ca="1">SUM(J59:J64)</f>
        <v>41961.642428717612</v>
      </c>
      <c r="K65" s="119">
        <f t="shared" ref="K65:N65" ca="1" si="18">SUM(K59:K64)</f>
        <v>48482.248007461843</v>
      </c>
      <c r="L65" s="119">
        <f t="shared" ca="1" si="18"/>
        <v>50748.709993432567</v>
      </c>
      <c r="M65" s="119">
        <f t="shared" ca="1" si="18"/>
        <v>58224.249040528004</v>
      </c>
      <c r="N65" s="119">
        <f t="shared" ca="1" si="18"/>
        <v>63085.185965380952</v>
      </c>
    </row>
    <row r="66" spans="2:15" s="43" customFormat="1" outlineLevel="1" x14ac:dyDescent="0.3">
      <c r="B66" s="109" t="s">
        <v>167</v>
      </c>
      <c r="G66" s="118">
        <v>94469</v>
      </c>
      <c r="H66" s="118">
        <v>93494</v>
      </c>
      <c r="I66" s="118">
        <v>111417</v>
      </c>
      <c r="J66" s="118">
        <f ca="1">Schedule!J22</f>
        <v>104104.33601644682</v>
      </c>
      <c r="K66" s="118">
        <f ca="1">Schedule!K22</f>
        <v>99340.177008416329</v>
      </c>
      <c r="L66" s="118">
        <f ca="1">Schedule!L22</f>
        <v>95771.739509803971</v>
      </c>
      <c r="M66" s="118">
        <f ca="1">Schedule!M22</f>
        <v>94240.267542531656</v>
      </c>
      <c r="N66" s="118">
        <f ca="1">Schedule!N22</f>
        <v>94096.945264040638</v>
      </c>
    </row>
    <row r="67" spans="2:15" s="43" customFormat="1" outlineLevel="1" x14ac:dyDescent="0.3">
      <c r="B67" s="109" t="s">
        <v>168</v>
      </c>
      <c r="G67" s="118">
        <v>6499</v>
      </c>
      <c r="H67" s="118">
        <v>6098</v>
      </c>
      <c r="I67" s="118">
        <v>6200</v>
      </c>
      <c r="J67" s="118">
        <f>I67</f>
        <v>6200</v>
      </c>
      <c r="K67" s="118">
        <f t="shared" ref="K67:N67" si="19">J67</f>
        <v>6200</v>
      </c>
      <c r="L67" s="118">
        <f t="shared" si="19"/>
        <v>6200</v>
      </c>
      <c r="M67" s="118">
        <f t="shared" si="19"/>
        <v>6200</v>
      </c>
      <c r="N67" s="118">
        <f t="shared" si="19"/>
        <v>6200</v>
      </c>
    </row>
    <row r="68" spans="2:15" s="43" customFormat="1" outlineLevel="1" x14ac:dyDescent="0.3">
      <c r="B68" s="109" t="s">
        <v>140</v>
      </c>
      <c r="G68" s="118">
        <v>126065</v>
      </c>
      <c r="H68" s="118">
        <v>116795</v>
      </c>
      <c r="I68" s="118">
        <v>124738</v>
      </c>
      <c r="J68" s="118">
        <f>I68</f>
        <v>124738</v>
      </c>
      <c r="K68" s="118">
        <f t="shared" ref="K68:N68" si="20">J68</f>
        <v>124738</v>
      </c>
      <c r="L68" s="118">
        <f t="shared" si="20"/>
        <v>124738</v>
      </c>
      <c r="M68" s="118">
        <f t="shared" si="20"/>
        <v>124738</v>
      </c>
      <c r="N68" s="118">
        <f t="shared" si="20"/>
        <v>124738</v>
      </c>
    </row>
    <row r="69" spans="2:15" s="43" customFormat="1" outlineLevel="1" x14ac:dyDescent="0.3">
      <c r="B69" s="109" t="s">
        <v>141</v>
      </c>
      <c r="G69" s="118">
        <v>72740</v>
      </c>
      <c r="H69" s="118">
        <v>65908</v>
      </c>
      <c r="I69" s="118">
        <v>66357</v>
      </c>
      <c r="J69" s="118">
        <f>I69</f>
        <v>66357</v>
      </c>
      <c r="K69" s="118">
        <f t="shared" ref="K69:N69" si="21">J69</f>
        <v>66357</v>
      </c>
      <c r="L69" s="118">
        <f t="shared" si="21"/>
        <v>66357</v>
      </c>
      <c r="M69" s="118">
        <f t="shared" si="21"/>
        <v>66357</v>
      </c>
      <c r="N69" s="118">
        <f t="shared" si="21"/>
        <v>66357</v>
      </c>
    </row>
    <row r="70" spans="2:15" s="43" customFormat="1" outlineLevel="1" x14ac:dyDescent="0.3">
      <c r="B70" s="109" t="s">
        <v>142</v>
      </c>
      <c r="G70" s="118">
        <v>95034</v>
      </c>
      <c r="H70" s="118">
        <v>93428</v>
      </c>
      <c r="I70" s="118">
        <v>91739</v>
      </c>
      <c r="J70" s="118">
        <f ca="1">Schedule!J40</f>
        <v>91669.662759734172</v>
      </c>
      <c r="K70" s="118">
        <f ca="1">Schedule!K40</f>
        <v>91205.684063410474</v>
      </c>
      <c r="L70" s="118">
        <f ca="1">Schedule!L40</f>
        <v>90708.534360194957</v>
      </c>
      <c r="M70" s="118">
        <f ca="1">Schedule!M40</f>
        <v>90049.051323340158</v>
      </c>
      <c r="N70" s="118">
        <f ca="1">Schedule!N40</f>
        <v>89134.020348840291</v>
      </c>
    </row>
    <row r="71" spans="2:15" s="43" customFormat="1" outlineLevel="1" x14ac:dyDescent="0.3">
      <c r="B71" s="109" t="s">
        <v>143</v>
      </c>
      <c r="G71" s="118">
        <v>2337</v>
      </c>
      <c r="H71" s="118">
        <v>1702</v>
      </c>
      <c r="I71" s="118">
        <v>1066</v>
      </c>
      <c r="J71" s="118">
        <f>I71</f>
        <v>1066</v>
      </c>
      <c r="K71" s="118">
        <f t="shared" ref="K71:N71" si="22">J71</f>
        <v>1066</v>
      </c>
      <c r="L71" s="118">
        <f t="shared" si="22"/>
        <v>1066</v>
      </c>
      <c r="M71" s="118">
        <f t="shared" si="22"/>
        <v>1066</v>
      </c>
      <c r="N71" s="118">
        <f t="shared" si="22"/>
        <v>1066</v>
      </c>
    </row>
    <row r="72" spans="2:15" s="43" customFormat="1" outlineLevel="1" x14ac:dyDescent="0.3">
      <c r="B72" s="109" t="s">
        <v>144</v>
      </c>
      <c r="G72" s="118">
        <v>50876</v>
      </c>
      <c r="H72" s="118">
        <v>43343</v>
      </c>
      <c r="I72" s="118">
        <v>54764</v>
      </c>
      <c r="J72" s="118">
        <f ca="1">Schedule!J83</f>
        <v>49405.293108190395</v>
      </c>
      <c r="K72" s="118">
        <f ca="1">Schedule!K83</f>
        <v>50010.279837317503</v>
      </c>
      <c r="L72" s="118">
        <f ca="1">Schedule!L83</f>
        <v>54300.913626419155</v>
      </c>
      <c r="M72" s="118">
        <f ca="1">Schedule!M83</f>
        <v>55181.588892050502</v>
      </c>
      <c r="N72" s="118">
        <f ca="1">Schedule!N83</f>
        <v>58046.990667891987</v>
      </c>
    </row>
    <row r="73" spans="2:15" s="43" customFormat="1" x14ac:dyDescent="0.3">
      <c r="B73" s="113" t="s">
        <v>145</v>
      </c>
      <c r="G73" s="119">
        <f t="shared" ref="G73:H73" si="23">SUM(G66:G72)+G65</f>
        <v>498335</v>
      </c>
      <c r="H73" s="119">
        <f t="shared" si="23"/>
        <v>464818</v>
      </c>
      <c r="I73" s="119">
        <f>SUM(I66:I72)+I65</f>
        <v>496274</v>
      </c>
      <c r="J73" s="119">
        <f ca="1">SUM(J66:J72)+J65</f>
        <v>485501.93431308906</v>
      </c>
      <c r="K73" s="119">
        <f t="shared" ref="K73:N73" ca="1" si="24">SUM(K66:K72)+K65</f>
        <v>487399.38891660614</v>
      </c>
      <c r="L73" s="119">
        <f t="shared" ca="1" si="24"/>
        <v>489890.89748985058</v>
      </c>
      <c r="M73" s="119">
        <f t="shared" ca="1" si="24"/>
        <v>496056.15679845033</v>
      </c>
      <c r="N73" s="119">
        <f t="shared" ca="1" si="24"/>
        <v>502724.14224615379</v>
      </c>
    </row>
    <row r="74" spans="2:15" s="43" customFormat="1" x14ac:dyDescent="0.3">
      <c r="G74" s="118"/>
      <c r="H74" s="118"/>
      <c r="I74" s="118"/>
      <c r="J74" s="118"/>
      <c r="K74" s="118"/>
      <c r="L74" s="118"/>
      <c r="M74" s="118"/>
      <c r="N74" s="118"/>
    </row>
    <row r="75" spans="2:15" s="43" customFormat="1" x14ac:dyDescent="0.3">
      <c r="B75" s="112" t="s">
        <v>146</v>
      </c>
      <c r="G75" s="118"/>
      <c r="H75" s="118"/>
      <c r="I75" s="118"/>
      <c r="J75" s="118"/>
      <c r="K75" s="118"/>
      <c r="L75" s="118"/>
      <c r="M75" s="118"/>
      <c r="N75" s="118"/>
    </row>
    <row r="76" spans="2:15" s="43" customFormat="1" outlineLevel="1" x14ac:dyDescent="0.3">
      <c r="B76" s="113" t="s">
        <v>147</v>
      </c>
      <c r="G76" s="118"/>
      <c r="H76" s="118"/>
      <c r="I76" s="118"/>
      <c r="J76" s="118"/>
      <c r="K76" s="118"/>
      <c r="L76" s="118"/>
      <c r="M76" s="118"/>
      <c r="N76" s="118"/>
    </row>
    <row r="77" spans="2:15" s="43" customFormat="1" outlineLevel="1" x14ac:dyDescent="0.3">
      <c r="B77" s="109" t="s">
        <v>148</v>
      </c>
      <c r="G77" s="118">
        <v>1683</v>
      </c>
      <c r="H77" s="118">
        <v>1383</v>
      </c>
      <c r="I77" s="118">
        <v>1284</v>
      </c>
      <c r="J77" s="118">
        <f>I77</f>
        <v>1284</v>
      </c>
      <c r="K77" s="118">
        <f t="shared" ref="K77:N77" si="25">J77</f>
        <v>1284</v>
      </c>
      <c r="L77" s="118">
        <f t="shared" si="25"/>
        <v>1284</v>
      </c>
      <c r="M77" s="118">
        <f t="shared" si="25"/>
        <v>1284</v>
      </c>
      <c r="N77" s="118">
        <f t="shared" si="25"/>
        <v>1284</v>
      </c>
    </row>
    <row r="78" spans="2:15" s="43" customFormat="1" outlineLevel="1" x14ac:dyDescent="0.3">
      <c r="B78" s="109" t="s">
        <v>149</v>
      </c>
      <c r="G78" s="118">
        <v>15310</v>
      </c>
      <c r="H78" s="118">
        <v>14779</v>
      </c>
      <c r="I78" s="118">
        <v>15487</v>
      </c>
      <c r="J78" s="118">
        <f>I78</f>
        <v>15487</v>
      </c>
      <c r="K78" s="118">
        <f t="shared" ref="K78:N78" si="26">J78</f>
        <v>15487</v>
      </c>
      <c r="L78" s="118">
        <f t="shared" si="26"/>
        <v>15487</v>
      </c>
      <c r="M78" s="118">
        <f t="shared" si="26"/>
        <v>15487</v>
      </c>
      <c r="N78" s="118">
        <f t="shared" si="26"/>
        <v>15487</v>
      </c>
    </row>
    <row r="79" spans="2:15" s="43" customFormat="1" outlineLevel="1" x14ac:dyDescent="0.3">
      <c r="B79" s="109" t="s">
        <v>150</v>
      </c>
      <c r="G79" s="118">
        <v>19896</v>
      </c>
      <c r="H79" s="118">
        <v>24070</v>
      </c>
      <c r="I79" s="118">
        <v>19985</v>
      </c>
      <c r="J79" s="118">
        <f ca="1">Schedule!J70</f>
        <v>19751.883471003592</v>
      </c>
      <c r="K79" s="118">
        <f ca="1">Schedule!K70</f>
        <v>20460.493854916247</v>
      </c>
      <c r="L79" s="118">
        <f ca="1">Schedule!L70</f>
        <v>21801.643899731873</v>
      </c>
      <c r="M79" s="118">
        <f ca="1">Schedule!M70</f>
        <v>23117.19542596925</v>
      </c>
      <c r="N79" s="118">
        <f ca="1">Schedule!N70</f>
        <v>24848.253717159612</v>
      </c>
      <c r="O79" s="118"/>
    </row>
    <row r="80" spans="2:15" s="43" customFormat="1" outlineLevel="1" x14ac:dyDescent="0.3">
      <c r="B80" s="109" t="s">
        <v>151</v>
      </c>
      <c r="G80" s="118">
        <v>56762</v>
      </c>
      <c r="H80" s="118">
        <v>63068</v>
      </c>
      <c r="I80" s="118">
        <v>58842</v>
      </c>
      <c r="J80" s="118">
        <f ca="1">Schedule!J79</f>
        <v>59170.652944818357</v>
      </c>
      <c r="K80" s="118">
        <f ca="1">Schedule!K79</f>
        <v>61309.131334743754</v>
      </c>
      <c r="L80" s="118">
        <f ca="1">Schedule!L79</f>
        <v>63123.887618097222</v>
      </c>
      <c r="M80" s="118">
        <f ca="1">Schedule!M79</f>
        <v>65935.797981863609</v>
      </c>
      <c r="N80" s="118">
        <f ca="1">Schedule!N79</f>
        <v>69306.650075824669</v>
      </c>
    </row>
    <row r="81" spans="2:14" s="43" customFormat="1" outlineLevel="1" x14ac:dyDescent="0.3">
      <c r="B81" s="111" t="s">
        <v>152</v>
      </c>
      <c r="G81" s="119">
        <f t="shared" ref="G81:H81" si="27">SUM(G77:G80)</f>
        <v>93651</v>
      </c>
      <c r="H81" s="119">
        <f t="shared" si="27"/>
        <v>103300</v>
      </c>
      <c r="I81" s="119">
        <f>SUM(I77:I80)</f>
        <v>95598</v>
      </c>
      <c r="J81" s="119">
        <f ca="1">SUM(J77:J80)</f>
        <v>95693.536415821945</v>
      </c>
      <c r="K81" s="119">
        <f t="shared" ref="K81:N81" ca="1" si="28">SUM(K77:K80)</f>
        <v>98540.625189660001</v>
      </c>
      <c r="L81" s="119">
        <f t="shared" ca="1" si="28"/>
        <v>101696.53151782911</v>
      </c>
      <c r="M81" s="119">
        <f t="shared" ca="1" si="28"/>
        <v>105823.99340783287</v>
      </c>
      <c r="N81" s="119">
        <f t="shared" ca="1" si="28"/>
        <v>110925.90379298429</v>
      </c>
    </row>
    <row r="82" spans="2:14" s="43" customFormat="1" outlineLevel="1" x14ac:dyDescent="0.3">
      <c r="B82" s="109" t="s">
        <v>289</v>
      </c>
      <c r="G82" s="118">
        <v>0</v>
      </c>
      <c r="H82" s="118">
        <v>0</v>
      </c>
      <c r="I82" s="118">
        <v>0</v>
      </c>
      <c r="J82" s="118">
        <f ca="1">Schedule!J107</f>
        <v>0</v>
      </c>
      <c r="K82" s="118">
        <f ca="1">Schedule!K107</f>
        <v>0</v>
      </c>
      <c r="L82" s="118">
        <f ca="1">Schedule!L107</f>
        <v>0</v>
      </c>
      <c r="M82" s="118">
        <f ca="1">Schedule!M107</f>
        <v>0</v>
      </c>
      <c r="N82" s="118">
        <f ca="1">Schedule!N107</f>
        <v>0</v>
      </c>
    </row>
    <row r="83" spans="2:14" s="43" customFormat="1" outlineLevel="1" x14ac:dyDescent="0.3">
      <c r="B83" s="109" t="s">
        <v>153</v>
      </c>
      <c r="G83" s="118">
        <v>261500</v>
      </c>
      <c r="H83" s="118">
        <v>255500</v>
      </c>
      <c r="I83" s="118">
        <v>261300</v>
      </c>
      <c r="J83" s="118">
        <f>Schedule!J91</f>
        <v>211300</v>
      </c>
      <c r="K83" s="118">
        <f>Schedule!K91</f>
        <v>171300</v>
      </c>
      <c r="L83" s="118">
        <f>Schedule!L91</f>
        <v>131300</v>
      </c>
      <c r="M83" s="118">
        <f>Schedule!M91</f>
        <v>91300</v>
      </c>
      <c r="N83" s="118">
        <f>Schedule!N91</f>
        <v>51300</v>
      </c>
    </row>
    <row r="84" spans="2:14" s="43" customFormat="1" outlineLevel="1" x14ac:dyDescent="0.3">
      <c r="B84" s="109" t="s">
        <v>154</v>
      </c>
      <c r="G84" s="118">
        <v>9555</v>
      </c>
      <c r="H84" s="118">
        <v>9150</v>
      </c>
      <c r="I84" s="118">
        <v>9284</v>
      </c>
      <c r="J84" s="118">
        <f>I84</f>
        <v>9284</v>
      </c>
      <c r="K84" s="118">
        <f t="shared" ref="K84:N84" si="29">J84</f>
        <v>9284</v>
      </c>
      <c r="L84" s="118">
        <f t="shared" si="29"/>
        <v>9284</v>
      </c>
      <c r="M84" s="118">
        <f t="shared" si="29"/>
        <v>9284</v>
      </c>
      <c r="N84" s="118">
        <f t="shared" si="29"/>
        <v>9284</v>
      </c>
    </row>
    <row r="85" spans="2:14" s="43" customFormat="1" outlineLevel="1" x14ac:dyDescent="0.3">
      <c r="B85" s="109" t="s">
        <v>155</v>
      </c>
      <c r="G85" s="118">
        <v>123404</v>
      </c>
      <c r="H85" s="118">
        <v>114451</v>
      </c>
      <c r="I85" s="118">
        <v>120841</v>
      </c>
      <c r="J85" s="118">
        <f>I85</f>
        <v>120841</v>
      </c>
      <c r="K85" s="118">
        <f t="shared" ref="K85:N85" si="30">J85</f>
        <v>120841</v>
      </c>
      <c r="L85" s="118">
        <f t="shared" si="30"/>
        <v>120841</v>
      </c>
      <c r="M85" s="118">
        <f t="shared" si="30"/>
        <v>120841</v>
      </c>
      <c r="N85" s="118">
        <f t="shared" si="30"/>
        <v>120841</v>
      </c>
    </row>
    <row r="86" spans="2:14" s="43" customFormat="1" outlineLevel="1" x14ac:dyDescent="0.3">
      <c r="B86" s="109" t="s">
        <v>156</v>
      </c>
      <c r="G86" s="118">
        <v>7324</v>
      </c>
      <c r="H86" s="118">
        <v>6929</v>
      </c>
      <c r="I86" s="118">
        <v>5866</v>
      </c>
      <c r="J86" s="118">
        <f>I86</f>
        <v>5866</v>
      </c>
      <c r="K86" s="118">
        <f t="shared" ref="K86:N86" si="31">J86</f>
        <v>5866</v>
      </c>
      <c r="L86" s="118">
        <f t="shared" si="31"/>
        <v>5866</v>
      </c>
      <c r="M86" s="118">
        <f t="shared" si="31"/>
        <v>5866</v>
      </c>
      <c r="N86" s="118">
        <f t="shared" si="31"/>
        <v>5866</v>
      </c>
    </row>
    <row r="87" spans="2:14" s="43" customFormat="1" outlineLevel="1" x14ac:dyDescent="0.3">
      <c r="B87" s="109" t="s">
        <v>157</v>
      </c>
      <c r="G87" s="118">
        <v>7419</v>
      </c>
      <c r="H87" s="118">
        <v>6582</v>
      </c>
      <c r="I87" s="118">
        <v>9964</v>
      </c>
      <c r="J87" s="118">
        <f>I87</f>
        <v>9964</v>
      </c>
      <c r="K87" s="118">
        <f t="shared" ref="K87:N87" si="32">J87</f>
        <v>9964</v>
      </c>
      <c r="L87" s="118">
        <f t="shared" si="32"/>
        <v>9964</v>
      </c>
      <c r="M87" s="118">
        <f t="shared" si="32"/>
        <v>9964</v>
      </c>
      <c r="N87" s="118">
        <f t="shared" si="32"/>
        <v>9964</v>
      </c>
    </row>
    <row r="88" spans="2:14" s="43" customFormat="1" outlineLevel="1" x14ac:dyDescent="0.3">
      <c r="B88" s="109" t="s">
        <v>158</v>
      </c>
      <c r="G88" s="118">
        <v>32598</v>
      </c>
      <c r="H88" s="118">
        <v>31592</v>
      </c>
      <c r="I88" s="118">
        <v>27446</v>
      </c>
      <c r="J88" s="118">
        <f ca="1">Schedule!J81</f>
        <v>30342.844279391982</v>
      </c>
      <c r="K88" s="118">
        <f ca="1">Schedule!K81</f>
        <v>30256.023810185077</v>
      </c>
      <c r="L88" s="118">
        <f ca="1">Schedule!L81</f>
        <v>30989.279387796785</v>
      </c>
      <c r="M88" s="118">
        <f ca="1">Schedule!M81</f>
        <v>32904.354978752177</v>
      </c>
      <c r="N88" s="118">
        <f ca="1">Schedule!N81</f>
        <v>34271.252670147485</v>
      </c>
    </row>
    <row r="89" spans="2:14" s="43" customFormat="1" outlineLevel="1" x14ac:dyDescent="0.3">
      <c r="B89" s="113" t="s">
        <v>159</v>
      </c>
      <c r="G89" s="119">
        <f>SUM(G82:G88)</f>
        <v>441800</v>
      </c>
      <c r="H89" s="119">
        <f t="shared" ref="H89:I89" si="33">SUM(H82:H88)</f>
        <v>424204</v>
      </c>
      <c r="I89" s="119">
        <f t="shared" si="33"/>
        <v>434701</v>
      </c>
      <c r="J89" s="119">
        <f ca="1">SUM(J82:J88)</f>
        <v>387597.84427939198</v>
      </c>
      <c r="K89" s="119">
        <f t="shared" ref="K89:N89" ca="1" si="34">SUM(K82:K88)</f>
        <v>347511.02381018508</v>
      </c>
      <c r="L89" s="119">
        <f t="shared" ca="1" si="34"/>
        <v>308244.27938779676</v>
      </c>
      <c r="M89" s="119">
        <f t="shared" ca="1" si="34"/>
        <v>270159.35497875221</v>
      </c>
      <c r="N89" s="119">
        <f t="shared" ca="1" si="34"/>
        <v>231526.25267014749</v>
      </c>
    </row>
    <row r="90" spans="2:14" s="43" customFormat="1" x14ac:dyDescent="0.3">
      <c r="B90" s="113" t="s">
        <v>160</v>
      </c>
      <c r="G90" s="119">
        <f t="shared" ref="G90:H90" si="35">G89+G81</f>
        <v>535451</v>
      </c>
      <c r="H90" s="119">
        <f t="shared" si="35"/>
        <v>527504</v>
      </c>
      <c r="I90" s="119">
        <f>I89+I81</f>
        <v>530299</v>
      </c>
      <c r="J90" s="119">
        <f ca="1">J81+J89</f>
        <v>483291.38069521391</v>
      </c>
      <c r="K90" s="119">
        <f t="shared" ref="K90:N90" ca="1" si="36">K81+K89</f>
        <v>446051.64899984509</v>
      </c>
      <c r="L90" s="119">
        <f t="shared" ca="1" si="36"/>
        <v>409940.81090562587</v>
      </c>
      <c r="M90" s="119">
        <f t="shared" ca="1" si="36"/>
        <v>375983.34838658507</v>
      </c>
      <c r="N90" s="119">
        <f t="shared" ca="1" si="36"/>
        <v>342452.15646313177</v>
      </c>
    </row>
    <row r="91" spans="2:14" s="43" customFormat="1" x14ac:dyDescent="0.3">
      <c r="G91" s="118"/>
      <c r="H91" s="118"/>
      <c r="I91" s="118"/>
    </row>
    <row r="92" spans="2:14" s="43" customFormat="1" x14ac:dyDescent="0.3">
      <c r="B92" s="112" t="s">
        <v>161</v>
      </c>
      <c r="G92" s="118"/>
      <c r="H92" s="118"/>
      <c r="I92" s="118"/>
    </row>
    <row r="93" spans="2:14" s="43" customFormat="1" outlineLevel="1" x14ac:dyDescent="0.3">
      <c r="B93" s="109" t="s">
        <v>169</v>
      </c>
      <c r="G93" s="118">
        <v>650</v>
      </c>
      <c r="H93" s="118">
        <v>529</v>
      </c>
      <c r="I93" s="118">
        <v>513</v>
      </c>
      <c r="J93" s="118">
        <f>I93</f>
        <v>513</v>
      </c>
      <c r="K93" s="118">
        <f t="shared" ref="K93:N93" si="37">J93</f>
        <v>513</v>
      </c>
      <c r="L93" s="118">
        <f t="shared" si="37"/>
        <v>513</v>
      </c>
      <c r="M93" s="118">
        <f t="shared" si="37"/>
        <v>513</v>
      </c>
      <c r="N93" s="118">
        <f t="shared" si="37"/>
        <v>513</v>
      </c>
    </row>
    <row r="94" spans="2:14" s="43" customFormat="1" outlineLevel="1" x14ac:dyDescent="0.3">
      <c r="B94" s="109" t="s">
        <v>162</v>
      </c>
      <c r="G94" s="118">
        <v>142136</v>
      </c>
      <c r="H94" s="118">
        <v>6688</v>
      </c>
      <c r="I94" s="118">
        <v>0</v>
      </c>
      <c r="J94" s="118">
        <f ca="1">Schedule!J121</f>
        <v>7699.8803616067371</v>
      </c>
      <c r="K94" s="118">
        <f ca="1">Schedule!K121</f>
        <v>17377.666540002443</v>
      </c>
      <c r="L94" s="118">
        <f ca="1">Schedule!L121</f>
        <v>27193.66807090435</v>
      </c>
      <c r="M94" s="118">
        <f ca="1">Schedule!M121</f>
        <v>36741.838590601939</v>
      </c>
      <c r="N94" s="118">
        <f ca="1">Schedule!N121</f>
        <v>46645.095224432633</v>
      </c>
    </row>
    <row r="95" spans="2:14" s="43" customFormat="1" outlineLevel="1" x14ac:dyDescent="0.3">
      <c r="B95" s="109" t="s">
        <v>163</v>
      </c>
      <c r="G95" s="118">
        <v>-41729</v>
      </c>
      <c r="H95" s="118">
        <v>-21784</v>
      </c>
      <c r="I95" s="118">
        <v>-2499</v>
      </c>
      <c r="J95" s="118">
        <f ca="1">Schedule!J117</f>
        <v>26036.67325626835</v>
      </c>
      <c r="K95" s="118">
        <f ca="1">Schedule!K117</f>
        <v>55496.073376758679</v>
      </c>
      <c r="L95" s="118">
        <f ca="1">Schedule!L117</f>
        <v>84282.418513320445</v>
      </c>
      <c r="M95" s="118">
        <f ca="1">Schedule!M117</f>
        <v>114856.96982126341</v>
      </c>
      <c r="N95" s="118">
        <f ca="1">Schedule!N117</f>
        <v>145152.89055858954</v>
      </c>
    </row>
    <row r="96" spans="2:14" s="43" customFormat="1" outlineLevel="1" x14ac:dyDescent="0.3">
      <c r="B96" s="109" t="s">
        <v>164</v>
      </c>
      <c r="G96" s="118">
        <v>-42697</v>
      </c>
      <c r="H96" s="118">
        <v>-41659</v>
      </c>
      <c r="I96" s="118">
        <v>-32039</v>
      </c>
      <c r="J96" s="118">
        <f>I96</f>
        <v>-32039</v>
      </c>
      <c r="K96" s="118">
        <f t="shared" ref="K96:N96" si="38">J96</f>
        <v>-32039</v>
      </c>
      <c r="L96" s="118">
        <f t="shared" si="38"/>
        <v>-32039</v>
      </c>
      <c r="M96" s="118">
        <f t="shared" si="38"/>
        <v>-32039</v>
      </c>
      <c r="N96" s="118">
        <f t="shared" si="38"/>
        <v>-32039</v>
      </c>
    </row>
    <row r="97" spans="1:19" s="43" customFormat="1" outlineLevel="1" x14ac:dyDescent="0.3">
      <c r="B97" s="109" t="s">
        <v>170</v>
      </c>
      <c r="G97" s="118">
        <v>-95476</v>
      </c>
      <c r="H97" s="118">
        <v>-6460</v>
      </c>
      <c r="I97" s="118">
        <v>0</v>
      </c>
      <c r="J97" s="118">
        <f>I97</f>
        <v>0</v>
      </c>
      <c r="K97" s="118">
        <f t="shared" ref="K97:N97" si="39">J97</f>
        <v>0</v>
      </c>
      <c r="L97" s="118">
        <f t="shared" si="39"/>
        <v>0</v>
      </c>
      <c r="M97" s="118">
        <f t="shared" si="39"/>
        <v>0</v>
      </c>
      <c r="N97" s="118">
        <f t="shared" si="39"/>
        <v>0</v>
      </c>
    </row>
    <row r="98" spans="1:19" s="43" customFormat="1" x14ac:dyDescent="0.3">
      <c r="B98" s="111" t="s">
        <v>165</v>
      </c>
      <c r="G98" s="119">
        <f t="shared" ref="G98:H98" si="40">SUM(G93:G97)</f>
        <v>-37116</v>
      </c>
      <c r="H98" s="119">
        <f t="shared" si="40"/>
        <v>-62686</v>
      </c>
      <c r="I98" s="119">
        <f>SUM(I93:I97)</f>
        <v>-34025</v>
      </c>
      <c r="J98" s="119">
        <f ca="1">SUM(J93:J97)</f>
        <v>2210.5536178750917</v>
      </c>
      <c r="K98" s="119">
        <f t="shared" ref="K98:N98" ca="1" si="41">SUM(K93:K97)</f>
        <v>41347.739916761115</v>
      </c>
      <c r="L98" s="119">
        <f t="shared" ca="1" si="41"/>
        <v>79950.086584224802</v>
      </c>
      <c r="M98" s="119">
        <f t="shared" ca="1" si="41"/>
        <v>120072.80841186535</v>
      </c>
      <c r="N98" s="119">
        <f t="shared" ca="1" si="41"/>
        <v>160271.98578302219</v>
      </c>
    </row>
    <row r="99" spans="1:19" s="43" customFormat="1" x14ac:dyDescent="0.3">
      <c r="B99" s="113" t="s">
        <v>166</v>
      </c>
      <c r="G99" s="119">
        <f t="shared" ref="G99:H99" si="42">G90+G98</f>
        <v>498335</v>
      </c>
      <c r="H99" s="119">
        <f t="shared" si="42"/>
        <v>464818</v>
      </c>
      <c r="I99" s="119">
        <f>I90+I98</f>
        <v>496274</v>
      </c>
      <c r="J99" s="119">
        <f ca="1">J90+J98</f>
        <v>485501.934313089</v>
      </c>
      <c r="K99" s="119">
        <f t="shared" ref="K99:N99" ca="1" si="43">K90+K98</f>
        <v>487399.3889166062</v>
      </c>
      <c r="L99" s="119">
        <f t="shared" ca="1" si="43"/>
        <v>489890.89748985064</v>
      </c>
      <c r="M99" s="119">
        <f t="shared" ca="1" si="43"/>
        <v>496056.15679845039</v>
      </c>
      <c r="N99" s="119">
        <f t="shared" ca="1" si="43"/>
        <v>502724.14224615396</v>
      </c>
    </row>
    <row r="100" spans="1:19" s="43" customFormat="1" ht="14.4" x14ac:dyDescent="0.3">
      <c r="H100" s="117"/>
      <c r="J100" s="134"/>
      <c r="K100" s="134"/>
      <c r="L100" s="134"/>
      <c r="M100" s="134"/>
      <c r="N100" s="134"/>
      <c r="O100" s="134"/>
    </row>
    <row r="101" spans="1:19" s="43" customFormat="1" ht="14.4" x14ac:dyDescent="0.3">
      <c r="C101" s="151" t="s">
        <v>226</v>
      </c>
      <c r="D101" s="151"/>
      <c r="E101" s="151"/>
      <c r="F101" s="151"/>
      <c r="G101" s="151" t="b">
        <f>IF(G99=G73,TRUE,G73-G99)</f>
        <v>1</v>
      </c>
      <c r="H101" s="151" t="b">
        <f t="shared" ref="H101:N101" si="44">IF(H99=H73,TRUE,H73-H99)</f>
        <v>1</v>
      </c>
      <c r="I101" s="151" t="b">
        <f t="shared" si="44"/>
        <v>1</v>
      </c>
      <c r="J101" s="158" t="b">
        <f t="shared" ca="1" si="44"/>
        <v>1</v>
      </c>
      <c r="K101" s="158" t="b">
        <f t="shared" ca="1" si="44"/>
        <v>1</v>
      </c>
      <c r="L101" s="158" t="b">
        <f t="shared" ca="1" si="44"/>
        <v>1</v>
      </c>
      <c r="M101" s="158" t="b">
        <f t="shared" ca="1" si="44"/>
        <v>1</v>
      </c>
      <c r="N101" s="158" t="b">
        <f t="shared" ca="1" si="44"/>
        <v>1</v>
      </c>
      <c r="O101" s="134"/>
    </row>
    <row r="102" spans="1:19" s="43" customFormat="1" x14ac:dyDescent="0.3"/>
    <row r="103" spans="1:19" ht="14.4" x14ac:dyDescent="0.3">
      <c r="A103" s="22" t="s">
        <v>34</v>
      </c>
      <c r="B103" s="42" t="s">
        <v>270</v>
      </c>
      <c r="C103" s="40"/>
      <c r="D103" s="40"/>
      <c r="E103" s="40"/>
      <c r="F103" s="40"/>
      <c r="G103" s="120">
        <v>44920</v>
      </c>
      <c r="H103" s="120">
        <v>45285</v>
      </c>
      <c r="I103" s="120">
        <v>45651</v>
      </c>
      <c r="J103" s="121">
        <v>46016</v>
      </c>
      <c r="K103" s="121">
        <v>46381</v>
      </c>
      <c r="L103" s="121">
        <v>46746</v>
      </c>
      <c r="M103" s="121">
        <v>47112</v>
      </c>
      <c r="N103" s="121">
        <v>47477</v>
      </c>
      <c r="O103" s="40"/>
      <c r="P103" s="40"/>
      <c r="Q103" s="40"/>
      <c r="R103" s="40"/>
      <c r="S103" s="40"/>
    </row>
    <row r="105" spans="1:19" x14ac:dyDescent="0.3">
      <c r="B105" s="14" t="s">
        <v>122</v>
      </c>
      <c r="G105" s="156"/>
      <c r="H105" s="156"/>
      <c r="I105" s="156"/>
      <c r="J105" s="48">
        <f ca="1">J45</f>
        <v>30035.67325626835</v>
      </c>
      <c r="K105" s="48">
        <f t="shared" ref="K105:N105" ca="1" si="45">K45</f>
        <v>30959.400120490329</v>
      </c>
      <c r="L105" s="48">
        <f t="shared" ca="1" si="45"/>
        <v>30286.345136561773</v>
      </c>
      <c r="M105" s="48">
        <f t="shared" ca="1" si="45"/>
        <v>32074.551307942962</v>
      </c>
      <c r="N105" s="48">
        <f t="shared" ca="1" si="45"/>
        <v>31795.920737326123</v>
      </c>
    </row>
    <row r="106" spans="1:19" x14ac:dyDescent="0.3">
      <c r="B106" s="41" t="s">
        <v>271</v>
      </c>
      <c r="G106" s="156"/>
      <c r="H106" s="156"/>
      <c r="I106" s="156"/>
    </row>
    <row r="107" spans="1:19" x14ac:dyDescent="0.3">
      <c r="B107" s="14" t="s">
        <v>272</v>
      </c>
      <c r="G107" s="156"/>
      <c r="H107" s="156"/>
      <c r="I107" s="156"/>
      <c r="J107" s="48">
        <f ca="1">J35</f>
        <v>13724.576657638916</v>
      </c>
      <c r="K107" s="48">
        <f t="shared" ref="K107:N107" ca="1" si="46">K35</f>
        <v>13914.684419788182</v>
      </c>
      <c r="L107" s="48">
        <f t="shared" ca="1" si="46"/>
        <v>14602.521047936578</v>
      </c>
      <c r="M107" s="48">
        <f t="shared" ca="1" si="46"/>
        <v>15365.381207057684</v>
      </c>
      <c r="N107" s="48">
        <f t="shared" ca="1" si="46"/>
        <v>16163.077366366026</v>
      </c>
    </row>
    <row r="108" spans="1:19" x14ac:dyDescent="0.3">
      <c r="B108" s="14" t="s">
        <v>281</v>
      </c>
      <c r="G108" s="156"/>
      <c r="H108" s="156"/>
      <c r="I108" s="156"/>
      <c r="J108" s="130">
        <f ca="1">Schedule!J120</f>
        <v>7699.8803616067371</v>
      </c>
      <c r="K108" s="130">
        <f ca="1">Schedule!K120</f>
        <v>9677.7861783957069</v>
      </c>
      <c r="L108" s="130">
        <f ca="1">Schedule!L120</f>
        <v>9816.0015309019054</v>
      </c>
      <c r="M108" s="130">
        <f ca="1">Schedule!M120</f>
        <v>9548.1705196975872</v>
      </c>
      <c r="N108" s="130">
        <f ca="1">Schedule!N120</f>
        <v>9903.2566338306951</v>
      </c>
    </row>
    <row r="109" spans="1:19" x14ac:dyDescent="0.3">
      <c r="B109" s="14" t="s">
        <v>285</v>
      </c>
      <c r="G109" s="156"/>
      <c r="H109" s="156"/>
      <c r="I109" s="156"/>
      <c r="J109" s="130">
        <f ca="1">J41</f>
        <v>16021.14</v>
      </c>
      <c r="K109" s="130">
        <f t="shared" ref="K109:N109" ca="1" si="47">K41</f>
        <v>12912.75</v>
      </c>
      <c r="L109" s="130">
        <f t="shared" ca="1" si="47"/>
        <v>9910.15</v>
      </c>
      <c r="M109" s="130">
        <f t="shared" ca="1" si="47"/>
        <v>7234.5</v>
      </c>
      <c r="N109" s="130">
        <f t="shared" ca="1" si="47"/>
        <v>4563.2</v>
      </c>
    </row>
    <row r="110" spans="1:19" x14ac:dyDescent="0.3">
      <c r="B110" s="41" t="s">
        <v>282</v>
      </c>
      <c r="G110" s="156"/>
      <c r="H110" s="156"/>
      <c r="I110" s="156"/>
    </row>
    <row r="111" spans="1:19" x14ac:dyDescent="0.3">
      <c r="B111" s="47" t="s">
        <v>283</v>
      </c>
      <c r="G111" s="156"/>
      <c r="H111" s="156"/>
      <c r="I111" s="156"/>
      <c r="J111" s="48">
        <f ca="1">I61-J61</f>
        <v>-127.922818516181</v>
      </c>
      <c r="K111" s="48">
        <f t="shared" ref="K111:N111" ca="1" si="48">J61-K61</f>
        <v>-517.03395763348817</v>
      </c>
      <c r="L111" s="48">
        <f t="shared" ca="1" si="48"/>
        <v>-998.46364193911722</v>
      </c>
      <c r="M111" s="48">
        <f t="shared" ca="1" si="48"/>
        <v>-1115.0696796574557</v>
      </c>
      <c r="N111" s="48">
        <f t="shared" ca="1" si="48"/>
        <v>-1328.4447967300839</v>
      </c>
    </row>
    <row r="112" spans="1:19" x14ac:dyDescent="0.3">
      <c r="B112" s="47" t="s">
        <v>136</v>
      </c>
      <c r="G112" s="156"/>
      <c r="H112" s="156"/>
      <c r="I112" s="156"/>
      <c r="J112" s="48">
        <f ca="1">I62-J62</f>
        <v>20.378012317073853</v>
      </c>
      <c r="K112" s="48">
        <f t="shared" ref="K112:N112" ca="1" si="49">J62-K62</f>
        <v>-61.943574715807245</v>
      </c>
      <c r="L112" s="48">
        <f t="shared" ca="1" si="49"/>
        <v>-117.237384452985</v>
      </c>
      <c r="M112" s="48">
        <f t="shared" ca="1" si="49"/>
        <v>-114.99967557351465</v>
      </c>
      <c r="N112" s="48">
        <f t="shared" ca="1" si="49"/>
        <v>-151.32143281008621</v>
      </c>
    </row>
    <row r="113" spans="2:14" x14ac:dyDescent="0.3">
      <c r="B113" s="109" t="s">
        <v>138</v>
      </c>
      <c r="G113" s="156"/>
      <c r="H113" s="156"/>
      <c r="I113" s="156"/>
      <c r="J113" s="48">
        <f ca="1">I64-J64</f>
        <v>-1293.5907765828488</v>
      </c>
      <c r="K113" s="48">
        <f t="shared" ref="K113:N113" ca="1" si="50">J64-K64</f>
        <v>-60.362663479372713</v>
      </c>
      <c r="L113" s="48">
        <f t="shared" ca="1" si="50"/>
        <v>-171.06909897223159</v>
      </c>
      <c r="M113" s="48">
        <f t="shared" ca="1" si="50"/>
        <v>-801.28353039998001</v>
      </c>
      <c r="N113" s="48">
        <f t="shared" ca="1" si="50"/>
        <v>-547.53177022038108</v>
      </c>
    </row>
    <row r="114" spans="2:14" x14ac:dyDescent="0.3">
      <c r="B114" s="109" t="s">
        <v>150</v>
      </c>
      <c r="G114" s="156"/>
      <c r="H114" s="156"/>
      <c r="I114" s="156"/>
      <c r="J114" s="48">
        <f ca="1">J79-I79</f>
        <v>-233.11652899640831</v>
      </c>
      <c r="K114" s="48">
        <f t="shared" ref="K114:N114" ca="1" si="51">K79-J79</f>
        <v>708.61038391265538</v>
      </c>
      <c r="L114" s="48">
        <f t="shared" ca="1" si="51"/>
        <v>1341.1500448156257</v>
      </c>
      <c r="M114" s="48">
        <f t="shared" ca="1" si="51"/>
        <v>1315.5515262373774</v>
      </c>
      <c r="N114" s="48">
        <f t="shared" ca="1" si="51"/>
        <v>1731.0582911903621</v>
      </c>
    </row>
    <row r="115" spans="2:14" x14ac:dyDescent="0.3">
      <c r="B115" s="109" t="s">
        <v>151</v>
      </c>
      <c r="G115" s="156"/>
      <c r="H115" s="156"/>
      <c r="I115" s="156"/>
      <c r="J115" s="48">
        <f ca="1">J80-I80</f>
        <v>328.65294481835735</v>
      </c>
      <c r="K115" s="48">
        <f t="shared" ref="K115:N115" ca="1" si="52">K80-J80</f>
        <v>2138.4783899253962</v>
      </c>
      <c r="L115" s="48">
        <f t="shared" ca="1" si="52"/>
        <v>1814.7562833534685</v>
      </c>
      <c r="M115" s="48">
        <f t="shared" ca="1" si="52"/>
        <v>2811.9103637663866</v>
      </c>
      <c r="N115" s="48">
        <f t="shared" ca="1" si="52"/>
        <v>3370.8520939610607</v>
      </c>
    </row>
    <row r="116" spans="2:14" x14ac:dyDescent="0.3">
      <c r="B116" s="109" t="s">
        <v>158</v>
      </c>
      <c r="G116" s="156"/>
      <c r="H116" s="156"/>
      <c r="I116" s="156"/>
      <c r="J116" s="48">
        <f ca="1">J88-I88</f>
        <v>2896.8442793919821</v>
      </c>
      <c r="K116" s="48">
        <f t="shared" ref="K116:N116" ca="1" si="53">K88-J88</f>
        <v>-86.820469206904818</v>
      </c>
      <c r="L116" s="48">
        <f t="shared" ca="1" si="53"/>
        <v>733.25557761170785</v>
      </c>
      <c r="M116" s="48">
        <f t="shared" ca="1" si="53"/>
        <v>1915.0755909553918</v>
      </c>
      <c r="N116" s="48">
        <f t="shared" ca="1" si="53"/>
        <v>1366.8976913953084</v>
      </c>
    </row>
    <row r="117" spans="2:14" x14ac:dyDescent="0.3">
      <c r="B117" s="41" t="s">
        <v>284</v>
      </c>
      <c r="G117" s="156"/>
      <c r="H117" s="156"/>
      <c r="I117" s="156"/>
      <c r="J117" s="73">
        <f ca="1">SUM(J105:J116)</f>
        <v>69072.515387945983</v>
      </c>
      <c r="K117" s="73">
        <f t="shared" ref="K117:N117" ca="1" si="54">SUM(K105:K116)</f>
        <v>69585.548827476683</v>
      </c>
      <c r="L117" s="73">
        <f t="shared" ca="1" si="54"/>
        <v>67217.409495816741</v>
      </c>
      <c r="M117" s="73">
        <f t="shared" ca="1" si="54"/>
        <v>68233.787630026432</v>
      </c>
      <c r="N117" s="73">
        <f t="shared" ca="1" si="54"/>
        <v>66866.964814309031</v>
      </c>
    </row>
    <row r="118" spans="2:14" x14ac:dyDescent="0.3">
      <c r="G118" s="156"/>
      <c r="H118" s="156"/>
      <c r="I118" s="156"/>
    </row>
    <row r="119" spans="2:14" x14ac:dyDescent="0.3">
      <c r="B119" s="14" t="s">
        <v>286</v>
      </c>
      <c r="G119" s="156"/>
      <c r="H119" s="156"/>
      <c r="I119" s="156"/>
      <c r="J119" s="48">
        <f ca="1">-Schedule!J24</f>
        <v>-9094.0453175546991</v>
      </c>
      <c r="K119" s="48">
        <f ca="1">-Schedule!K24</f>
        <v>-10214.033275014261</v>
      </c>
      <c r="L119" s="48">
        <f ca="1">-Schedule!L24</f>
        <v>-11586.216890332687</v>
      </c>
      <c r="M119" s="48">
        <f ca="1">-Schedule!M24</f>
        <v>-13088.467340429854</v>
      </c>
      <c r="N119" s="48">
        <f ca="1">-Schedule!N24</f>
        <v>-14783.899417002642</v>
      </c>
    </row>
    <row r="120" spans="2:14" x14ac:dyDescent="0.3">
      <c r="B120" s="14" t="s">
        <v>233</v>
      </c>
      <c r="G120" s="156"/>
      <c r="H120" s="156"/>
      <c r="I120" s="156"/>
      <c r="J120" s="48">
        <f>-Schedule!J19</f>
        <v>4500</v>
      </c>
      <c r="K120" s="48">
        <f>-Schedule!K19</f>
        <v>3000</v>
      </c>
      <c r="L120" s="48">
        <f>-Schedule!L19</f>
        <v>2800</v>
      </c>
      <c r="M120" s="48">
        <f>-Schedule!M19</f>
        <v>1700</v>
      </c>
      <c r="N120" s="48">
        <f>-Schedule!N19</f>
        <v>1500</v>
      </c>
    </row>
    <row r="121" spans="2:14" x14ac:dyDescent="0.3">
      <c r="B121" s="14" t="s">
        <v>287</v>
      </c>
      <c r="G121" s="156"/>
      <c r="H121" s="156"/>
      <c r="I121" s="156"/>
      <c r="J121" s="48">
        <f ca="1">-Schedule!J42</f>
        <v>-1715.8284496677281</v>
      </c>
      <c r="K121" s="48">
        <f ca="1">-Schedule!K42</f>
        <v>-1441.4837420123104</v>
      </c>
      <c r="L121" s="48">
        <f ca="1">-Schedule!L42</f>
        <v>-1711.6409189006251</v>
      </c>
      <c r="M121" s="48">
        <f ca="1">-Schedule!M42</f>
        <v>-1749.1344815766652</v>
      </c>
      <c r="N121" s="48">
        <f ca="1">-Schedule!N42</f>
        <v>-1781.9831799144872</v>
      </c>
    </row>
    <row r="122" spans="2:14" x14ac:dyDescent="0.3">
      <c r="B122" s="14" t="s">
        <v>312</v>
      </c>
      <c r="G122" s="156"/>
      <c r="H122" s="156"/>
      <c r="I122" s="156"/>
      <c r="J122" s="48">
        <f ca="1">-Schedule!J56</f>
        <v>5326.005225212095</v>
      </c>
      <c r="K122" s="48">
        <f ca="1">-Schedule!K56</f>
        <v>-636.01642753455235</v>
      </c>
      <c r="L122" s="48">
        <f ca="1">-Schedule!L56</f>
        <v>-4329.7098259770355</v>
      </c>
      <c r="M122" s="48">
        <f ca="1">-Schedule!M56</f>
        <v>-917.49964655542135</v>
      </c>
      <c r="N122" s="48">
        <f ca="1">-Schedule!N56</f>
        <v>-2904.2432922995067</v>
      </c>
    </row>
    <row r="123" spans="2:14" x14ac:dyDescent="0.3">
      <c r="B123" s="41" t="s">
        <v>288</v>
      </c>
      <c r="G123" s="156"/>
      <c r="H123" s="156"/>
      <c r="I123" s="156"/>
      <c r="J123" s="73">
        <f ca="1">SUM(J119:J122)</f>
        <v>-983.86854201033202</v>
      </c>
      <c r="K123" s="73">
        <f t="shared" ref="K123:N123" ca="1" si="55">SUM(K119:K122)</f>
        <v>-9291.5334445611225</v>
      </c>
      <c r="L123" s="73">
        <f t="shared" ca="1" si="55"/>
        <v>-14827.567635210347</v>
      </c>
      <c r="M123" s="73">
        <f t="shared" ca="1" si="55"/>
        <v>-14055.101468561941</v>
      </c>
      <c r="N123" s="73">
        <f t="shared" ca="1" si="55"/>
        <v>-17970.125889216637</v>
      </c>
    </row>
    <row r="124" spans="2:14" x14ac:dyDescent="0.3">
      <c r="G124" s="156"/>
      <c r="H124" s="156"/>
      <c r="I124" s="156"/>
    </row>
    <row r="125" spans="2:14" x14ac:dyDescent="0.3">
      <c r="B125" s="14" t="s">
        <v>311</v>
      </c>
      <c r="G125" s="156"/>
      <c r="H125" s="156"/>
      <c r="I125" s="156"/>
      <c r="J125" s="48">
        <f ca="1">J82-I82</f>
        <v>0</v>
      </c>
      <c r="K125" s="48">
        <f t="shared" ref="K125:N125" ca="1" si="56">K82-J82</f>
        <v>0</v>
      </c>
      <c r="L125" s="48">
        <f t="shared" ca="1" si="56"/>
        <v>0</v>
      </c>
      <c r="M125" s="48">
        <f t="shared" ca="1" si="56"/>
        <v>0</v>
      </c>
      <c r="N125" s="48">
        <f t="shared" ca="1" si="56"/>
        <v>0</v>
      </c>
    </row>
    <row r="126" spans="2:14" x14ac:dyDescent="0.3">
      <c r="B126" s="14" t="s">
        <v>264</v>
      </c>
      <c r="G126" s="156"/>
      <c r="H126" s="156"/>
      <c r="I126" s="156"/>
      <c r="J126" s="48">
        <f>Schedule!J89</f>
        <v>0</v>
      </c>
      <c r="K126" s="48">
        <f>Schedule!K89</f>
        <v>0</v>
      </c>
      <c r="L126" s="48">
        <f>Schedule!L89</f>
        <v>0</v>
      </c>
      <c r="M126" s="48">
        <f>Schedule!M89</f>
        <v>0</v>
      </c>
      <c r="N126" s="48">
        <f>Schedule!N89</f>
        <v>0</v>
      </c>
    </row>
    <row r="127" spans="2:14" x14ac:dyDescent="0.3">
      <c r="B127" s="14" t="s">
        <v>290</v>
      </c>
      <c r="G127" s="156"/>
      <c r="H127" s="156"/>
      <c r="I127" s="156"/>
      <c r="J127" s="48">
        <f>-Schedule!J90</f>
        <v>-50000</v>
      </c>
      <c r="K127" s="48">
        <f>-Schedule!K90</f>
        <v>-40000</v>
      </c>
      <c r="L127" s="48">
        <f>-Schedule!L90</f>
        <v>-40000</v>
      </c>
      <c r="M127" s="48">
        <f>-Schedule!M90</f>
        <v>-40000</v>
      </c>
      <c r="N127" s="48">
        <f>-Schedule!N90</f>
        <v>-40000</v>
      </c>
    </row>
    <row r="128" spans="2:14" x14ac:dyDescent="0.3">
      <c r="B128" s="14" t="s">
        <v>285</v>
      </c>
      <c r="G128" s="156"/>
      <c r="H128" s="156"/>
      <c r="I128" s="156"/>
      <c r="J128" s="48">
        <f ca="1">-J41</f>
        <v>-16021.14</v>
      </c>
      <c r="K128" s="48">
        <f t="shared" ref="K128:N128" ca="1" si="57">-K41</f>
        <v>-12912.75</v>
      </c>
      <c r="L128" s="48">
        <f t="shared" ca="1" si="57"/>
        <v>-9910.15</v>
      </c>
      <c r="M128" s="48">
        <f t="shared" ca="1" si="57"/>
        <v>-7234.5</v>
      </c>
      <c r="N128" s="48">
        <f t="shared" ca="1" si="57"/>
        <v>-4563.2</v>
      </c>
    </row>
    <row r="129" spans="2:14" x14ac:dyDescent="0.3">
      <c r="B129" s="14" t="s">
        <v>291</v>
      </c>
      <c r="G129" s="156"/>
      <c r="H129" s="156"/>
      <c r="I129" s="156"/>
      <c r="J129" s="48">
        <f>Schedule!J116</f>
        <v>-1500</v>
      </c>
      <c r="K129" s="48">
        <f>Schedule!K116</f>
        <v>-1500</v>
      </c>
      <c r="L129" s="48">
        <f>Schedule!L116</f>
        <v>-1500</v>
      </c>
      <c r="M129" s="48">
        <f>Schedule!M116</f>
        <v>-1500</v>
      </c>
      <c r="N129" s="48">
        <f>Schedule!N116</f>
        <v>-1500</v>
      </c>
    </row>
    <row r="130" spans="2:14" x14ac:dyDescent="0.3">
      <c r="B130" s="41" t="s">
        <v>292</v>
      </c>
      <c r="G130" s="156"/>
      <c r="H130" s="156"/>
      <c r="I130" s="156"/>
      <c r="J130" s="73">
        <f ca="1">SUM(J125:J129)</f>
        <v>-67521.14</v>
      </c>
      <c r="K130" s="73">
        <f t="shared" ref="K130:N130" ca="1" si="58">SUM(K125:K129)</f>
        <v>-54412.75</v>
      </c>
      <c r="L130" s="73">
        <f t="shared" ca="1" si="58"/>
        <v>-51410.15</v>
      </c>
      <c r="M130" s="73">
        <f t="shared" ca="1" si="58"/>
        <v>-48734.5</v>
      </c>
      <c r="N130" s="73">
        <f t="shared" ca="1" si="58"/>
        <v>-46063.199999999997</v>
      </c>
    </row>
    <row r="131" spans="2:14" x14ac:dyDescent="0.3">
      <c r="G131" s="156"/>
      <c r="H131" s="156"/>
      <c r="I131" s="156"/>
    </row>
    <row r="132" spans="2:14" x14ac:dyDescent="0.3">
      <c r="B132" s="41" t="s">
        <v>293</v>
      </c>
      <c r="G132" s="156"/>
      <c r="H132" s="156"/>
      <c r="I132" s="156"/>
      <c r="J132" s="73">
        <f ca="1">J117+J123+J130</f>
        <v>567.50684593565529</v>
      </c>
      <c r="K132" s="73">
        <f t="shared" ref="K132:N132" ca="1" si="59">K117+K123+K130</f>
        <v>5881.2653829155606</v>
      </c>
      <c r="L132" s="73">
        <f t="shared" ca="1" si="59"/>
        <v>979.69186060639186</v>
      </c>
      <c r="M132" s="73">
        <f t="shared" ca="1" si="59"/>
        <v>5444.1861614644877</v>
      </c>
      <c r="N132" s="73">
        <f t="shared" ca="1" si="59"/>
        <v>2833.6389250923967</v>
      </c>
    </row>
    <row r="133" spans="2:14" x14ac:dyDescent="0.3">
      <c r="G133" s="156"/>
      <c r="H133" s="156"/>
      <c r="I133" s="156"/>
    </row>
    <row r="134" spans="2:14" x14ac:dyDescent="0.3">
      <c r="B134" s="14" t="s">
        <v>294</v>
      </c>
      <c r="G134" s="156"/>
      <c r="H134" s="156"/>
      <c r="I134" s="156"/>
      <c r="J134" s="48">
        <f>I59</f>
        <v>1698</v>
      </c>
      <c r="K134" s="48">
        <f ca="1">J135</f>
        <v>2265.5068459356553</v>
      </c>
      <c r="L134" s="48">
        <f t="shared" ref="L134:N134" ca="1" si="60">K135</f>
        <v>8146.7722288512159</v>
      </c>
      <c r="M134" s="48">
        <f t="shared" ca="1" si="60"/>
        <v>9126.4640894576078</v>
      </c>
      <c r="N134" s="48">
        <f t="shared" ca="1" si="60"/>
        <v>14570.650250922095</v>
      </c>
    </row>
    <row r="135" spans="2:14" x14ac:dyDescent="0.3">
      <c r="B135" s="41" t="s">
        <v>295</v>
      </c>
      <c r="G135" s="156"/>
      <c r="H135" s="156"/>
      <c r="I135" s="156"/>
      <c r="J135" s="73">
        <f ca="1">J132+J134</f>
        <v>2265.5068459356553</v>
      </c>
      <c r="K135" s="73">
        <f t="shared" ref="K135:N135" ca="1" si="61">K132+K134</f>
        <v>8146.7722288512159</v>
      </c>
      <c r="L135" s="73">
        <f t="shared" ca="1" si="61"/>
        <v>9126.4640894576078</v>
      </c>
      <c r="M135" s="73">
        <f t="shared" ca="1" si="61"/>
        <v>14570.650250922095</v>
      </c>
      <c r="N135" s="73">
        <f t="shared" ca="1" si="61"/>
        <v>17404.289176014492</v>
      </c>
    </row>
    <row r="140" spans="2:14" x14ac:dyDescent="0.3">
      <c r="M140" s="14" t="s">
        <v>301</v>
      </c>
    </row>
    <row r="147" spans="2:19" ht="14.4" x14ac:dyDescent="0.3">
      <c r="B147" s="44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</row>
  </sheetData>
  <mergeCells count="4">
    <mergeCell ref="G6:I6"/>
    <mergeCell ref="J6:N6"/>
    <mergeCell ref="O6:P6"/>
    <mergeCell ref="Q6:S7"/>
  </mergeCells>
  <hyperlinks>
    <hyperlink ref="B9" location="Dashboard!A1" display="&lt;-Back to dashboard" xr:uid="{344A16CC-67D3-41F6-BC16-98B2BE8FE9C8}"/>
    <hyperlink ref="C11" location="IS" display="Income statement" xr:uid="{D38B6B31-CE04-4CD4-9AD4-16C97AFD996F}"/>
    <hyperlink ref="E11" location="BS" display="Balance statement" xr:uid="{4D342354-E44F-4C26-B18E-5323D72A4B9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0C779-B767-4076-B300-FA107F1CBF6C}">
  <sheetPr>
    <pageSetUpPr autoPageBreaks="0"/>
  </sheetPr>
  <dimension ref="A1:S202"/>
  <sheetViews>
    <sheetView showGridLines="0" tabSelected="1" zoomScaleNormal="100" workbookViewId="0">
      <selection activeCell="F90" sqref="F90"/>
    </sheetView>
  </sheetViews>
  <sheetFormatPr defaultRowHeight="13.8" x14ac:dyDescent="0.3"/>
  <cols>
    <col min="1" max="1" width="1.88671875" style="14" customWidth="1"/>
    <col min="2" max="2" width="8.88671875" style="14"/>
    <col min="3" max="3" width="7.109375" style="14" customWidth="1"/>
    <col min="4" max="4" width="12.5546875" style="14" bestFit="1" customWidth="1"/>
    <col min="5" max="6" width="8.88671875" style="14"/>
    <col min="7" max="14" width="11.6640625" style="14" customWidth="1"/>
    <col min="15" max="16" width="10" style="14" customWidth="1"/>
    <col min="17" max="19" width="13.88671875" style="14" customWidth="1"/>
    <col min="20" max="16384" width="8.88671875" style="14"/>
  </cols>
  <sheetData>
    <row r="1" spans="1:19" s="22" customFormat="1" ht="14.4" x14ac:dyDescent="0.3"/>
    <row r="2" spans="1:19" s="22" customFormat="1" ht="15.6" x14ac:dyDescent="0.3">
      <c r="A2" s="23"/>
      <c r="B2" s="24" t="str">
        <f>Dashboard!B2</f>
        <v>Denny's Diner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</row>
    <row r="3" spans="1:19" s="22" customFormat="1" ht="14.4" x14ac:dyDescent="0.3">
      <c r="B3" s="60" t="s">
        <v>17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</row>
    <row r="4" spans="1:19" s="22" customFormat="1" ht="14.4" x14ac:dyDescent="0.3">
      <c r="B4" s="75" t="str">
        <f>Dashboard!B4</f>
        <v>(In $ thousands, except per share amounts)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s="22" customFormat="1" ht="14.4" x14ac:dyDescent="0.3">
      <c r="B5" s="11" t="s">
        <v>38</v>
      </c>
      <c r="C5" s="25"/>
      <c r="D5" s="11" t="str">
        <f>Dashboard!G13</f>
        <v>Street</v>
      </c>
      <c r="E5" s="25"/>
      <c r="F5" s="25"/>
      <c r="G5" s="27"/>
      <c r="H5" s="27"/>
      <c r="I5" s="27"/>
      <c r="J5" s="25"/>
      <c r="K5" s="25"/>
      <c r="L5" s="25"/>
      <c r="M5" s="25"/>
      <c r="N5" s="25"/>
      <c r="O5" s="25"/>
      <c r="P5" s="25"/>
      <c r="Q5" s="25"/>
      <c r="R5" s="25"/>
      <c r="S5" s="25"/>
    </row>
    <row r="6" spans="1:19" s="22" customFormat="1" ht="14.4" x14ac:dyDescent="0.3">
      <c r="B6" s="11" t="s">
        <v>172</v>
      </c>
      <c r="C6" s="28"/>
      <c r="D6" s="28"/>
      <c r="E6" s="28"/>
      <c r="F6" s="29"/>
      <c r="G6" s="323" t="s">
        <v>171</v>
      </c>
      <c r="H6" s="323"/>
      <c r="I6" s="324"/>
      <c r="J6" s="325" t="s">
        <v>2</v>
      </c>
      <c r="K6" s="326"/>
      <c r="L6" s="326"/>
      <c r="M6" s="326"/>
      <c r="N6" s="326"/>
      <c r="O6" s="327" t="s">
        <v>32</v>
      </c>
      <c r="P6" s="328"/>
      <c r="Q6" s="329" t="s">
        <v>18</v>
      </c>
      <c r="R6" s="330"/>
      <c r="S6" s="330"/>
    </row>
    <row r="7" spans="1:19" s="22" customFormat="1" ht="14.4" x14ac:dyDescent="0.3">
      <c r="B7" s="11" t="s">
        <v>173</v>
      </c>
      <c r="C7" s="28"/>
      <c r="D7" s="28"/>
      <c r="E7" s="28"/>
      <c r="F7" s="28"/>
      <c r="G7" s="30">
        <f>Statements!G7</f>
        <v>44920</v>
      </c>
      <c r="H7" s="30">
        <f t="shared" ref="H7:N7" si="0">EDATE(G7,12)</f>
        <v>45285</v>
      </c>
      <c r="I7" s="31">
        <f t="shared" si="0"/>
        <v>45651</v>
      </c>
      <c r="J7" s="32">
        <f t="shared" si="0"/>
        <v>46016</v>
      </c>
      <c r="K7" s="32">
        <f t="shared" si="0"/>
        <v>46381</v>
      </c>
      <c r="L7" s="33">
        <f t="shared" si="0"/>
        <v>46746</v>
      </c>
      <c r="M7" s="32">
        <f t="shared" si="0"/>
        <v>47112</v>
      </c>
      <c r="N7" s="33">
        <f t="shared" si="0"/>
        <v>47477</v>
      </c>
      <c r="O7" s="34" t="s">
        <v>190</v>
      </c>
      <c r="P7" s="35" t="s">
        <v>191</v>
      </c>
      <c r="Q7" s="331"/>
      <c r="R7" s="332"/>
      <c r="S7" s="332"/>
    </row>
    <row r="9" spans="1:19" ht="14.4" x14ac:dyDescent="0.3">
      <c r="B9" s="38" t="s">
        <v>47</v>
      </c>
    </row>
    <row r="10" spans="1:19" ht="14.4" x14ac:dyDescent="0.3">
      <c r="B10" s="38"/>
    </row>
    <row r="11" spans="1:19" ht="14.4" x14ac:dyDescent="0.3">
      <c r="B11" s="38" t="s">
        <v>53</v>
      </c>
      <c r="C11" s="39" t="s">
        <v>55</v>
      </c>
      <c r="E11" s="39" t="s">
        <v>56</v>
      </c>
    </row>
    <row r="12" spans="1:19" ht="14.4" x14ac:dyDescent="0.3">
      <c r="B12" s="38"/>
      <c r="C12" s="39"/>
      <c r="E12" s="39"/>
    </row>
    <row r="13" spans="1:19" x14ac:dyDescent="0.3">
      <c r="B13" s="41" t="s">
        <v>196</v>
      </c>
    </row>
    <row r="14" spans="1:19" x14ac:dyDescent="0.3">
      <c r="B14" s="14" t="s">
        <v>197</v>
      </c>
    </row>
    <row r="15" spans="1:19" x14ac:dyDescent="0.3">
      <c r="B15" s="14" t="s">
        <v>39</v>
      </c>
    </row>
    <row r="16" spans="1:19" x14ac:dyDescent="0.3">
      <c r="B16" s="14" t="s">
        <v>198</v>
      </c>
    </row>
    <row r="18" spans="1:19" ht="14.4" x14ac:dyDescent="0.3">
      <c r="A18" s="14" t="s">
        <v>34</v>
      </c>
      <c r="B18" s="12" t="s">
        <v>203</v>
      </c>
      <c r="C18" s="45"/>
      <c r="D18" s="45"/>
      <c r="E18" s="45"/>
      <c r="F18" s="45"/>
      <c r="G18" s="120">
        <v>44920</v>
      </c>
      <c r="H18" s="120">
        <v>45285</v>
      </c>
      <c r="I18" s="120">
        <v>45651</v>
      </c>
      <c r="J18" s="121">
        <v>46016</v>
      </c>
      <c r="K18" s="121">
        <v>46381</v>
      </c>
      <c r="L18" s="121">
        <v>46746</v>
      </c>
      <c r="M18" s="121">
        <v>47112</v>
      </c>
      <c r="N18" s="121">
        <v>47477</v>
      </c>
      <c r="O18" s="45"/>
      <c r="P18" s="45"/>
      <c r="Q18" s="45"/>
      <c r="R18" s="45"/>
      <c r="S18" s="45"/>
    </row>
    <row r="20" spans="1:19" s="43" customFormat="1" x14ac:dyDescent="0.3">
      <c r="B20" s="115" t="s">
        <v>179</v>
      </c>
    </row>
    <row r="21" spans="1:19" s="43" customFormat="1" x14ac:dyDescent="0.3">
      <c r="B21" s="109" t="s">
        <v>174</v>
      </c>
      <c r="G21" s="130">
        <v>193576</v>
      </c>
      <c r="H21" s="130">
        <v>201175</v>
      </c>
      <c r="I21" s="122">
        <v>193572</v>
      </c>
      <c r="J21" s="122">
        <f ca="1">I21*(1+J$77)</f>
        <v>193313.73182121414</v>
      </c>
      <c r="K21" s="122">
        <f ca="1">J21*(1+K$77)</f>
        <v>196154.68178785857</v>
      </c>
      <c r="L21" s="122">
        <f ca="1">K21*(1+L$77)</f>
        <v>202869.65443629088</v>
      </c>
      <c r="M21" s="122">
        <f ca="1">L21*(1+M$77)</f>
        <v>210230.29753168783</v>
      </c>
      <c r="N21" s="122">
        <f ca="1">M21*(1+N$77)</f>
        <v>218882.28152101405</v>
      </c>
    </row>
    <row r="22" spans="1:19" s="43" customFormat="1" x14ac:dyDescent="0.3">
      <c r="B22" s="109" t="s">
        <v>176</v>
      </c>
      <c r="G22" s="130">
        <v>6177</v>
      </c>
      <c r="H22" s="130">
        <v>14357</v>
      </c>
      <c r="I22" s="122">
        <v>18209</v>
      </c>
      <c r="J22" s="122">
        <f ca="1">I22*(1+J$79)</f>
        <v>20320.188405797104</v>
      </c>
      <c r="K22" s="122">
        <f ca="1">J22*(1+K$79)</f>
        <v>22695.27536231884</v>
      </c>
      <c r="L22" s="122">
        <f ca="1">K22*(1+L$79)</f>
        <v>25334.260869565216</v>
      </c>
      <c r="M22" s="122">
        <f ca="1">L22*(1+M$79)</f>
        <v>28501.043478260868</v>
      </c>
      <c r="N22" s="122">
        <f ca="1">M22*(1+N$79)</f>
        <v>32459.521739130432</v>
      </c>
    </row>
    <row r="23" spans="1:19" s="43" customFormat="1" x14ac:dyDescent="0.3">
      <c r="B23" s="111" t="s">
        <v>180</v>
      </c>
      <c r="G23" s="125">
        <f>SUM(G21:G22)</f>
        <v>199753</v>
      </c>
      <c r="H23" s="125">
        <f>SUM(H21:H22)</f>
        <v>215532</v>
      </c>
      <c r="I23" s="125">
        <f>SUM(I21:I22)</f>
        <v>211781</v>
      </c>
      <c r="J23" s="125">
        <f t="shared" ref="J23:N23" ca="1" si="1">SUM(J21:J22)</f>
        <v>213633.92022701126</v>
      </c>
      <c r="K23" s="125">
        <f t="shared" ca="1" si="1"/>
        <v>218849.95715017742</v>
      </c>
      <c r="L23" s="125">
        <f t="shared" ca="1" si="1"/>
        <v>228203.91530585609</v>
      </c>
      <c r="M23" s="125">
        <f t="shared" ca="1" si="1"/>
        <v>238731.34100994869</v>
      </c>
      <c r="N23" s="125">
        <f t="shared" ca="1" si="1"/>
        <v>251341.80326014449</v>
      </c>
      <c r="O23" s="129">
        <f>_xlfn.RRI(2,G23,I23)</f>
        <v>2.9667113556830271E-2</v>
      </c>
      <c r="P23" s="129">
        <f ca="1">_xlfn.RRI(4,J23,N23)</f>
        <v>4.1474471802076973E-2</v>
      </c>
    </row>
    <row r="24" spans="1:19" s="43" customFormat="1" x14ac:dyDescent="0.3"/>
    <row r="25" spans="1:19" s="43" customFormat="1" x14ac:dyDescent="0.3">
      <c r="B25" s="115" t="s">
        <v>183</v>
      </c>
    </row>
    <row r="26" spans="1:19" s="43" customFormat="1" x14ac:dyDescent="0.3">
      <c r="B26" s="113" t="s">
        <v>177</v>
      </c>
    </row>
    <row r="27" spans="1:19" s="43" customFormat="1" x14ac:dyDescent="0.3">
      <c r="B27" s="110" t="s">
        <v>174</v>
      </c>
      <c r="G27" s="130">
        <v>111718</v>
      </c>
      <c r="H27" s="130">
        <v>115004</v>
      </c>
      <c r="I27" s="130">
        <v>113804</v>
      </c>
      <c r="J27" s="122">
        <f ca="1">I27*(1+J$77)</f>
        <v>113652.16010673782</v>
      </c>
      <c r="K27" s="122">
        <f ca="1">J27*(1+K$77)</f>
        <v>115322.39893262174</v>
      </c>
      <c r="L27" s="122">
        <f ca="1">K27*(1+L$77)</f>
        <v>119270.2361574383</v>
      </c>
      <c r="M27" s="122">
        <f ca="1">L27*(1+M$77)</f>
        <v>123597.67311541029</v>
      </c>
      <c r="N27" s="122">
        <f ca="1">M27*(1+N$77)</f>
        <v>128684.30953969315</v>
      </c>
    </row>
    <row r="28" spans="1:19" s="43" customFormat="1" x14ac:dyDescent="0.3">
      <c r="B28" s="110" t="s">
        <v>176</v>
      </c>
      <c r="G28" s="130">
        <v>2173</v>
      </c>
      <c r="H28" s="130">
        <v>5127</v>
      </c>
      <c r="I28" s="130">
        <v>4901</v>
      </c>
      <c r="J28" s="122">
        <f ca="1">I28*(1+J$79)</f>
        <v>5469.231884057971</v>
      </c>
      <c r="K28" s="122">
        <f ca="1">J28*(1+K$79)</f>
        <v>6108.492753623188</v>
      </c>
      <c r="L28" s="122">
        <f ca="1">K28*(1+L$79)</f>
        <v>6818.782608695652</v>
      </c>
      <c r="M28" s="122">
        <f ca="1">L28*(1+M$79)</f>
        <v>7671.1304347826081</v>
      </c>
      <c r="N28" s="122">
        <f ca="1">M28*(1+N$79)</f>
        <v>8736.565217391304</v>
      </c>
    </row>
    <row r="29" spans="1:19" s="43" customFormat="1" x14ac:dyDescent="0.3">
      <c r="B29" s="124" t="s">
        <v>185</v>
      </c>
      <c r="G29" s="125">
        <f>SUM(G27:G28)</f>
        <v>113891</v>
      </c>
      <c r="H29" s="125">
        <f>SUM(H27:H28)</f>
        <v>120131</v>
      </c>
      <c r="I29" s="125">
        <f>SUM(I27:I28)</f>
        <v>118705</v>
      </c>
      <c r="J29" s="125">
        <f t="shared" ref="J29" ca="1" si="2">SUM(J27:J28)</f>
        <v>119121.39199079579</v>
      </c>
      <c r="K29" s="125">
        <f t="shared" ref="K29" ca="1" si="3">SUM(K27:K28)</f>
        <v>121430.89168624493</v>
      </c>
      <c r="L29" s="125">
        <f t="shared" ref="L29" ca="1" si="4">SUM(L27:L28)</f>
        <v>126089.01876613394</v>
      </c>
      <c r="M29" s="125">
        <f t="shared" ref="M29" ca="1" si="5">SUM(M27:M28)</f>
        <v>131268.80355019291</v>
      </c>
      <c r="N29" s="125">
        <f t="shared" ref="N29" ca="1" si="6">SUM(N27:N28)</f>
        <v>137420.87475708444</v>
      </c>
      <c r="O29" s="129">
        <f>_xlfn.RRI(2,G29,I29)</f>
        <v>2.0915513046650958E-2</v>
      </c>
      <c r="P29" s="129">
        <f ca="1">_xlfn.RRI(4,J29,N29)</f>
        <v>3.6372158111737773E-2</v>
      </c>
    </row>
    <row r="30" spans="1:19" s="43" customFormat="1" x14ac:dyDescent="0.3">
      <c r="B30" s="131" t="s">
        <v>178</v>
      </c>
    </row>
    <row r="31" spans="1:19" s="43" customFormat="1" x14ac:dyDescent="0.3">
      <c r="B31" s="110" t="s">
        <v>174</v>
      </c>
      <c r="G31" s="130">
        <v>75926</v>
      </c>
      <c r="H31" s="130">
        <v>77932</v>
      </c>
      <c r="I31" s="130">
        <v>78192</v>
      </c>
      <c r="J31" s="122">
        <f ca="1">I31*(1+J$77)</f>
        <v>78087.674449633094</v>
      </c>
      <c r="K31" s="122">
        <f ca="1">J31*(1+K$77)</f>
        <v>79235.255503669119</v>
      </c>
      <c r="L31" s="122">
        <f ca="1">K31*(1+L$77)</f>
        <v>81947.719813208823</v>
      </c>
      <c r="M31" s="122">
        <f ca="1">L31*(1+M$77)</f>
        <v>84920.9979986658</v>
      </c>
      <c r="N31" s="122">
        <f ca="1">M31*(1+N$77)</f>
        <v>88415.903935957322</v>
      </c>
    </row>
    <row r="32" spans="1:19" s="43" customFormat="1" x14ac:dyDescent="0.3">
      <c r="B32" s="110" t="s">
        <v>176</v>
      </c>
      <c r="G32" s="43">
        <v>0</v>
      </c>
      <c r="H32" s="14">
        <v>562</v>
      </c>
      <c r="I32" s="130">
        <v>1781</v>
      </c>
      <c r="J32" s="122">
        <f ca="1">I32*(1+J$79)</f>
        <v>1987.4927536231885</v>
      </c>
      <c r="K32" s="122">
        <f ca="1">J32*(1+K$79)</f>
        <v>2219.7971014492755</v>
      </c>
      <c r="L32" s="122">
        <f ca="1">K32*(1+L$79)</f>
        <v>2477.913043478261</v>
      </c>
      <c r="M32" s="122">
        <f ca="1">L32*(1+M$79)</f>
        <v>2787.6521739130435</v>
      </c>
      <c r="N32" s="122">
        <f ca="1">M32*(1+N$79)</f>
        <v>3174.8260869565215</v>
      </c>
    </row>
    <row r="33" spans="2:16" s="43" customFormat="1" x14ac:dyDescent="0.3">
      <c r="B33" s="132" t="s">
        <v>185</v>
      </c>
      <c r="G33" s="125">
        <f>SUM(G31:G32)</f>
        <v>75926</v>
      </c>
      <c r="H33" s="125">
        <f>SUM(H31:H32)</f>
        <v>78494</v>
      </c>
      <c r="I33" s="125">
        <f>SUM(I31:I32)</f>
        <v>79973</v>
      </c>
      <c r="J33" s="125">
        <f t="shared" ref="J33" ca="1" si="7">SUM(J31:J32)</f>
        <v>80075.167203256278</v>
      </c>
      <c r="K33" s="125">
        <f t="shared" ref="K33" ca="1" si="8">SUM(K31:K32)</f>
        <v>81455.052605118399</v>
      </c>
      <c r="L33" s="125">
        <f t="shared" ref="L33" ca="1" si="9">SUM(L31:L32)</f>
        <v>84425.63285668708</v>
      </c>
      <c r="M33" s="125">
        <f t="shared" ref="M33" ca="1" si="10">SUM(M31:M32)</f>
        <v>87708.65017257884</v>
      </c>
      <c r="N33" s="125">
        <f t="shared" ref="N33" ca="1" si="11">SUM(N31:N32)</f>
        <v>91590.730022913849</v>
      </c>
      <c r="O33" s="129">
        <f>_xlfn.RRI(2,G33,I33)</f>
        <v>2.6304973785891361E-2</v>
      </c>
      <c r="P33" s="129">
        <f ca="1">_xlfn.RRI(4,J33,N33)</f>
        <v>3.4161621146700627E-2</v>
      </c>
    </row>
    <row r="34" spans="2:16" s="123" customFormat="1" x14ac:dyDescent="0.3">
      <c r="B34" s="133" t="s">
        <v>181</v>
      </c>
    </row>
    <row r="35" spans="2:16" s="123" customFormat="1" x14ac:dyDescent="0.3">
      <c r="B35" s="110" t="s">
        <v>174</v>
      </c>
      <c r="G35" s="130">
        <v>27870</v>
      </c>
      <c r="H35" s="130">
        <v>13112</v>
      </c>
      <c r="I35" s="130">
        <v>8351</v>
      </c>
      <c r="J35" s="122">
        <f ca="1">I35*(1+J$77)</f>
        <v>8339.8579052701807</v>
      </c>
      <c r="K35" s="122">
        <f ca="1">J35*(1+K$77)</f>
        <v>8462.4209472981984</v>
      </c>
      <c r="L35" s="122">
        <f ca="1">K35*(1+L$77)</f>
        <v>8752.1154102735163</v>
      </c>
      <c r="M35" s="122">
        <f ca="1">L35*(1+M$77)</f>
        <v>9069.6651100733834</v>
      </c>
      <c r="N35" s="122">
        <f ca="1">M35*(1+N$77)</f>
        <v>9442.9252835223488</v>
      </c>
    </row>
    <row r="36" spans="2:16" s="123" customFormat="1" x14ac:dyDescent="0.3">
      <c r="B36" s="110" t="s">
        <v>176</v>
      </c>
      <c r="G36" s="14">
        <v>392</v>
      </c>
      <c r="H36" s="14">
        <v>770</v>
      </c>
      <c r="I36" s="14">
        <v>360</v>
      </c>
      <c r="J36" s="122">
        <f ca="1">I36*(1+J$79)</f>
        <v>401.73913043478262</v>
      </c>
      <c r="K36" s="122">
        <f ca="1">J36*(1+K$79)</f>
        <v>448.695652173913</v>
      </c>
      <c r="L36" s="122">
        <f ca="1">K36*(1+L$79)</f>
        <v>500.86956521739125</v>
      </c>
      <c r="M36" s="122">
        <f ca="1">L36*(1+M$79)</f>
        <v>563.47826086956513</v>
      </c>
      <c r="N36" s="122">
        <f ca="1">M36*(1+N$79)</f>
        <v>641.73913043478251</v>
      </c>
    </row>
    <row r="37" spans="2:16" s="123" customFormat="1" x14ac:dyDescent="0.3">
      <c r="B37" s="132" t="s">
        <v>185</v>
      </c>
      <c r="G37" s="125">
        <f>SUM(G35:G36)</f>
        <v>28262</v>
      </c>
      <c r="H37" s="125">
        <f>SUM(H35:H36)</f>
        <v>13882</v>
      </c>
      <c r="I37" s="125">
        <f>SUM(I35:I36)</f>
        <v>8711</v>
      </c>
      <c r="J37" s="125">
        <f t="shared" ref="J37" ca="1" si="12">SUM(J35:J36)</f>
        <v>8741.5970357049628</v>
      </c>
      <c r="K37" s="125">
        <f t="shared" ref="K37" ca="1" si="13">SUM(K35:K36)</f>
        <v>8911.1165994721123</v>
      </c>
      <c r="L37" s="125">
        <f t="shared" ref="L37" ca="1" si="14">SUM(L35:L36)</f>
        <v>9252.9849754909083</v>
      </c>
      <c r="M37" s="125">
        <f t="shared" ref="M37" ca="1" si="15">SUM(M35:M36)</f>
        <v>9633.1433709429493</v>
      </c>
      <c r="N37" s="125">
        <f t="shared" ref="N37" ca="1" si="16">SUM(N35:N36)</f>
        <v>10084.664413957131</v>
      </c>
      <c r="O37" s="129">
        <f>_xlfn.RRI(2,G37,I37)</f>
        <v>-0.44482160012014438</v>
      </c>
      <c r="P37" s="129">
        <f ca="1">_xlfn.RRI(4,J37,N37)</f>
        <v>3.6376763161152681E-2</v>
      </c>
    </row>
    <row r="38" spans="2:16" s="43" customFormat="1" x14ac:dyDescent="0.3">
      <c r="B38" s="131" t="s">
        <v>182</v>
      </c>
    </row>
    <row r="39" spans="2:16" s="43" customFormat="1" x14ac:dyDescent="0.3">
      <c r="B39" s="110" t="s">
        <v>174</v>
      </c>
      <c r="G39" s="130">
        <v>38597</v>
      </c>
      <c r="H39" s="130">
        <v>35883</v>
      </c>
      <c r="I39" s="130">
        <v>33075</v>
      </c>
      <c r="J39" s="122">
        <f ca="1">I39*(1+J$77)</f>
        <v>33030.870580386923</v>
      </c>
      <c r="K39" s="122">
        <f ca="1">J39*(1+K$77)</f>
        <v>33516.294196130752</v>
      </c>
      <c r="L39" s="122">
        <f ca="1">K39*(1+L$77)</f>
        <v>34663.659106070714</v>
      </c>
      <c r="M39" s="122">
        <f ca="1">L39*(1+M$77)</f>
        <v>35921.347565043368</v>
      </c>
      <c r="N39" s="122">
        <f ca="1">M39*(1+N$77)</f>
        <v>37399.683122081391</v>
      </c>
    </row>
    <row r="40" spans="2:16" s="43" customFormat="1" x14ac:dyDescent="0.3">
      <c r="B40" s="110" t="s">
        <v>176</v>
      </c>
      <c r="G40" s="43">
        <v>0</v>
      </c>
      <c r="H40" s="43">
        <v>0</v>
      </c>
      <c r="I40" s="43">
        <v>89</v>
      </c>
      <c r="J40" s="122">
        <f ca="1">I40*(1+J$79)</f>
        <v>99.318840579710155</v>
      </c>
      <c r="K40" s="122">
        <f ca="1">J40*(1+K$79)</f>
        <v>110.92753623188406</v>
      </c>
      <c r="L40" s="122">
        <f ca="1">K40*(1+L$79)</f>
        <v>123.82608695652175</v>
      </c>
      <c r="M40" s="122">
        <f ca="1">L40*(1+M$79)</f>
        <v>139.30434782608697</v>
      </c>
      <c r="N40" s="122">
        <f ca="1">M40*(1+N$79)</f>
        <v>158.6521739130435</v>
      </c>
    </row>
    <row r="41" spans="2:16" s="43" customFormat="1" x14ac:dyDescent="0.3">
      <c r="B41" s="132" t="s">
        <v>185</v>
      </c>
      <c r="G41" s="125">
        <f>SUM(G39:G40)</f>
        <v>38597</v>
      </c>
      <c r="H41" s="125">
        <f>SUM(H39:H40)</f>
        <v>35883</v>
      </c>
      <c r="I41" s="125">
        <f>SUM(I39:I40)</f>
        <v>33164</v>
      </c>
      <c r="J41" s="125">
        <f t="shared" ref="J41" ca="1" si="17">SUM(J39:J40)</f>
        <v>33130.189420966635</v>
      </c>
      <c r="K41" s="125">
        <f t="shared" ref="K41" ca="1" si="18">SUM(K39:K40)</f>
        <v>33627.221732362639</v>
      </c>
      <c r="L41" s="125">
        <f t="shared" ref="L41" ca="1" si="19">SUM(L39:L40)</f>
        <v>34787.485193027234</v>
      </c>
      <c r="M41" s="125">
        <f t="shared" ref="M41" ca="1" si="20">SUM(M39:M40)</f>
        <v>36060.651912869456</v>
      </c>
      <c r="N41" s="125">
        <f t="shared" ref="N41" ca="1" si="21">SUM(N39:N40)</f>
        <v>37558.335295994431</v>
      </c>
      <c r="O41" s="129">
        <f>_xlfn.RRI(2,G41,I41)</f>
        <v>-7.3049211342315568E-2</v>
      </c>
      <c r="P41" s="129">
        <f ca="1">_xlfn.RRI(4,J41,N41)</f>
        <v>3.1859587925537669E-2</v>
      </c>
    </row>
    <row r="42" spans="2:16" s="43" customFormat="1" x14ac:dyDescent="0.3">
      <c r="B42" s="124" t="s">
        <v>184</v>
      </c>
      <c r="G42" s="125">
        <f>G29+G33+G37+G41</f>
        <v>256676</v>
      </c>
      <c r="H42" s="125">
        <f>H29+H33+H37+H41</f>
        <v>248390</v>
      </c>
      <c r="I42" s="125">
        <f>I29+I33+I37+I41</f>
        <v>240553</v>
      </c>
      <c r="J42" s="125">
        <f t="shared" ref="J42:N42" ca="1" si="22">J29+J33+J37+J41</f>
        <v>241068.34565072367</v>
      </c>
      <c r="K42" s="125">
        <f t="shared" ca="1" si="22"/>
        <v>245424.28262319809</v>
      </c>
      <c r="L42" s="125">
        <f t="shared" ca="1" si="22"/>
        <v>254555.12179133919</v>
      </c>
      <c r="M42" s="125">
        <f t="shared" ca="1" si="22"/>
        <v>264671.24900658417</v>
      </c>
      <c r="N42" s="125">
        <f t="shared" ca="1" si="22"/>
        <v>276654.60448994988</v>
      </c>
      <c r="O42" s="129">
        <f>_xlfn.RRI(2,G42,I42)</f>
        <v>-3.1916635278577132E-2</v>
      </c>
      <c r="P42" s="129">
        <f ca="1">_xlfn.RRI(4,J42,N42)</f>
        <v>3.5021637127800487E-2</v>
      </c>
    </row>
    <row r="43" spans="2:16" s="43" customFormat="1" x14ac:dyDescent="0.3">
      <c r="B43" s="124"/>
      <c r="G43" s="125"/>
      <c r="H43" s="125"/>
      <c r="I43" s="125"/>
      <c r="J43" s="125"/>
      <c r="K43" s="125"/>
      <c r="L43" s="125"/>
      <c r="M43" s="125"/>
      <c r="N43" s="125"/>
      <c r="O43" s="129"/>
      <c r="P43" s="129"/>
    </row>
    <row r="44" spans="2:16" s="43" customFormat="1" x14ac:dyDescent="0.3">
      <c r="B44" s="110" t="s">
        <v>194</v>
      </c>
      <c r="G44" s="122">
        <f>G21+G27+G31+G35+G39</f>
        <v>447687</v>
      </c>
      <c r="H44" s="122">
        <f>H21+H27+H31+H35+H39</f>
        <v>443106</v>
      </c>
      <c r="I44" s="122">
        <f t="shared" ref="I44:N44" si="23">I21+I27+I31+I35+I39</f>
        <v>426994</v>
      </c>
      <c r="J44" s="122">
        <f t="shared" ca="1" si="23"/>
        <v>426424.29486324219</v>
      </c>
      <c r="K44" s="122">
        <f t="shared" ca="1" si="23"/>
        <v>432691.05136757839</v>
      </c>
      <c r="L44" s="122">
        <f t="shared" ca="1" si="23"/>
        <v>447503.38492328225</v>
      </c>
      <c r="M44" s="122">
        <f t="shared" ca="1" si="23"/>
        <v>463739.9813208807</v>
      </c>
      <c r="N44" s="122">
        <f t="shared" ca="1" si="23"/>
        <v>482825.10340226832</v>
      </c>
      <c r="O44" s="129"/>
      <c r="P44" s="129"/>
    </row>
    <row r="45" spans="2:16" s="43" customFormat="1" x14ac:dyDescent="0.3">
      <c r="B45" s="110" t="s">
        <v>195</v>
      </c>
      <c r="G45" s="122">
        <f>G22+G28+G32+G36+G40</f>
        <v>8742</v>
      </c>
      <c r="H45" s="122">
        <f>H22+H28+H32+H36+H40</f>
        <v>20816</v>
      </c>
      <c r="I45" s="122">
        <f t="shared" ref="I45:N45" si="24">I22+I28+I32+I36+I40</f>
        <v>25340</v>
      </c>
      <c r="J45" s="122">
        <f t="shared" ca="1" si="24"/>
        <v>28277.971014492759</v>
      </c>
      <c r="K45" s="122">
        <f t="shared" ca="1" si="24"/>
        <v>31583.1884057971</v>
      </c>
      <c r="L45" s="122">
        <f t="shared" ca="1" si="24"/>
        <v>35255.65217391304</v>
      </c>
      <c r="M45" s="122">
        <f t="shared" ca="1" si="24"/>
        <v>39662.608695652169</v>
      </c>
      <c r="N45" s="122">
        <f t="shared" ca="1" si="24"/>
        <v>45171.304347826081</v>
      </c>
      <c r="O45" s="129"/>
      <c r="P45" s="129"/>
    </row>
    <row r="46" spans="2:16" s="43" customFormat="1" x14ac:dyDescent="0.3">
      <c r="B46" s="113" t="s">
        <v>193</v>
      </c>
      <c r="G46" s="125">
        <f>G23+G42</f>
        <v>456429</v>
      </c>
      <c r="H46" s="125">
        <f>H23+H42</f>
        <v>463922</v>
      </c>
      <c r="I46" s="125">
        <f t="shared" ref="I46" si="25">I23+I42</f>
        <v>452334</v>
      </c>
      <c r="J46" s="125">
        <f t="shared" ref="J46" ca="1" si="26">J23+J42</f>
        <v>454702.26587773493</v>
      </c>
      <c r="K46" s="125">
        <f t="shared" ref="K46" ca="1" si="27">K23+K42</f>
        <v>464274.23977337551</v>
      </c>
      <c r="L46" s="125">
        <f t="shared" ref="L46" ca="1" si="28">L23+L42</f>
        <v>482759.03709719528</v>
      </c>
      <c r="M46" s="125">
        <f t="shared" ref="M46" ca="1" si="29">M23+M42</f>
        <v>503402.59001653286</v>
      </c>
      <c r="N46" s="125">
        <f t="shared" ref="N46" ca="1" si="30">N23+N42</f>
        <v>527996.40775009431</v>
      </c>
      <c r="O46" s="129"/>
      <c r="P46" s="129"/>
    </row>
    <row r="47" spans="2:16" s="43" customFormat="1" x14ac:dyDescent="0.3"/>
    <row r="48" spans="2:16" s="43" customFormat="1" x14ac:dyDescent="0.3">
      <c r="B48" s="126" t="s">
        <v>186</v>
      </c>
      <c r="G48" s="130"/>
      <c r="H48" s="130"/>
      <c r="I48" s="130"/>
      <c r="J48" s="130"/>
      <c r="K48" s="130"/>
      <c r="L48" s="130"/>
      <c r="M48" s="130"/>
      <c r="N48" s="130"/>
    </row>
    <row r="49" spans="2:17" s="43" customFormat="1" x14ac:dyDescent="0.3">
      <c r="B49" s="112" t="s">
        <v>187</v>
      </c>
    </row>
    <row r="50" spans="2:17" s="43" customFormat="1" x14ac:dyDescent="0.3">
      <c r="B50" s="333" t="s">
        <v>174</v>
      </c>
      <c r="G50" s="130">
        <v>66</v>
      </c>
      <c r="H50" s="130">
        <v>65</v>
      </c>
      <c r="I50" s="130">
        <v>61</v>
      </c>
      <c r="J50" s="130">
        <f ca="1">ROUNDUP(I50*(1+J51),0)</f>
        <v>59</v>
      </c>
      <c r="K50" s="130">
        <f t="shared" ref="K50:N50" ca="1" si="31">ROUNDUP(J50*(1+K51),0)</f>
        <v>59</v>
      </c>
      <c r="L50" s="130">
        <f t="shared" ca="1" si="31"/>
        <v>61</v>
      </c>
      <c r="M50" s="130">
        <f t="shared" ca="1" si="31"/>
        <v>63</v>
      </c>
      <c r="N50" s="130">
        <f t="shared" ca="1" si="31"/>
        <v>67</v>
      </c>
      <c r="O50" s="129">
        <f>_xlfn.RRI(2,G50,I50)</f>
        <v>-3.8624722471799711E-2</v>
      </c>
      <c r="P50" s="129">
        <f ca="1">_xlfn.RRI(4,J50,N50)</f>
        <v>3.2299454307683995E-2</v>
      </c>
    </row>
    <row r="51" spans="2:17" s="43" customFormat="1" x14ac:dyDescent="0.3">
      <c r="B51" s="333"/>
      <c r="G51" s="130"/>
      <c r="H51" s="130"/>
      <c r="I51" s="130"/>
      <c r="J51" s="127">
        <f ca="1">OFFSET(J51,MATCH($D$5,$B52:$B54,0),0)</f>
        <v>-3.834498834498834E-2</v>
      </c>
      <c r="K51" s="127">
        <f t="shared" ref="K51:N51" ca="1" si="32">OFFSET(K51,MATCH($D$5,$B52:$B54,0),0)</f>
        <v>-1.6258741258741254E-2</v>
      </c>
      <c r="L51" s="127">
        <f t="shared" ca="1" si="32"/>
        <v>0.02</v>
      </c>
      <c r="M51" s="127">
        <f t="shared" ca="1" si="32"/>
        <v>3.2000000000000001E-2</v>
      </c>
      <c r="N51" s="127">
        <f t="shared" ca="1" si="32"/>
        <v>0.05</v>
      </c>
    </row>
    <row r="52" spans="2:17" s="43" customFormat="1" x14ac:dyDescent="0.3">
      <c r="B52" s="72" t="s">
        <v>197</v>
      </c>
      <c r="G52" s="130"/>
      <c r="H52" s="130"/>
      <c r="I52" s="130"/>
      <c r="J52" s="137">
        <f>J53+$Q$52</f>
        <v>-2.5844988344988339E-2</v>
      </c>
      <c r="K52" s="137">
        <f t="shared" ref="K52:N52" si="33">K53+$Q$52</f>
        <v>-3.7587412587412536E-3</v>
      </c>
      <c r="L52" s="137">
        <f t="shared" si="33"/>
        <v>3.2500000000000001E-2</v>
      </c>
      <c r="M52" s="137">
        <f t="shared" si="33"/>
        <v>4.4499999999999998E-2</v>
      </c>
      <c r="N52" s="137">
        <f t="shared" si="33"/>
        <v>6.25E-2</v>
      </c>
      <c r="Q52" s="138">
        <v>1.2500000000000001E-2</v>
      </c>
    </row>
    <row r="53" spans="2:17" s="43" customFormat="1" x14ac:dyDescent="0.3">
      <c r="B53" s="72" t="s">
        <v>39</v>
      </c>
      <c r="G53" s="130"/>
      <c r="H53" s="127">
        <f>H50/G50-1</f>
        <v>-1.5151515151515138E-2</v>
      </c>
      <c r="I53" s="127">
        <f>I50/H50-1</f>
        <v>-6.1538461538461542E-2</v>
      </c>
      <c r="J53" s="137">
        <f>AVERAGE(H53:I53)</f>
        <v>-3.834498834498834E-2</v>
      </c>
      <c r="K53" s="137">
        <f>J53+($N$53-$J$53)/4</f>
        <v>-1.6258741258741254E-2</v>
      </c>
      <c r="L53" s="137">
        <v>0.02</v>
      </c>
      <c r="M53" s="137">
        <v>3.2000000000000001E-2</v>
      </c>
      <c r="N53" s="137">
        <v>0.05</v>
      </c>
      <c r="Q53" s="139"/>
    </row>
    <row r="54" spans="2:17" s="43" customFormat="1" x14ac:dyDescent="0.3">
      <c r="B54" s="72" t="s">
        <v>198</v>
      </c>
      <c r="G54" s="130"/>
      <c r="H54" s="130"/>
      <c r="I54" s="130"/>
      <c r="J54" s="137">
        <f>J53+$Q$54</f>
        <v>-4.8344988344988342E-2</v>
      </c>
      <c r="K54" s="137">
        <f t="shared" ref="K54:N54" si="34">K53+$Q$54</f>
        <v>-2.6258741258741253E-2</v>
      </c>
      <c r="L54" s="137">
        <f t="shared" si="34"/>
        <v>0.01</v>
      </c>
      <c r="M54" s="137">
        <f t="shared" si="34"/>
        <v>2.1999999999999999E-2</v>
      </c>
      <c r="N54" s="137">
        <f t="shared" si="34"/>
        <v>0.04</v>
      </c>
      <c r="Q54" s="140">
        <v>-0.01</v>
      </c>
    </row>
    <row r="55" spans="2:17" s="43" customFormat="1" x14ac:dyDescent="0.3">
      <c r="B55" s="333" t="s">
        <v>175</v>
      </c>
      <c r="G55" s="130">
        <v>8</v>
      </c>
      <c r="H55" s="130">
        <v>8</v>
      </c>
      <c r="I55" s="130">
        <v>14</v>
      </c>
      <c r="J55" s="130">
        <f ca="1">ROUNDUP(I55*(1+J56),0)</f>
        <v>16</v>
      </c>
      <c r="K55" s="130">
        <f t="shared" ref="K55" ca="1" si="35">ROUNDUP(J55*(1+K56),0)</f>
        <v>18</v>
      </c>
      <c r="L55" s="130">
        <f t="shared" ref="L55" ca="1" si="36">ROUNDUP(K55*(1+L56),0)</f>
        <v>20</v>
      </c>
      <c r="M55" s="130">
        <f t="shared" ref="M55" ca="1" si="37">ROUNDUP(L55*(1+M56),0)</f>
        <v>23</v>
      </c>
      <c r="N55" s="130">
        <f t="shared" ref="N55" ca="1" si="38">ROUNDUP(M55*(1+N56),0)</f>
        <v>27</v>
      </c>
      <c r="O55" s="129">
        <f>_xlfn.RRI(2,G55,I55)</f>
        <v>0.32287565553229536</v>
      </c>
      <c r="P55" s="129">
        <f ca="1">_xlfn.RRI(4,J55,N55)</f>
        <v>0.13975352847738876</v>
      </c>
    </row>
    <row r="56" spans="2:17" s="43" customFormat="1" x14ac:dyDescent="0.3">
      <c r="B56" s="333"/>
      <c r="G56" s="130"/>
      <c r="H56" s="130"/>
      <c r="I56" s="130"/>
      <c r="J56" s="127">
        <f ca="1">OFFSET(J56,MATCH($D$5,$B57:$B59,0),0)</f>
        <v>0.08</v>
      </c>
      <c r="K56" s="127">
        <f t="shared" ref="K56" ca="1" si="39">OFFSET(K56,MATCH($D$5,$B57:$B59,0),0)</f>
        <v>0.1</v>
      </c>
      <c r="L56" s="127">
        <f t="shared" ref="L56" ca="1" si="40">OFFSET(L56,MATCH($D$5,$B57:$B59,0),0)</f>
        <v>0.11</v>
      </c>
      <c r="M56" s="127">
        <f t="shared" ref="M56" ca="1" si="41">OFFSET(M56,MATCH($D$5,$B57:$B59,0),0)</f>
        <v>0.125</v>
      </c>
      <c r="N56" s="127">
        <f t="shared" ref="N56" ca="1" si="42">OFFSET(N56,MATCH($D$5,$B57:$B59,0),0)</f>
        <v>0.15</v>
      </c>
    </row>
    <row r="57" spans="2:17" s="43" customFormat="1" x14ac:dyDescent="0.3">
      <c r="B57" s="72" t="s">
        <v>197</v>
      </c>
      <c r="G57" s="130"/>
      <c r="H57" s="130"/>
      <c r="I57" s="130"/>
      <c r="J57" s="137">
        <f>J58+$Q$52</f>
        <v>9.2499999999999999E-2</v>
      </c>
      <c r="K57" s="137">
        <f t="shared" ref="K57" si="43">K58+$Q$52</f>
        <v>0.1125</v>
      </c>
      <c r="L57" s="137">
        <f t="shared" ref="L57" si="44">L58+$Q$52</f>
        <v>0.1225</v>
      </c>
      <c r="M57" s="137">
        <f t="shared" ref="M57" si="45">M58+$Q$52</f>
        <v>0.13750000000000001</v>
      </c>
      <c r="N57" s="137">
        <f t="shared" ref="N57" si="46">N58+$Q$52</f>
        <v>0.16250000000000001</v>
      </c>
    </row>
    <row r="58" spans="2:17" s="43" customFormat="1" x14ac:dyDescent="0.3">
      <c r="B58" s="72" t="s">
        <v>39</v>
      </c>
      <c r="G58" s="130"/>
      <c r="H58" s="127">
        <f>H55/G55-1</f>
        <v>0</v>
      </c>
      <c r="I58" s="127">
        <f>I55/H55-1</f>
        <v>0.75</v>
      </c>
      <c r="J58" s="137">
        <v>0.08</v>
      </c>
      <c r="K58" s="137">
        <v>0.1</v>
      </c>
      <c r="L58" s="137">
        <v>0.11</v>
      </c>
      <c r="M58" s="137">
        <v>0.125</v>
      </c>
      <c r="N58" s="137">
        <v>0.15</v>
      </c>
    </row>
    <row r="59" spans="2:17" s="43" customFormat="1" x14ac:dyDescent="0.3">
      <c r="B59" s="72" t="s">
        <v>198</v>
      </c>
      <c r="G59" s="130"/>
      <c r="H59" s="130"/>
      <c r="I59" s="130"/>
      <c r="J59" s="137">
        <f>J58+$Q$54</f>
        <v>7.0000000000000007E-2</v>
      </c>
      <c r="K59" s="137">
        <f t="shared" ref="K59" si="47">K58+$Q$54</f>
        <v>9.0000000000000011E-2</v>
      </c>
      <c r="L59" s="137">
        <f t="shared" ref="L59" si="48">L58+$Q$54</f>
        <v>0.1</v>
      </c>
      <c r="M59" s="137">
        <f t="shared" ref="M59" si="49">M58+$Q$54</f>
        <v>0.115</v>
      </c>
      <c r="N59" s="137">
        <f t="shared" ref="N59" si="50">N58+$Q$54</f>
        <v>0.13999999999999999</v>
      </c>
    </row>
    <row r="60" spans="2:17" s="43" customFormat="1" x14ac:dyDescent="0.3">
      <c r="B60" s="111" t="s">
        <v>185</v>
      </c>
      <c r="G60" s="135">
        <f t="shared" ref="G60:I60" si="51">G50+G55</f>
        <v>74</v>
      </c>
      <c r="H60" s="135">
        <f t="shared" si="51"/>
        <v>73</v>
      </c>
      <c r="I60" s="135">
        <f t="shared" si="51"/>
        <v>75</v>
      </c>
      <c r="J60" s="135">
        <f ca="1">J50+J55</f>
        <v>75</v>
      </c>
      <c r="K60" s="135">
        <f t="shared" ref="K60:N60" ca="1" si="52">K50+K55</f>
        <v>77</v>
      </c>
      <c r="L60" s="135">
        <f t="shared" ca="1" si="52"/>
        <v>81</v>
      </c>
      <c r="M60" s="135">
        <f t="shared" ca="1" si="52"/>
        <v>86</v>
      </c>
      <c r="N60" s="135">
        <f t="shared" ca="1" si="52"/>
        <v>94</v>
      </c>
      <c r="O60" s="129">
        <f>_xlfn.RRI(2,G60,I60)</f>
        <v>6.7340828210364911E-3</v>
      </c>
      <c r="P60" s="129">
        <f ca="1">_xlfn.RRI(4,J60,N60)</f>
        <v>5.8075473796542321E-2</v>
      </c>
    </row>
    <row r="61" spans="2:17" s="43" customFormat="1" x14ac:dyDescent="0.3">
      <c r="B61" s="112"/>
      <c r="G61" s="130"/>
      <c r="H61" s="130"/>
      <c r="I61" s="130"/>
      <c r="J61" s="130"/>
      <c r="K61" s="130"/>
      <c r="L61" s="130"/>
      <c r="M61" s="130"/>
      <c r="N61" s="130"/>
      <c r="O61" s="129"/>
      <c r="P61" s="129"/>
    </row>
    <row r="62" spans="2:17" s="43" customFormat="1" x14ac:dyDescent="0.3">
      <c r="B62" s="112" t="s">
        <v>188</v>
      </c>
      <c r="G62" s="130"/>
      <c r="H62" s="130"/>
      <c r="I62" s="130"/>
      <c r="J62" s="130"/>
      <c r="K62" s="130"/>
      <c r="L62" s="130"/>
      <c r="M62" s="130"/>
      <c r="N62" s="130"/>
    </row>
    <row r="63" spans="2:17" s="43" customFormat="1" x14ac:dyDescent="0.3">
      <c r="B63" s="333" t="s">
        <v>174</v>
      </c>
      <c r="G63" s="130">
        <v>1536</v>
      </c>
      <c r="H63" s="130">
        <v>1508</v>
      </c>
      <c r="I63" s="130">
        <v>1438</v>
      </c>
      <c r="J63" s="130">
        <f ca="1">ROUNDUP(I63*(1+J64),0)</f>
        <v>1438</v>
      </c>
      <c r="K63" s="130">
        <f t="shared" ref="K63" ca="1" si="53">ROUNDUP(J63*(1+K64),0)</f>
        <v>1460</v>
      </c>
      <c r="L63" s="130">
        <f t="shared" ref="L63" ca="1" si="54">ROUNDUP(K63*(1+L64),0)</f>
        <v>1510</v>
      </c>
      <c r="M63" s="130">
        <f t="shared" ref="M63" ca="1" si="55">ROUNDUP(L63*(1+M64),0)</f>
        <v>1565</v>
      </c>
      <c r="N63" s="130">
        <f t="shared" ref="N63" ca="1" si="56">ROUNDUP(M63*(1+N64),0)</f>
        <v>1628</v>
      </c>
      <c r="O63" s="129">
        <f>_xlfn.RRI(2,G63,I63)</f>
        <v>-3.2426790022239915E-2</v>
      </c>
      <c r="P63" s="129">
        <f ca="1">_xlfn.RRI(4,J63,N63)</f>
        <v>3.1511035604284254E-2</v>
      </c>
    </row>
    <row r="64" spans="2:17" s="43" customFormat="1" x14ac:dyDescent="0.3">
      <c r="B64" s="333"/>
      <c r="G64" s="130"/>
      <c r="H64" s="130"/>
      <c r="I64" s="130"/>
      <c r="J64" s="127">
        <f ca="1">OFFSET(J64,MATCH($D$5,$B65:$B67,0),0)</f>
        <v>0</v>
      </c>
      <c r="K64" s="127">
        <f t="shared" ref="K64" ca="1" si="57">OFFSET(K64,MATCH($D$5,$B65:$B67,0),0)</f>
        <v>1.4999999999999999E-2</v>
      </c>
      <c r="L64" s="127">
        <f t="shared" ref="L64" ca="1" si="58">OFFSET(L64,MATCH($D$5,$B65:$B67,0),0)</f>
        <v>3.4000000000000002E-2</v>
      </c>
      <c r="M64" s="127">
        <f t="shared" ref="M64" ca="1" si="59">OFFSET(M64,MATCH($D$5,$B65:$B67,0),0)</f>
        <v>3.5999999999999997E-2</v>
      </c>
      <c r="N64" s="127">
        <f t="shared" ref="N64" ca="1" si="60">OFFSET(N64,MATCH($D$5,$B65:$B67,0),0)</f>
        <v>0.04</v>
      </c>
    </row>
    <row r="65" spans="2:16" s="43" customFormat="1" x14ac:dyDescent="0.3">
      <c r="B65" s="72" t="s">
        <v>197</v>
      </c>
      <c r="G65" s="130"/>
      <c r="H65" s="130"/>
      <c r="I65" s="130"/>
      <c r="J65" s="137">
        <f>J66+$Q$52</f>
        <v>1.2500000000000001E-2</v>
      </c>
      <c r="K65" s="137">
        <f t="shared" ref="K65" si="61">K66+$Q$52</f>
        <v>2.75E-2</v>
      </c>
      <c r="L65" s="137">
        <f t="shared" ref="L65" si="62">L66+$Q$52</f>
        <v>4.65E-2</v>
      </c>
      <c r="M65" s="137">
        <f t="shared" ref="M65" si="63">M66+$Q$52</f>
        <v>4.8500000000000001E-2</v>
      </c>
      <c r="N65" s="137">
        <f t="shared" ref="N65" si="64">N66+$Q$52</f>
        <v>5.2500000000000005E-2</v>
      </c>
    </row>
    <row r="66" spans="2:16" s="43" customFormat="1" x14ac:dyDescent="0.3">
      <c r="B66" s="72" t="s">
        <v>39</v>
      </c>
      <c r="G66" s="130"/>
      <c r="H66" s="127">
        <f>H63/G63-1</f>
        <v>-1.822916666666663E-2</v>
      </c>
      <c r="I66" s="127">
        <f>I63/H63-1</f>
        <v>-4.6419098143236082E-2</v>
      </c>
      <c r="J66" s="137">
        <v>0</v>
      </c>
      <c r="K66" s="137">
        <v>1.4999999999999999E-2</v>
      </c>
      <c r="L66" s="137">
        <v>3.4000000000000002E-2</v>
      </c>
      <c r="M66" s="137">
        <v>3.5999999999999997E-2</v>
      </c>
      <c r="N66" s="137">
        <v>0.04</v>
      </c>
    </row>
    <row r="67" spans="2:16" s="43" customFormat="1" x14ac:dyDescent="0.3">
      <c r="B67" s="72" t="s">
        <v>198</v>
      </c>
      <c r="G67" s="130"/>
      <c r="H67" s="130"/>
      <c r="I67" s="130"/>
      <c r="J67" s="137">
        <f>J66+$Q$54</f>
        <v>-0.01</v>
      </c>
      <c r="K67" s="137">
        <f t="shared" ref="K67" si="65">K66+$Q$54</f>
        <v>4.9999999999999992E-3</v>
      </c>
      <c r="L67" s="137">
        <f t="shared" ref="L67" si="66">L66+$Q$54</f>
        <v>2.4E-2</v>
      </c>
      <c r="M67" s="137">
        <f t="shared" ref="M67" si="67">M66+$Q$54</f>
        <v>2.5999999999999995E-2</v>
      </c>
      <c r="N67" s="137">
        <f t="shared" ref="N67" si="68">N66+$Q$54</f>
        <v>0.03</v>
      </c>
    </row>
    <row r="68" spans="2:16" s="43" customFormat="1" x14ac:dyDescent="0.3">
      <c r="B68" s="333" t="s">
        <v>175</v>
      </c>
      <c r="G68" s="130">
        <v>46</v>
      </c>
      <c r="H68" s="130">
        <v>50</v>
      </c>
      <c r="I68" s="130">
        <v>55</v>
      </c>
      <c r="J68" s="130">
        <f ca="1">ROUNDUP(I68*(1+J69),0)</f>
        <v>61</v>
      </c>
      <c r="K68" s="130">
        <f t="shared" ref="K68" ca="1" si="69">ROUNDUP(J68*(1+K69),0)</f>
        <v>68</v>
      </c>
      <c r="L68" s="130">
        <f t="shared" ref="L68" ca="1" si="70">ROUNDUP(K68*(1+L69),0)</f>
        <v>76</v>
      </c>
      <c r="M68" s="130">
        <f t="shared" ref="M68" ca="1" si="71">ROUNDUP(L68*(1+M69),0)</f>
        <v>85</v>
      </c>
      <c r="N68" s="130">
        <f t="shared" ref="N68" ca="1" si="72">ROUNDUP(M68*(1+N69),0)</f>
        <v>96</v>
      </c>
      <c r="O68" s="129">
        <f>_xlfn.RRI(2,G68,I68)</f>
        <v>9.3458812170373218E-2</v>
      </c>
      <c r="P68" s="129">
        <f ca="1">_xlfn.RRI(4,J68,N68)</f>
        <v>0.1200446849900052</v>
      </c>
    </row>
    <row r="69" spans="2:16" s="43" customFormat="1" x14ac:dyDescent="0.3">
      <c r="B69" s="333"/>
      <c r="G69" s="130"/>
      <c r="H69" s="130"/>
      <c r="I69" s="130"/>
      <c r="J69" s="127">
        <f ca="1">OFFSET(J69,MATCH($D$5,$B70:$B72,0),0)</f>
        <v>0.1</v>
      </c>
      <c r="K69" s="127">
        <f t="shared" ref="K69" ca="1" si="73">OFFSET(K69,MATCH($D$5,$B70:$B72,0),0)</f>
        <v>0.10500000000000001</v>
      </c>
      <c r="L69" s="127">
        <f t="shared" ref="L69" ca="1" si="74">OFFSET(L69,MATCH($D$5,$B70:$B72,0),0)</f>
        <v>0.11000000000000001</v>
      </c>
      <c r="M69" s="127">
        <f t="shared" ref="M69" ca="1" si="75">OFFSET(M69,MATCH($D$5,$B70:$B72,0),0)</f>
        <v>0.11500000000000002</v>
      </c>
      <c r="N69" s="127">
        <f t="shared" ref="N69" ca="1" si="76">OFFSET(N69,MATCH($D$5,$B70:$B72,0),0)</f>
        <v>0.12</v>
      </c>
    </row>
    <row r="70" spans="2:16" s="43" customFormat="1" x14ac:dyDescent="0.3">
      <c r="B70" s="72" t="s">
        <v>197</v>
      </c>
      <c r="G70" s="130"/>
      <c r="H70" s="130"/>
      <c r="I70" s="130"/>
      <c r="J70" s="137">
        <f>J71+$Q$52</f>
        <v>0.1125</v>
      </c>
      <c r="K70" s="137">
        <f t="shared" ref="K70" si="77">K71+$Q$52</f>
        <v>0.11750000000000001</v>
      </c>
      <c r="L70" s="137">
        <f t="shared" ref="L70" si="78">L71+$Q$52</f>
        <v>0.12250000000000001</v>
      </c>
      <c r="M70" s="137">
        <f t="shared" ref="M70" si="79">M71+$Q$52</f>
        <v>0.12750000000000003</v>
      </c>
      <c r="N70" s="137">
        <f t="shared" ref="N70" si="80">N71+$Q$52</f>
        <v>0.13250000000000001</v>
      </c>
    </row>
    <row r="71" spans="2:16" s="43" customFormat="1" x14ac:dyDescent="0.3">
      <c r="B71" s="72" t="s">
        <v>39</v>
      </c>
      <c r="G71" s="130"/>
      <c r="H71" s="127">
        <f>H68/G68-1</f>
        <v>8.6956521739130377E-2</v>
      </c>
      <c r="I71" s="127">
        <f>I68/H68-1</f>
        <v>0.10000000000000009</v>
      </c>
      <c r="J71" s="137">
        <v>0.1</v>
      </c>
      <c r="K71" s="137">
        <f>J71+($N$71-$J$71)/4</f>
        <v>0.10500000000000001</v>
      </c>
      <c r="L71" s="137">
        <f t="shared" ref="L71:M71" si="81">K71+($N$71-$J$71)/4</f>
        <v>0.11000000000000001</v>
      </c>
      <c r="M71" s="137">
        <f t="shared" si="81"/>
        <v>0.11500000000000002</v>
      </c>
      <c r="N71" s="137">
        <v>0.12</v>
      </c>
    </row>
    <row r="72" spans="2:16" s="43" customFormat="1" x14ac:dyDescent="0.3">
      <c r="B72" s="72" t="s">
        <v>198</v>
      </c>
      <c r="G72" s="130"/>
      <c r="H72" s="130"/>
      <c r="I72" s="130"/>
      <c r="J72" s="137">
        <f>J71+$Q$54</f>
        <v>9.0000000000000011E-2</v>
      </c>
      <c r="K72" s="137">
        <f t="shared" ref="K72" si="82">K71+$Q$54</f>
        <v>9.5000000000000015E-2</v>
      </c>
      <c r="L72" s="137">
        <f t="shared" ref="L72" si="83">L71+$Q$54</f>
        <v>0.10000000000000002</v>
      </c>
      <c r="M72" s="137">
        <f t="shared" ref="M72" si="84">M71+$Q$54</f>
        <v>0.10500000000000002</v>
      </c>
      <c r="N72" s="137">
        <f t="shared" ref="N72" si="85">N71+$Q$54</f>
        <v>0.11</v>
      </c>
    </row>
    <row r="73" spans="2:16" s="43" customFormat="1" x14ac:dyDescent="0.3">
      <c r="B73" s="111" t="s">
        <v>185</v>
      </c>
      <c r="G73" s="135">
        <f t="shared" ref="G73:I73" si="86">G63+G68</f>
        <v>1582</v>
      </c>
      <c r="H73" s="135">
        <f t="shared" si="86"/>
        <v>1558</v>
      </c>
      <c r="I73" s="135">
        <f t="shared" si="86"/>
        <v>1493</v>
      </c>
      <c r="J73" s="135">
        <f ca="1">J63+J68</f>
        <v>1499</v>
      </c>
      <c r="K73" s="135">
        <f t="shared" ref="K73:N73" ca="1" si="87">K63+K68</f>
        <v>1528</v>
      </c>
      <c r="L73" s="135">
        <f t="shared" ca="1" si="87"/>
        <v>1586</v>
      </c>
      <c r="M73" s="135">
        <f t="shared" ca="1" si="87"/>
        <v>1650</v>
      </c>
      <c r="N73" s="135">
        <f t="shared" ca="1" si="87"/>
        <v>1724</v>
      </c>
      <c r="O73" s="129">
        <f>_xlfn.RRI(2,G73,I73)</f>
        <v>-2.8536105349583618E-2</v>
      </c>
      <c r="P73" s="129">
        <f ca="1">_xlfn.RRI(4,J73,N73)</f>
        <v>3.5580602756782875E-2</v>
      </c>
    </row>
    <row r="74" spans="2:16" s="43" customFormat="1" x14ac:dyDescent="0.3">
      <c r="B74" s="111"/>
      <c r="G74" s="130"/>
      <c r="H74" s="130"/>
      <c r="I74" s="130"/>
      <c r="J74" s="130"/>
      <c r="K74" s="130"/>
      <c r="L74" s="130"/>
      <c r="M74" s="130"/>
      <c r="N74" s="130"/>
    </row>
    <row r="75" spans="2:16" s="43" customFormat="1" x14ac:dyDescent="0.3">
      <c r="B75" s="115" t="s">
        <v>189</v>
      </c>
      <c r="G75" s="135"/>
      <c r="H75" s="135"/>
      <c r="I75" s="135"/>
      <c r="J75" s="135"/>
      <c r="K75" s="135"/>
      <c r="L75" s="135"/>
      <c r="M75" s="135"/>
      <c r="N75" s="135"/>
      <c r="O75" s="129"/>
      <c r="P75" s="129"/>
    </row>
    <row r="76" spans="2:16" s="43" customFormat="1" x14ac:dyDescent="0.3">
      <c r="B76" s="109" t="s">
        <v>174</v>
      </c>
      <c r="G76" s="130">
        <f>G50+G63</f>
        <v>1602</v>
      </c>
      <c r="H76" s="130">
        <f t="shared" ref="H76:N76" si="88">H50+H63</f>
        <v>1573</v>
      </c>
      <c r="I76" s="130">
        <f t="shared" si="88"/>
        <v>1499</v>
      </c>
      <c r="J76" s="130">
        <f t="shared" ca="1" si="88"/>
        <v>1497</v>
      </c>
      <c r="K76" s="130">
        <f t="shared" ca="1" si="88"/>
        <v>1519</v>
      </c>
      <c r="L76" s="130">
        <f t="shared" ca="1" si="88"/>
        <v>1571</v>
      </c>
      <c r="M76" s="130">
        <f t="shared" ca="1" si="88"/>
        <v>1628</v>
      </c>
      <c r="N76" s="130">
        <f t="shared" ca="1" si="88"/>
        <v>1695</v>
      </c>
      <c r="O76" s="129"/>
      <c r="P76" s="129"/>
    </row>
    <row r="77" spans="2:16" s="43" customFormat="1" x14ac:dyDescent="0.3">
      <c r="B77" s="110" t="s">
        <v>200</v>
      </c>
      <c r="G77" s="130"/>
      <c r="H77" s="127">
        <f>H76/G76-1</f>
        <v>-1.8102372034956349E-2</v>
      </c>
      <c r="I77" s="127">
        <f t="shared" ref="I77:N77" si="89">I76/H76-1</f>
        <v>-4.7043865225683379E-2</v>
      </c>
      <c r="J77" s="127">
        <f t="shared" ca="1" si="89"/>
        <v>-1.3342228152101177E-3</v>
      </c>
      <c r="K77" s="127">
        <f t="shared" ca="1" si="89"/>
        <v>1.4696058784235078E-2</v>
      </c>
      <c r="L77" s="127">
        <f t="shared" ca="1" si="89"/>
        <v>3.4233048057932924E-2</v>
      </c>
      <c r="M77" s="127">
        <f t="shared" ca="1" si="89"/>
        <v>3.6282622533418296E-2</v>
      </c>
      <c r="N77" s="127">
        <f t="shared" ca="1" si="89"/>
        <v>4.1154791154791148E-2</v>
      </c>
      <c r="O77" s="129"/>
      <c r="P77" s="129"/>
    </row>
    <row r="78" spans="2:16" s="43" customFormat="1" x14ac:dyDescent="0.3">
      <c r="B78" s="109" t="s">
        <v>175</v>
      </c>
      <c r="G78" s="122">
        <f>G55+G68</f>
        <v>54</v>
      </c>
      <c r="H78" s="122">
        <f t="shared" ref="H78:N78" si="90">H55+H68</f>
        <v>58</v>
      </c>
      <c r="I78" s="122">
        <f t="shared" si="90"/>
        <v>69</v>
      </c>
      <c r="J78" s="122">
        <f t="shared" ca="1" si="90"/>
        <v>77</v>
      </c>
      <c r="K78" s="122">
        <f t="shared" ca="1" si="90"/>
        <v>86</v>
      </c>
      <c r="L78" s="122">
        <f t="shared" ca="1" si="90"/>
        <v>96</v>
      </c>
      <c r="M78" s="122">
        <f t="shared" ca="1" si="90"/>
        <v>108</v>
      </c>
      <c r="N78" s="122">
        <f t="shared" ca="1" si="90"/>
        <v>123</v>
      </c>
    </row>
    <row r="79" spans="2:16" s="43" customFormat="1" x14ac:dyDescent="0.3">
      <c r="B79" s="110" t="s">
        <v>200</v>
      </c>
      <c r="G79" s="122"/>
      <c r="H79" s="127">
        <f>H78/G78-1</f>
        <v>7.4074074074074181E-2</v>
      </c>
      <c r="I79" s="127">
        <f t="shared" ref="I79" si="91">I78/H78-1</f>
        <v>0.18965517241379315</v>
      </c>
      <c r="J79" s="127">
        <f t="shared" ref="J79" ca="1" si="92">J78/I78-1</f>
        <v>0.11594202898550732</v>
      </c>
      <c r="K79" s="127">
        <f t="shared" ref="K79" ca="1" si="93">K78/J78-1</f>
        <v>0.11688311688311681</v>
      </c>
      <c r="L79" s="127">
        <f t="shared" ref="L79" ca="1" si="94">L78/K78-1</f>
        <v>0.11627906976744184</v>
      </c>
      <c r="M79" s="127">
        <f t="shared" ref="M79" ca="1" si="95">M78/L78-1</f>
        <v>0.125</v>
      </c>
      <c r="N79" s="127">
        <f t="shared" ref="N79" ca="1" si="96">N78/M78-1</f>
        <v>0.13888888888888884</v>
      </c>
    </row>
    <row r="80" spans="2:16" s="43" customFormat="1" x14ac:dyDescent="0.3">
      <c r="B80" s="111" t="s">
        <v>185</v>
      </c>
      <c r="G80" s="135">
        <f t="shared" ref="G80:N80" si="97">SUM(G76:G78)</f>
        <v>1656</v>
      </c>
      <c r="H80" s="135">
        <f t="shared" si="97"/>
        <v>1630.9818976279651</v>
      </c>
      <c r="I80" s="135">
        <f t="shared" si="97"/>
        <v>1567.9529561347742</v>
      </c>
      <c r="J80" s="135">
        <f t="shared" ca="1" si="97"/>
        <v>1573.9986657771849</v>
      </c>
      <c r="K80" s="135">
        <f t="shared" ca="1" si="97"/>
        <v>1605.0146960587842</v>
      </c>
      <c r="L80" s="135">
        <f t="shared" ca="1" si="97"/>
        <v>1667.034233048058</v>
      </c>
      <c r="M80" s="135">
        <f t="shared" ca="1" si="97"/>
        <v>1736.0362826225335</v>
      </c>
      <c r="N80" s="135">
        <f t="shared" ca="1" si="97"/>
        <v>1818.0411547911549</v>
      </c>
      <c r="O80" s="129">
        <f>_xlfn.RRI(2,G80,I80)</f>
        <v>-2.6947331718129686E-2</v>
      </c>
      <c r="P80" s="129">
        <f ca="1">_xlfn.RRI(4,J80,N80)</f>
        <v>3.6692215754535296E-2</v>
      </c>
    </row>
    <row r="81" spans="1:19" s="43" customFormat="1" x14ac:dyDescent="0.3">
      <c r="B81" s="152" t="s">
        <v>200</v>
      </c>
      <c r="G81" s="61"/>
      <c r="H81" s="127">
        <f>H80/G80-1</f>
        <v>-1.5107549741567028E-2</v>
      </c>
      <c r="I81" s="127">
        <f t="shared" ref="I81" si="98">I80/H80-1</f>
        <v>-3.8644782989227244E-2</v>
      </c>
      <c r="J81" s="127">
        <f t="shared" ref="J81" ca="1" si="99">J80/I80-1</f>
        <v>3.8557978533451109E-3</v>
      </c>
      <c r="K81" s="127">
        <f t="shared" ref="K81" ca="1" si="100">K80/J80-1</f>
        <v>1.9705245598975685E-2</v>
      </c>
      <c r="L81" s="127">
        <f t="shared" ref="L81" ca="1" si="101">L80/K80-1</f>
        <v>3.8641102253809123E-2</v>
      </c>
      <c r="M81" s="127">
        <f t="shared" ref="M81" ca="1" si="102">M80/L80-1</f>
        <v>4.1392101137785131E-2</v>
      </c>
      <c r="N81" s="127">
        <f t="shared" ref="N81" ca="1" si="103">N80/M80-1</f>
        <v>4.7236842334159812E-2</v>
      </c>
    </row>
    <row r="82" spans="1:19" s="43" customFormat="1" x14ac:dyDescent="0.3"/>
    <row r="83" spans="1:19" ht="14.4" x14ac:dyDescent="0.3">
      <c r="A83" s="14" t="s">
        <v>34</v>
      </c>
      <c r="B83" s="12" t="s">
        <v>202</v>
      </c>
      <c r="C83" s="45"/>
      <c r="D83" s="46"/>
      <c r="E83" s="45"/>
      <c r="F83" s="45"/>
      <c r="G83" s="120">
        <v>44920</v>
      </c>
      <c r="H83" s="120">
        <v>45285</v>
      </c>
      <c r="I83" s="120">
        <v>45651</v>
      </c>
      <c r="J83" s="121">
        <v>46016</v>
      </c>
      <c r="K83" s="121">
        <v>46381</v>
      </c>
      <c r="L83" s="121">
        <v>46746</v>
      </c>
      <c r="M83" s="121">
        <v>47112</v>
      </c>
      <c r="N83" s="121">
        <v>47477</v>
      </c>
      <c r="O83" s="45"/>
      <c r="P83" s="45"/>
      <c r="Q83" s="45"/>
      <c r="R83" s="45"/>
      <c r="S83" s="45"/>
    </row>
    <row r="85" spans="1:19" x14ac:dyDescent="0.3">
      <c r="B85" s="112" t="s">
        <v>123</v>
      </c>
    </row>
    <row r="86" spans="1:19" x14ac:dyDescent="0.3">
      <c r="B86" s="109" t="s">
        <v>109</v>
      </c>
      <c r="G86" s="130">
        <f>Statements!G27</f>
        <v>53617</v>
      </c>
      <c r="H86" s="130">
        <f>Statements!H27</f>
        <v>55789</v>
      </c>
      <c r="I86" s="130">
        <f>Statements!I27</f>
        <v>53931</v>
      </c>
      <c r="J86" s="130">
        <f ca="1">J80*J87</f>
        <v>55718.532842616019</v>
      </c>
      <c r="K86" s="130">
        <f t="shared" ref="K86:N86" ca="1" si="104">K80*K87</f>
        <v>57048.893833388749</v>
      </c>
      <c r="L86" s="130">
        <f t="shared" ca="1" si="104"/>
        <v>60191.557903106754</v>
      </c>
      <c r="M86" s="130">
        <f t="shared" ca="1" si="104"/>
        <v>63708.953486677237</v>
      </c>
      <c r="N86" s="130">
        <f t="shared" ca="1" si="104"/>
        <v>67525.476969302254</v>
      </c>
      <c r="O86" s="129">
        <f>_xlfn.RRI(2,G86,I86)</f>
        <v>2.9239011661343906E-3</v>
      </c>
      <c r="P86" s="129">
        <f ca="1">_xlfn.RRI(4,J86,N86)</f>
        <v>4.9221054910464135E-2</v>
      </c>
      <c r="Q86" s="141" t="s">
        <v>192</v>
      </c>
    </row>
    <row r="87" spans="1:19" x14ac:dyDescent="0.3">
      <c r="B87" s="109" t="s">
        <v>204</v>
      </c>
      <c r="G87" s="61">
        <f>G86/G$80</f>
        <v>32.3774154589372</v>
      </c>
      <c r="H87" s="61">
        <f t="shared" ref="H87:I87" si="105">H86/H$80</f>
        <v>34.205775110770567</v>
      </c>
      <c r="I87" s="61">
        <f t="shared" si="105"/>
        <v>34.395802367022249</v>
      </c>
      <c r="J87" s="61">
        <f>I87*(1+J91)</f>
        <v>35.399352016035017</v>
      </c>
      <c r="K87" s="61">
        <f>J87*(1+K91)</f>
        <v>35.544156681852158</v>
      </c>
      <c r="L87" s="61">
        <f t="shared" ref="L87:N87" si="106">K87*(1+L91)</f>
        <v>36.106971716501953</v>
      </c>
      <c r="M87" s="61">
        <f t="shared" si="106"/>
        <v>36.697938933877388</v>
      </c>
      <c r="N87" s="61">
        <f t="shared" si="106"/>
        <v>37.141885810092759</v>
      </c>
      <c r="Q87" s="150" t="s">
        <v>223</v>
      </c>
    </row>
    <row r="88" spans="1:19" x14ac:dyDescent="0.3">
      <c r="B88" s="72" t="s">
        <v>227</v>
      </c>
      <c r="G88" s="130">
        <v>257.89699999999999</v>
      </c>
      <c r="H88" s="130">
        <v>249.86600000000001</v>
      </c>
      <c r="I88" s="130">
        <v>253.423</v>
      </c>
      <c r="J88" s="130">
        <v>260.81700000000001</v>
      </c>
      <c r="K88" s="130">
        <f ca="1">J88*(1+K89)</f>
        <v>261.8838985835481</v>
      </c>
      <c r="L88" s="130">
        <f t="shared" ref="L88:N88" ca="1" si="107">K88*(1+L89)</f>
        <v>266.03063349625955</v>
      </c>
      <c r="M88" s="130">
        <f t="shared" ca="1" si="107"/>
        <v>270.38478937641213</v>
      </c>
      <c r="N88" s="130">
        <f t="shared" ca="1" si="107"/>
        <v>273.65572191668616</v>
      </c>
      <c r="O88" s="43"/>
    </row>
    <row r="89" spans="1:19" x14ac:dyDescent="0.3">
      <c r="B89" s="72"/>
      <c r="K89" s="127">
        <f ca="1">OFFSET(K89,MATCH($D$5,$B90:$B92,0),0)</f>
        <v>4.0906021599362479E-3</v>
      </c>
      <c r="L89" s="127">
        <f t="shared" ref="L89:N89" ca="1" si="108">OFFSET(L89,MATCH($D$5,$B90:$B92,0),0)</f>
        <v>1.5834249204093476E-2</v>
      </c>
      <c r="M89" s="127">
        <f t="shared" ca="1" si="108"/>
        <v>1.6367122172844736E-2</v>
      </c>
      <c r="N89" s="127">
        <f t="shared" ca="1" si="108"/>
        <v>1.2097324512291487E-2</v>
      </c>
      <c r="O89" s="43"/>
    </row>
    <row r="90" spans="1:19" x14ac:dyDescent="0.3">
      <c r="B90" s="72" t="s">
        <v>197</v>
      </c>
      <c r="C90" s="43"/>
      <c r="D90" s="43"/>
      <c r="E90" s="43"/>
      <c r="F90" s="43"/>
      <c r="G90" s="130"/>
      <c r="H90" s="9"/>
      <c r="I90" s="9"/>
      <c r="J90" s="9"/>
      <c r="K90" s="137">
        <f>K91+$Q$90</f>
        <v>-9.0939784006375222E-4</v>
      </c>
      <c r="L90" s="137">
        <f t="shared" ref="L90:N90" si="109">L91+$Q$90</f>
        <v>1.0834249204093475E-2</v>
      </c>
      <c r="M90" s="137">
        <f t="shared" si="109"/>
        <v>1.1367122172844735E-2</v>
      </c>
      <c r="N90" s="137">
        <f t="shared" si="109"/>
        <v>7.0973245122914865E-3</v>
      </c>
      <c r="O90" s="43"/>
      <c r="Q90" s="145">
        <v>-5.0000000000000001E-3</v>
      </c>
    </row>
    <row r="91" spans="1:19" x14ac:dyDescent="0.3">
      <c r="B91" s="72" t="s">
        <v>39</v>
      </c>
      <c r="C91" s="43"/>
      <c r="D91" s="43"/>
      <c r="E91" s="43"/>
      <c r="F91" s="43"/>
      <c r="G91" s="130"/>
      <c r="H91" s="127">
        <f>H88/G88-1</f>
        <v>-3.1140338972535431E-2</v>
      </c>
      <c r="I91" s="127">
        <f>I88/H88-1</f>
        <v>1.4235630297839696E-2</v>
      </c>
      <c r="J91" s="127">
        <f>J88/I88-1</f>
        <v>2.9176515154504479E-2</v>
      </c>
      <c r="K91" s="137">
        <f>AVERAGE(H91:J91)</f>
        <v>4.0906021599362479E-3</v>
      </c>
      <c r="L91" s="137">
        <f t="shared" ref="L91:N91" si="110">AVERAGE(I91:K91)</f>
        <v>1.5834249204093476E-2</v>
      </c>
      <c r="M91" s="137">
        <f t="shared" si="110"/>
        <v>1.6367122172844736E-2</v>
      </c>
      <c r="N91" s="137">
        <f t="shared" si="110"/>
        <v>1.2097324512291487E-2</v>
      </c>
      <c r="O91" s="43"/>
      <c r="Q91" s="146"/>
    </row>
    <row r="92" spans="1:19" x14ac:dyDescent="0.3">
      <c r="B92" s="72" t="s">
        <v>198</v>
      </c>
      <c r="C92" s="43"/>
      <c r="D92" s="43"/>
      <c r="E92" s="43"/>
      <c r="F92" s="43"/>
      <c r="G92" s="130"/>
      <c r="H92" s="9"/>
      <c r="I92" s="9"/>
      <c r="J92" s="9"/>
      <c r="K92" s="137">
        <f>K91+$Q$92</f>
        <v>1.4090602159936249E-2</v>
      </c>
      <c r="L92" s="137">
        <f t="shared" ref="L92:N92" si="111">L91+$Q$92</f>
        <v>2.5834249204093475E-2</v>
      </c>
      <c r="M92" s="137">
        <f t="shared" si="111"/>
        <v>2.6367122172844738E-2</v>
      </c>
      <c r="N92" s="137">
        <f t="shared" si="111"/>
        <v>2.2097324512291489E-2</v>
      </c>
      <c r="O92" s="43"/>
      <c r="Q92" s="145">
        <v>0.01</v>
      </c>
    </row>
    <row r="93" spans="1:19" x14ac:dyDescent="0.3">
      <c r="B93" s="72"/>
      <c r="C93" s="43"/>
      <c r="D93" s="43"/>
      <c r="E93" s="43"/>
      <c r="F93" s="43"/>
      <c r="G93" s="130"/>
      <c r="H93" s="9"/>
      <c r="I93" s="9"/>
      <c r="J93" s="9"/>
      <c r="Q93" s="145"/>
    </row>
    <row r="94" spans="1:19" x14ac:dyDescent="0.3">
      <c r="B94" s="114" t="s">
        <v>110</v>
      </c>
      <c r="G94" s="130">
        <f>Statements!G28</f>
        <v>76412</v>
      </c>
      <c r="H94" s="130">
        <f>Statements!H28</f>
        <v>80666</v>
      </c>
      <c r="I94" s="130">
        <f>Statements!I28</f>
        <v>80605</v>
      </c>
      <c r="J94" s="130">
        <f ca="1">J95*J96</f>
        <v>81242.611227493078</v>
      </c>
      <c r="K94" s="130">
        <f t="shared" ref="K94:N94" ca="1" si="112">K95*K96</f>
        <v>84511.780332756243</v>
      </c>
      <c r="L94" s="130">
        <f t="shared" ca="1" si="112"/>
        <v>91198.439558171754</v>
      </c>
      <c r="M94" s="130">
        <f t="shared" ca="1" si="112"/>
        <v>98937.055436288108</v>
      </c>
      <c r="N94" s="130">
        <f t="shared" ca="1" si="112"/>
        <v>108511.30505574794</v>
      </c>
      <c r="O94" s="129">
        <f>_xlfn.RRI(2,G94,I94)</f>
        <v>2.7070387103999005E-2</v>
      </c>
      <c r="P94" s="129">
        <f ca="1">_xlfn.RRI(4,J94,N94)</f>
        <v>7.5035431766967697E-2</v>
      </c>
      <c r="Q94" s="14" t="s">
        <v>209</v>
      </c>
    </row>
    <row r="95" spans="1:19" x14ac:dyDescent="0.3">
      <c r="B95" s="47" t="s">
        <v>220</v>
      </c>
      <c r="G95" s="62">
        <f>G94/G96</f>
        <v>20.651891891891893</v>
      </c>
      <c r="H95" s="62">
        <f t="shared" ref="H95" si="113">H94/H96</f>
        <v>23.047428571428572</v>
      </c>
      <c r="I95" s="62">
        <f>I94/I96</f>
        <v>21.211842105263159</v>
      </c>
      <c r="J95" s="62">
        <f ca="1">($I95/$I$96)*J96</f>
        <v>21.29557306094183</v>
      </c>
      <c r="K95" s="62">
        <f t="shared" ref="K95:N95" ca="1" si="114">($I95/$I$96)*K96</f>
        <v>21.719809903047093</v>
      </c>
      <c r="L95" s="62">
        <f t="shared" ca="1" si="114"/>
        <v>22.562701523545709</v>
      </c>
      <c r="M95" s="62">
        <f t="shared" ca="1" si="114"/>
        <v>23.500488227146818</v>
      </c>
      <c r="N95" s="62">
        <f t="shared" ca="1" si="114"/>
        <v>24.611318905817178</v>
      </c>
      <c r="O95" s="43"/>
      <c r="Q95" s="14" t="s">
        <v>207</v>
      </c>
    </row>
    <row r="96" spans="1:19" x14ac:dyDescent="0.3">
      <c r="B96" s="109" t="s">
        <v>201</v>
      </c>
      <c r="G96" s="14">
        <v>3700</v>
      </c>
      <c r="H96" s="14">
        <v>3500</v>
      </c>
      <c r="I96" s="14">
        <v>3800</v>
      </c>
      <c r="J96" s="148">
        <f ca="1">ROUNDUP(I96*(1+J81),0)</f>
        <v>3815</v>
      </c>
      <c r="K96" s="14">
        <f t="shared" ref="K96:N96" ca="1" si="115">ROUNDUP(J96*(1+K81),0)</f>
        <v>3891</v>
      </c>
      <c r="L96" s="14">
        <f t="shared" ca="1" si="115"/>
        <v>4042</v>
      </c>
      <c r="M96" s="14">
        <f t="shared" ca="1" si="115"/>
        <v>4210</v>
      </c>
      <c r="N96" s="14">
        <f t="shared" ca="1" si="115"/>
        <v>4409</v>
      </c>
      <c r="Q96" s="14" t="s">
        <v>208</v>
      </c>
    </row>
    <row r="97" spans="2:17" x14ac:dyDescent="0.3">
      <c r="B97" s="109" t="s">
        <v>206</v>
      </c>
      <c r="G97" s="130">
        <f>ROUND(G98*26*8*12,0)</f>
        <v>24960</v>
      </c>
      <c r="H97" s="130">
        <f t="shared" ref="H97:N97" si="116">ROUND(H98*26*8*12,0)</f>
        <v>26208</v>
      </c>
      <c r="I97" s="130">
        <f t="shared" si="116"/>
        <v>28080</v>
      </c>
      <c r="J97" s="130">
        <f t="shared" si="116"/>
        <v>29328</v>
      </c>
      <c r="K97" s="130">
        <f t="shared" ca="1" si="116"/>
        <v>30501</v>
      </c>
      <c r="L97" s="130">
        <f t="shared" ca="1" si="116"/>
        <v>32026</v>
      </c>
      <c r="M97" s="130">
        <f t="shared" ca="1" si="116"/>
        <v>33435</v>
      </c>
      <c r="N97" s="130">
        <f t="shared" ca="1" si="116"/>
        <v>34929</v>
      </c>
    </row>
    <row r="98" spans="2:17" x14ac:dyDescent="0.3">
      <c r="B98" s="47" t="s">
        <v>205</v>
      </c>
      <c r="G98" s="144">
        <v>10</v>
      </c>
      <c r="H98" s="62">
        <v>10.5</v>
      </c>
      <c r="I98" s="144">
        <v>11.25</v>
      </c>
      <c r="J98" s="144">
        <v>11.75</v>
      </c>
      <c r="K98" s="144">
        <f ca="1">J98*(1+K99)</f>
        <v>12.22</v>
      </c>
      <c r="L98" s="144">
        <f t="shared" ref="L98:N98" ca="1" si="117">K98*(1+L99)</f>
        <v>12.831000000000001</v>
      </c>
      <c r="M98" s="144">
        <f t="shared" ca="1" si="117"/>
        <v>13.395564000000002</v>
      </c>
      <c r="N98" s="144">
        <f t="shared" ca="1" si="117"/>
        <v>13.993899192000002</v>
      </c>
    </row>
    <row r="99" spans="2:17" x14ac:dyDescent="0.3">
      <c r="B99" s="47"/>
      <c r="G99" s="147"/>
      <c r="H99" s="147"/>
      <c r="I99" s="147"/>
      <c r="K99" s="127">
        <f ca="1">OFFSET(K99,MATCH($D$5,$B100:$B102,0),0)</f>
        <v>0.04</v>
      </c>
      <c r="L99" s="127">
        <f t="shared" ref="L99" ca="1" si="118">OFFSET(L99,MATCH($D$5,$B100:$B102,0),0)</f>
        <v>0.05</v>
      </c>
      <c r="M99" s="127">
        <f t="shared" ref="M99" ca="1" si="119">OFFSET(M99,MATCH($D$5,$B100:$B102,0),0)</f>
        <v>4.3999999999999997E-2</v>
      </c>
      <c r="N99" s="127">
        <f t="shared" ref="N99" ca="1" si="120">OFFSET(N99,MATCH($D$5,$B100:$B102,0),0)</f>
        <v>4.4666666666666667E-2</v>
      </c>
    </row>
    <row r="100" spans="2:17" x14ac:dyDescent="0.3">
      <c r="B100" s="47" t="s">
        <v>197</v>
      </c>
      <c r="C100" s="43"/>
      <c r="D100" s="43"/>
      <c r="E100" s="43"/>
      <c r="F100" s="43"/>
      <c r="G100" s="130"/>
      <c r="H100" s="9"/>
      <c r="I100" s="9"/>
      <c r="J100" s="9"/>
      <c r="K100" s="137">
        <f>K101+$Q$100</f>
        <v>3.2500000000000001E-2</v>
      </c>
      <c r="L100" s="137">
        <f t="shared" ref="L100:N100" si="121">L101+$Q$100</f>
        <v>4.2500000000000003E-2</v>
      </c>
      <c r="M100" s="137">
        <f t="shared" si="121"/>
        <v>3.6499999999999998E-2</v>
      </c>
      <c r="N100" s="137">
        <f t="shared" si="121"/>
        <v>3.7166666666666667E-2</v>
      </c>
      <c r="Q100" s="145">
        <v>-7.4999999999999997E-3</v>
      </c>
    </row>
    <row r="101" spans="2:17" x14ac:dyDescent="0.3">
      <c r="B101" s="47" t="s">
        <v>39</v>
      </c>
      <c r="C101" s="43"/>
      <c r="D101" s="43"/>
      <c r="E101" s="43"/>
      <c r="F101" s="43"/>
      <c r="G101" s="130"/>
      <c r="H101" s="127">
        <f>H98/G98-1</f>
        <v>5.0000000000000044E-2</v>
      </c>
      <c r="I101" s="127">
        <f>I98/H98-1</f>
        <v>7.1428571428571397E-2</v>
      </c>
      <c r="J101" s="127">
        <f>J98/I98-1</f>
        <v>4.4444444444444509E-2</v>
      </c>
      <c r="K101" s="137">
        <v>0.04</v>
      </c>
      <c r="L101" s="137">
        <v>0.05</v>
      </c>
      <c r="M101" s="137">
        <v>4.3999999999999997E-2</v>
      </c>
      <c r="N101" s="137">
        <f t="array" ref="N101">AVERAGE(K101:M101)</f>
        <v>4.4666666666666667E-2</v>
      </c>
      <c r="Q101" s="146"/>
    </row>
    <row r="102" spans="2:17" x14ac:dyDescent="0.3">
      <c r="B102" s="47" t="s">
        <v>198</v>
      </c>
      <c r="C102" s="43"/>
      <c r="D102" s="43"/>
      <c r="E102" s="43"/>
      <c r="F102" s="43"/>
      <c r="G102" s="130"/>
      <c r="H102" s="9"/>
      <c r="I102" s="9"/>
      <c r="J102" s="9"/>
      <c r="K102" s="137">
        <f>K101+$Q$102</f>
        <v>5.2500000000000005E-2</v>
      </c>
      <c r="L102" s="137">
        <f t="shared" ref="L102:N102" si="122">L101+$Q$102</f>
        <v>6.25E-2</v>
      </c>
      <c r="M102" s="137">
        <f t="shared" si="122"/>
        <v>5.6499999999999995E-2</v>
      </c>
      <c r="N102" s="137">
        <f t="shared" si="122"/>
        <v>5.7166666666666671E-2</v>
      </c>
      <c r="Q102" s="145">
        <v>1.2500000000000001E-2</v>
      </c>
    </row>
    <row r="103" spans="2:17" x14ac:dyDescent="0.3">
      <c r="B103" s="149"/>
    </row>
    <row r="104" spans="2:17" x14ac:dyDescent="0.3">
      <c r="B104" s="114" t="s">
        <v>111</v>
      </c>
      <c r="G104" s="130">
        <f>Statements!G29</f>
        <v>15154</v>
      </c>
      <c r="H104" s="130">
        <f>Statements!H29</f>
        <v>16809</v>
      </c>
      <c r="I104" s="130">
        <f>Statements!I29</f>
        <v>18129</v>
      </c>
      <c r="J104" s="130">
        <f ca="1">J41*J105</f>
        <v>15545.869263878325</v>
      </c>
      <c r="K104" s="130">
        <f t="shared" ref="K104:N104" ca="1" si="123">K41*K105</f>
        <v>16637.872873522108</v>
      </c>
      <c r="L104" s="130">
        <f t="shared" ca="1" si="123"/>
        <v>17517.315312380219</v>
      </c>
      <c r="M104" s="130">
        <f t="shared" ca="1" si="123"/>
        <v>17640.412989499146</v>
      </c>
      <c r="N104" s="130">
        <f t="shared" ca="1" si="123"/>
        <v>18622.843038222331</v>
      </c>
      <c r="O104" s="129">
        <f>_xlfn.RRI(2,G104,I104)</f>
        <v>9.376313883773002E-2</v>
      </c>
      <c r="P104" s="129">
        <f ca="1">_xlfn.RRI(4,J104,N104)</f>
        <v>4.6183203020220276E-2</v>
      </c>
      <c r="Q104" s="14" t="s">
        <v>224</v>
      </c>
    </row>
    <row r="105" spans="2:17" x14ac:dyDescent="0.3">
      <c r="B105" s="109" t="s">
        <v>218</v>
      </c>
      <c r="G105" s="127">
        <f>G104/G41</f>
        <v>0.39262118817524677</v>
      </c>
      <c r="H105" s="127">
        <f t="shared" ref="H105:I105" si="124">H104/H41</f>
        <v>0.46843909372126075</v>
      </c>
      <c r="I105" s="127">
        <f t="shared" si="124"/>
        <v>0.54664696659027856</v>
      </c>
      <c r="J105" s="143">
        <f>AVERAGE(G105:I105)</f>
        <v>0.46923574949559538</v>
      </c>
      <c r="K105" s="143">
        <f t="shared" ref="K105:N105" si="125">AVERAGE(H105:J105)</f>
        <v>0.49477393660237823</v>
      </c>
      <c r="L105" s="143">
        <f t="shared" si="125"/>
        <v>0.5035522175627507</v>
      </c>
      <c r="M105" s="143">
        <f t="shared" si="125"/>
        <v>0.48918730122024146</v>
      </c>
      <c r="N105" s="143">
        <f t="shared" si="125"/>
        <v>0.49583781846179015</v>
      </c>
    </row>
    <row r="106" spans="2:17" x14ac:dyDescent="0.3">
      <c r="B106" s="114"/>
    </row>
    <row r="107" spans="2:17" x14ac:dyDescent="0.3">
      <c r="B107" s="114" t="s">
        <v>112</v>
      </c>
      <c r="G107" s="130">
        <f>Statements!G30</f>
        <v>34275</v>
      </c>
      <c r="H107" s="130">
        <f>Statements!H30</f>
        <v>34335</v>
      </c>
      <c r="I107" s="130">
        <f>Statements!I30</f>
        <v>37079</v>
      </c>
      <c r="J107" s="130">
        <f ca="1">J108*J46</f>
        <v>35023.703569795704</v>
      </c>
      <c r="K107" s="130">
        <f t="shared" ref="K107:N107" ca="1" si="126">K108*K46</f>
        <v>36059.944129070886</v>
      </c>
      <c r="L107" s="130">
        <f t="shared" ca="1" si="126"/>
        <v>38084.48708176909</v>
      </c>
      <c r="M107" s="130">
        <f t="shared" ca="1" si="126"/>
        <v>39195.646083788204</v>
      </c>
      <c r="N107" s="130">
        <f t="shared" ca="1" si="126"/>
        <v>41257.665570139208</v>
      </c>
      <c r="O107" s="129">
        <f>_xlfn.RRI(2,G107,I107)</f>
        <v>4.0100427177178988E-2</v>
      </c>
      <c r="P107" s="129">
        <f ca="1">_xlfn.RRI(4,J107,N107)</f>
        <v>4.1803100685228189E-2</v>
      </c>
      <c r="Q107" s="14" t="s">
        <v>225</v>
      </c>
    </row>
    <row r="108" spans="2:17" x14ac:dyDescent="0.3">
      <c r="B108" s="109" t="s">
        <v>219</v>
      </c>
      <c r="G108" s="127">
        <f>G107/G46</f>
        <v>7.5093826202980093E-2</v>
      </c>
      <c r="H108" s="127">
        <f t="shared" ref="H108:I108" si="127">H107/H46</f>
        <v>7.4010286211906307E-2</v>
      </c>
      <c r="I108" s="127">
        <f t="shared" si="127"/>
        <v>8.1972613157534041E-2</v>
      </c>
      <c r="J108" s="127">
        <f t="array" ref="J108">AVERAGE(G108:I108)</f>
        <v>7.7025575190806814E-2</v>
      </c>
      <c r="K108" s="127">
        <f t="array" ref="K108">AVERAGE(H108:J108)</f>
        <v>7.7669491520082387E-2</v>
      </c>
      <c r="L108" s="127">
        <f t="array" ref="L108">AVERAGE(I108:K108)</f>
        <v>7.8889226622807743E-2</v>
      </c>
      <c r="M108" s="127">
        <f t="array" ref="M108">AVERAGE(J108:L108)</f>
        <v>7.7861431111232324E-2</v>
      </c>
      <c r="N108" s="127">
        <f t="array" ref="N108">AVERAGE(K108:M108)</f>
        <v>7.814004975137416E-2</v>
      </c>
    </row>
    <row r="109" spans="2:17" x14ac:dyDescent="0.3">
      <c r="B109" s="149"/>
    </row>
    <row r="110" spans="2:17" x14ac:dyDescent="0.3">
      <c r="B110" s="115" t="s">
        <v>125</v>
      </c>
    </row>
    <row r="111" spans="2:17" x14ac:dyDescent="0.3">
      <c r="B111" s="47" t="s">
        <v>210</v>
      </c>
      <c r="G111" s="130">
        <v>75926</v>
      </c>
      <c r="H111" s="130">
        <v>78494</v>
      </c>
      <c r="I111" s="130">
        <v>79973</v>
      </c>
      <c r="J111" s="130">
        <f ca="1">J112*J$73</f>
        <v>75919.474085836235</v>
      </c>
      <c r="K111" s="130">
        <f t="shared" ref="K111:M111" ca="1" si="128">K112*K$73</f>
        <v>78739.525893675192</v>
      </c>
      <c r="L111" s="130">
        <f t="shared" ca="1" si="128"/>
        <v>82336.214774479682</v>
      </c>
      <c r="M111" s="130">
        <f t="shared" ca="1" si="128"/>
        <v>84750.729612616735</v>
      </c>
      <c r="N111" s="130">
        <f ca="1">N112*N$73</f>
        <v>88963.897830463276</v>
      </c>
      <c r="Q111" s="14" t="s">
        <v>221</v>
      </c>
    </row>
    <row r="112" spans="2:17" x14ac:dyDescent="0.3">
      <c r="B112" s="72" t="s">
        <v>213</v>
      </c>
      <c r="G112" s="74">
        <f>G111/G73</f>
        <v>47.993678887484194</v>
      </c>
      <c r="H112" s="61">
        <f t="shared" ref="H112" si="129">H111/H73</f>
        <v>50.381258023106547</v>
      </c>
      <c r="I112" s="61">
        <f>I111/I73</f>
        <v>53.565304755525787</v>
      </c>
      <c r="J112" s="74">
        <f>AVERAGE(G112:I112)</f>
        <v>50.646747222038847</v>
      </c>
      <c r="K112" s="74">
        <f t="shared" ref="K112:N112" si="130">AVERAGE(H112:J112)</f>
        <v>51.531103333557063</v>
      </c>
      <c r="L112" s="74">
        <f t="shared" si="130"/>
        <v>51.914385103707239</v>
      </c>
      <c r="M112" s="74">
        <f t="shared" si="130"/>
        <v>51.364078553101052</v>
      </c>
      <c r="N112" s="74">
        <f t="shared" si="130"/>
        <v>51.603188996788447</v>
      </c>
    </row>
    <row r="113" spans="2:16" x14ac:dyDescent="0.3">
      <c r="B113" s="72"/>
      <c r="G113" s="74"/>
      <c r="H113" s="61"/>
      <c r="I113" s="61"/>
      <c r="J113" s="74"/>
      <c r="K113" s="74"/>
      <c r="L113" s="74"/>
      <c r="M113" s="74"/>
      <c r="N113" s="74"/>
    </row>
    <row r="114" spans="2:16" x14ac:dyDescent="0.3">
      <c r="B114" s="47" t="s">
        <v>211</v>
      </c>
      <c r="G114" s="130">
        <v>24090</v>
      </c>
      <c r="H114" s="130">
        <v>22160</v>
      </c>
      <c r="I114" s="130">
        <v>20539</v>
      </c>
      <c r="J114" s="130">
        <f ca="1">J115*J$73</f>
        <v>21589.491758047861</v>
      </c>
      <c r="K114" s="130">
        <f t="shared" ref="K114" ca="1" si="131">K115*K$73</f>
        <v>21586.985479440049</v>
      </c>
      <c r="L114" s="130">
        <f t="shared" ref="L114" ca="1" si="132">L115*L$73</f>
        <v>22355.764290298455</v>
      </c>
      <c r="M114" s="130">
        <f t="shared" ref="M114" ca="1" si="133">M115*M$73</f>
        <v>23444.241976603007</v>
      </c>
      <c r="N114" s="130">
        <f t="shared" ref="N114" ca="1" si="134">N115*N$73</f>
        <v>24384.215639836377</v>
      </c>
    </row>
    <row r="115" spans="2:16" x14ac:dyDescent="0.3">
      <c r="B115" s="72" t="s">
        <v>214</v>
      </c>
      <c r="G115" s="74">
        <f>G114/G73</f>
        <v>15.227560050568901</v>
      </c>
      <c r="H115" s="74">
        <f t="shared" ref="H115:I115" si="135">H114/H73</f>
        <v>14.223363286264442</v>
      </c>
      <c r="I115" s="74">
        <f t="shared" si="135"/>
        <v>13.756865371734762</v>
      </c>
      <c r="J115" s="74">
        <f t="array" ref="J115">AVERAGE(G115:I115)</f>
        <v>14.402596236189368</v>
      </c>
      <c r="K115" s="74">
        <f t="array" ref="K115">AVERAGE(H115:J115)</f>
        <v>14.127608298062858</v>
      </c>
      <c r="L115" s="74">
        <f t="array" ref="L115">AVERAGE(I115:K115)</f>
        <v>14.095689968662329</v>
      </c>
      <c r="M115" s="74">
        <f t="array" ref="M115">AVERAGE(J115:L115)</f>
        <v>14.208631500971519</v>
      </c>
      <c r="N115" s="74">
        <f t="array" ref="N115">AVERAGE(K115:M115)</f>
        <v>14.143976589232237</v>
      </c>
    </row>
    <row r="116" spans="2:16" x14ac:dyDescent="0.3">
      <c r="B116" s="72"/>
      <c r="G116" s="74"/>
      <c r="H116" s="74"/>
      <c r="I116" s="74"/>
      <c r="J116" s="74"/>
      <c r="K116" s="74"/>
      <c r="L116" s="74"/>
      <c r="M116" s="74"/>
      <c r="N116" s="74"/>
    </row>
    <row r="117" spans="2:16" x14ac:dyDescent="0.3">
      <c r="B117" s="47" t="s">
        <v>212</v>
      </c>
      <c r="G117" s="130">
        <v>35311</v>
      </c>
      <c r="H117" s="130">
        <v>21798</v>
      </c>
      <c r="I117" s="130">
        <v>19714</v>
      </c>
      <c r="J117" s="130">
        <f ca="1">J118*J$73</f>
        <v>24741.385337776555</v>
      </c>
      <c r="K117" s="130">
        <f t="shared" ref="K117" ca="1" si="136">K118*K$73</f>
        <v>22258.152499736956</v>
      </c>
      <c r="L117" s="130">
        <f t="shared" ref="L117" ca="1" si="137">L118*L$73</f>
        <v>23407.457222991408</v>
      </c>
      <c r="M117" s="130">
        <f t="shared" ref="M117" ca="1" si="138">M118*M$73</f>
        <v>25207.002917624653</v>
      </c>
      <c r="N117" s="130">
        <f t="shared" ref="N117" ca="1" si="139">N118*N$73</f>
        <v>25631.642098900989</v>
      </c>
    </row>
    <row r="118" spans="2:16" x14ac:dyDescent="0.3">
      <c r="B118" s="72" t="s">
        <v>215</v>
      </c>
      <c r="G118" s="74">
        <f>G117/G73</f>
        <v>22.320480404551201</v>
      </c>
      <c r="H118" s="74">
        <f t="shared" ref="H118:I118" si="140">H117/H73</f>
        <v>13.991014120667522</v>
      </c>
      <c r="I118" s="74">
        <f t="shared" si="140"/>
        <v>13.20428667113195</v>
      </c>
      <c r="J118" s="74">
        <f>AVERAGE(G118:I118)</f>
        <v>16.505260398783559</v>
      </c>
      <c r="K118" s="74">
        <f t="shared" ref="K118:N118" si="141">AVERAGE(H118:J118)</f>
        <v>14.566853730194344</v>
      </c>
      <c r="L118" s="74">
        <f t="shared" si="141"/>
        <v>14.758800266703284</v>
      </c>
      <c r="M118" s="74">
        <f t="shared" si="141"/>
        <v>15.276971465227062</v>
      </c>
      <c r="N118" s="74">
        <f t="shared" si="141"/>
        <v>14.867541820708231</v>
      </c>
    </row>
    <row r="119" spans="2:16" x14ac:dyDescent="0.3">
      <c r="B119" s="41" t="s">
        <v>216</v>
      </c>
      <c r="G119" s="135">
        <f>G111+G114+G117</f>
        <v>135327</v>
      </c>
      <c r="H119" s="135">
        <f t="shared" ref="H119:N119" si="142">H111+H114+H117</f>
        <v>122452</v>
      </c>
      <c r="I119" s="135">
        <f t="shared" si="142"/>
        <v>120226</v>
      </c>
      <c r="J119" s="135">
        <f t="shared" ca="1" si="142"/>
        <v>122250.35118166066</v>
      </c>
      <c r="K119" s="135">
        <f t="shared" ca="1" si="142"/>
        <v>122584.66387285219</v>
      </c>
      <c r="L119" s="135">
        <f t="shared" ca="1" si="142"/>
        <v>128099.43628776954</v>
      </c>
      <c r="M119" s="135">
        <f t="shared" ca="1" si="142"/>
        <v>133401.97450684439</v>
      </c>
      <c r="N119" s="135">
        <f t="shared" ca="1" si="142"/>
        <v>138979.75556920064</v>
      </c>
      <c r="O119" s="129">
        <f>_xlfn.RRI(2,G119,I119)</f>
        <v>-5.7444413302903841E-2</v>
      </c>
      <c r="P119" s="129">
        <f ca="1">_xlfn.RRI(4,J119,N119)</f>
        <v>3.2583918485236341E-2</v>
      </c>
    </row>
    <row r="121" spans="2:16" x14ac:dyDescent="0.3">
      <c r="B121" s="114" t="s">
        <v>113</v>
      </c>
      <c r="G121" s="130">
        <f>Statements!G34</f>
        <v>67173</v>
      </c>
      <c r="H121" s="130">
        <f>Statements!H34</f>
        <v>77770</v>
      </c>
      <c r="I121" s="130">
        <f>Statements!I34</f>
        <v>80197</v>
      </c>
      <c r="J121" s="130">
        <f ca="1">J122*J46</f>
        <v>74586.733491046325</v>
      </c>
      <c r="K121" s="130">
        <f t="shared" ref="K121:N121" ca="1" si="143">K122*K46</f>
        <v>78766.623122145349</v>
      </c>
      <c r="L121" s="130">
        <f t="shared" ca="1" si="143"/>
        <v>82227.636478275163</v>
      </c>
      <c r="M121" s="130">
        <f t="shared" ca="1" si="143"/>
        <v>84574.67805240117</v>
      </c>
      <c r="N121" s="130">
        <f t="shared" ca="1" si="143"/>
        <v>89405.623725269776</v>
      </c>
      <c r="O121" s="129">
        <f>_xlfn.RRI(2,G121,I121)</f>
        <v>9.2651556996589557E-2</v>
      </c>
      <c r="P121" s="129">
        <f ca="1">_xlfn.RRI(4,J121,N121)</f>
        <v>4.6347190144043315E-2</v>
      </c>
    </row>
    <row r="122" spans="2:16" x14ac:dyDescent="0.3">
      <c r="B122" s="47" t="s">
        <v>217</v>
      </c>
      <c r="G122" s="127">
        <f>G121/G46</f>
        <v>0.14717075383027808</v>
      </c>
      <c r="H122" s="127">
        <f t="shared" ref="H122:I122" si="144">H121/H46</f>
        <v>0.16763593880005689</v>
      </c>
      <c r="I122" s="127">
        <f t="shared" si="144"/>
        <v>0.17729598040386085</v>
      </c>
      <c r="J122" s="143">
        <f>AVERAGE(G122:I122)</f>
        <v>0.16403422434473194</v>
      </c>
      <c r="K122" s="143">
        <f t="shared" ref="K122:N122" si="145">AVERAGE(H122:J122)</f>
        <v>0.16965538118288323</v>
      </c>
      <c r="L122" s="143">
        <f t="shared" si="145"/>
        <v>0.17032852864382533</v>
      </c>
      <c r="M122" s="143">
        <f t="shared" si="145"/>
        <v>0.1680060447238135</v>
      </c>
      <c r="N122" s="143">
        <f t="shared" si="145"/>
        <v>0.16932998485017403</v>
      </c>
    </row>
    <row r="124" spans="2:16" x14ac:dyDescent="0.3">
      <c r="B124" s="14" t="s">
        <v>121</v>
      </c>
      <c r="G124" s="130">
        <f>Statements!G44</f>
        <v>24718</v>
      </c>
      <c r="H124" s="130">
        <f>Statements!H44</f>
        <v>6993</v>
      </c>
      <c r="I124" s="130">
        <f>Statements!I44</f>
        <v>7678</v>
      </c>
      <c r="J124" s="130">
        <f ca="1">J125*Statements!J43</f>
        <v>10553.074387337529</v>
      </c>
      <c r="K124" s="130">
        <f ca="1">K125*Statements!K43</f>
        <v>10877.627069361468</v>
      </c>
      <c r="L124" s="130">
        <f ca="1">L125*Statements!L43</f>
        <v>10641.148291224408</v>
      </c>
      <c r="M124" s="130">
        <f ca="1">M125*Statements!M43</f>
        <v>11269.436946034013</v>
      </c>
      <c r="N124" s="130">
        <f ca="1">N125*Statements!N43</f>
        <v>11171.539718519991</v>
      </c>
      <c r="O124" s="129">
        <f>_xlfn.RRI(2,G124,I124)</f>
        <v>-0.44266362322202002</v>
      </c>
      <c r="P124" s="129">
        <f ca="1">_xlfn.RRI(4,J124,N124)</f>
        <v>1.4339898651310579E-2</v>
      </c>
    </row>
    <row r="125" spans="2:16" x14ac:dyDescent="0.3">
      <c r="B125" s="47" t="s">
        <v>222</v>
      </c>
      <c r="G125" s="127">
        <f>G124/Statements!G43</f>
        <v>0.24859700291662476</v>
      </c>
      <c r="H125" s="127">
        <f>H124/Statements!H43</f>
        <v>0.25959610958497292</v>
      </c>
      <c r="I125" s="127">
        <f>I124/Statements!I43</f>
        <v>0.26250470101541934</v>
      </c>
      <c r="J125" s="143">
        <v>0.26</v>
      </c>
      <c r="K125" s="143">
        <v>0.26</v>
      </c>
      <c r="L125" s="143">
        <v>0.26</v>
      </c>
      <c r="M125" s="143">
        <v>0.26</v>
      </c>
      <c r="N125" s="143">
        <v>0.26</v>
      </c>
    </row>
    <row r="200" spans="2:19" x14ac:dyDescent="0.3"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</row>
    <row r="202" spans="2:19" x14ac:dyDescent="0.3">
      <c r="B202" s="142" t="s">
        <v>52</v>
      </c>
    </row>
  </sheetData>
  <mergeCells count="8">
    <mergeCell ref="G6:I6"/>
    <mergeCell ref="J6:N6"/>
    <mergeCell ref="O6:P6"/>
    <mergeCell ref="Q6:S7"/>
    <mergeCell ref="B68:B69"/>
    <mergeCell ref="B63:B64"/>
    <mergeCell ref="B55:B56"/>
    <mergeCell ref="B50:B51"/>
  </mergeCells>
  <hyperlinks>
    <hyperlink ref="B9" location="Dashboard!A1" display="&lt;-Back to dashboard" xr:uid="{DCD15C9F-E496-4456-ADAB-79454FB5E8D0}"/>
    <hyperlink ref="C11" location="RF" display="Revenue forecast" xr:uid="{5BAF0C24-AF17-4DA4-B045-76E495DC16BB}"/>
    <hyperlink ref="E11" location="EF" display="Expense forecast" xr:uid="{21E33396-1534-48CA-B03D-06AFB818AA72}"/>
    <hyperlink ref="B202" location="Scenario!A8" display="&lt;- Go back to the top" xr:uid="{A12DDDAB-D9CA-432D-8C9D-4006ABCBCFAA}"/>
  </hyperlinks>
  <pageMargins left="0.7" right="0.7" top="0.75" bottom="0.75" header="0.3" footer="0.3"/>
  <pageSetup orientation="portrait" r:id="rId1"/>
  <ignoredErrors>
    <ignoredError sqref="J31:N42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E44F4-48FD-47E7-8572-BBAC6143B4D1}">
  <dimension ref="A2:O125"/>
  <sheetViews>
    <sheetView showGridLines="0" zoomScaleNormal="100" workbookViewId="0">
      <selection activeCell="K116" sqref="K116:N116"/>
    </sheetView>
  </sheetViews>
  <sheetFormatPr defaultRowHeight="13.8" x14ac:dyDescent="0.3"/>
  <cols>
    <col min="1" max="1" width="1.88671875" style="14" customWidth="1"/>
    <col min="2" max="3" width="8.88671875" style="14"/>
    <col min="4" max="4" width="10.109375" style="14" customWidth="1"/>
    <col min="5" max="6" width="8.88671875" style="14"/>
    <col min="7" max="15" width="12.6640625" style="14" customWidth="1"/>
    <col min="16" max="16384" width="8.88671875" style="14"/>
  </cols>
  <sheetData>
    <row r="2" spans="1:14" s="22" customFormat="1" ht="15.6" x14ac:dyDescent="0.3">
      <c r="B2" s="24" t="str">
        <f>Dashboard!B2</f>
        <v>Denny's Diner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1:14" s="22" customFormat="1" ht="14.4" x14ac:dyDescent="0.3">
      <c r="B3" s="60" t="s">
        <v>43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</row>
    <row r="4" spans="1:14" s="22" customFormat="1" ht="14.4" x14ac:dyDescent="0.3">
      <c r="B4" s="75" t="str">
        <f>Dashboard!B4</f>
        <v>(In $ thousands, except per share amounts)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s="22" customFormat="1" ht="14.4" x14ac:dyDescent="0.3">
      <c r="B5" s="11" t="s">
        <v>38</v>
      </c>
      <c r="C5" s="25"/>
      <c r="D5" s="11" t="str">
        <f>Dashboard!G13</f>
        <v>Street</v>
      </c>
      <c r="E5" s="25"/>
      <c r="F5" s="25"/>
      <c r="G5" s="25"/>
      <c r="H5" s="25"/>
      <c r="I5" s="25"/>
      <c r="J5" s="25"/>
      <c r="K5" s="25"/>
      <c r="L5" s="25"/>
      <c r="M5" s="25"/>
      <c r="N5" s="25"/>
    </row>
    <row r="6" spans="1:14" s="22" customFormat="1" ht="14.4" x14ac:dyDescent="0.3">
      <c r="B6" s="11" t="s">
        <v>172</v>
      </c>
      <c r="C6" s="28"/>
      <c r="D6" s="28"/>
      <c r="E6" s="28"/>
      <c r="F6" s="28"/>
      <c r="G6" s="334" t="s">
        <v>171</v>
      </c>
      <c r="H6" s="335"/>
      <c r="I6" s="336"/>
      <c r="J6" s="325" t="s">
        <v>2</v>
      </c>
      <c r="K6" s="326"/>
      <c r="L6" s="326"/>
      <c r="M6" s="326"/>
      <c r="N6" s="326"/>
    </row>
    <row r="7" spans="1:14" s="22" customFormat="1" ht="14.4" x14ac:dyDescent="0.3">
      <c r="B7" s="11" t="s">
        <v>173</v>
      </c>
      <c r="C7" s="28"/>
      <c r="D7" s="28"/>
      <c r="E7" s="28"/>
      <c r="F7" s="28"/>
      <c r="G7" s="30">
        <f>Statements!G7</f>
        <v>44920</v>
      </c>
      <c r="H7" s="30">
        <f t="shared" ref="H7:N7" si="0">EDATE(G7,12)</f>
        <v>45285</v>
      </c>
      <c r="I7" s="32">
        <f t="shared" si="0"/>
        <v>45651</v>
      </c>
      <c r="J7" s="32">
        <f t="shared" si="0"/>
        <v>46016</v>
      </c>
      <c r="K7" s="32">
        <f t="shared" si="0"/>
        <v>46381</v>
      </c>
      <c r="L7" s="33">
        <f t="shared" si="0"/>
        <v>46746</v>
      </c>
      <c r="M7" s="32">
        <f t="shared" si="0"/>
        <v>47112</v>
      </c>
      <c r="N7" s="33">
        <f t="shared" si="0"/>
        <v>47477</v>
      </c>
    </row>
    <row r="9" spans="1:14" x14ac:dyDescent="0.3">
      <c r="B9" s="76" t="s">
        <v>47</v>
      </c>
    </row>
    <row r="10" spans="1:14" x14ac:dyDescent="0.3">
      <c r="B10" s="76"/>
    </row>
    <row r="11" spans="1:14" x14ac:dyDescent="0.3">
      <c r="B11" s="76" t="s">
        <v>53</v>
      </c>
      <c r="C11" s="153" t="s">
        <v>230</v>
      </c>
      <c r="E11" s="153" t="s">
        <v>57</v>
      </c>
      <c r="G11" s="153" t="s">
        <v>97</v>
      </c>
    </row>
    <row r="13" spans="1:14" x14ac:dyDescent="0.3">
      <c r="A13" s="14" t="s">
        <v>34</v>
      </c>
      <c r="B13" s="42" t="s">
        <v>231</v>
      </c>
      <c r="C13" s="45"/>
      <c r="D13" s="45"/>
      <c r="E13" s="45"/>
      <c r="F13" s="45"/>
      <c r="G13" s="154">
        <v>44920</v>
      </c>
      <c r="H13" s="154">
        <v>45285</v>
      </c>
      <c r="I13" s="154">
        <v>45651</v>
      </c>
      <c r="J13" s="155">
        <v>46016</v>
      </c>
      <c r="K13" s="155">
        <v>46381</v>
      </c>
      <c r="L13" s="155">
        <v>46746</v>
      </c>
      <c r="M13" s="155">
        <v>47112</v>
      </c>
      <c r="N13" s="155">
        <v>47477</v>
      </c>
    </row>
    <row r="14" spans="1:14" s="43" customFormat="1" x14ac:dyDescent="0.3"/>
    <row r="15" spans="1:14" s="43" customFormat="1" x14ac:dyDescent="0.3">
      <c r="B15" s="126" t="s">
        <v>228</v>
      </c>
    </row>
    <row r="16" spans="1:14" s="43" customFormat="1" x14ac:dyDescent="0.3"/>
    <row r="17" spans="2:14" s="43" customFormat="1" x14ac:dyDescent="0.3">
      <c r="B17" s="43" t="s">
        <v>229</v>
      </c>
      <c r="G17" s="118"/>
      <c r="H17" s="118">
        <f>G20</f>
        <v>243012</v>
      </c>
      <c r="I17" s="118">
        <f>H20</f>
        <v>253373</v>
      </c>
      <c r="J17" s="118">
        <f t="shared" ref="J17:N17" si="1">I20</f>
        <v>271005</v>
      </c>
      <c r="K17" s="118">
        <f t="shared" ca="1" si="1"/>
        <v>275599.04531755467</v>
      </c>
      <c r="L17" s="118">
        <f t="shared" ca="1" si="1"/>
        <v>282813.07859256893</v>
      </c>
      <c r="M17" s="118">
        <f t="shared" ca="1" si="1"/>
        <v>291599.29548290162</v>
      </c>
      <c r="N17" s="118">
        <f t="shared" ca="1" si="1"/>
        <v>302987.76282333146</v>
      </c>
    </row>
    <row r="18" spans="2:14" s="43" customFormat="1" x14ac:dyDescent="0.3">
      <c r="B18" s="109" t="s">
        <v>232</v>
      </c>
      <c r="G18" s="118"/>
      <c r="H18" s="118"/>
      <c r="I18" s="118"/>
      <c r="J18" s="118">
        <f ca="1">J24</f>
        <v>9094.0453175546991</v>
      </c>
      <c r="K18" s="118">
        <f t="shared" ref="K18:N18" ca="1" si="2">K24</f>
        <v>10214.033275014261</v>
      </c>
      <c r="L18" s="118">
        <f t="shared" ca="1" si="2"/>
        <v>11586.216890332687</v>
      </c>
      <c r="M18" s="118">
        <f t="shared" ca="1" si="2"/>
        <v>13088.467340429854</v>
      </c>
      <c r="N18" s="118">
        <f t="shared" ca="1" si="2"/>
        <v>14783.899417002642</v>
      </c>
    </row>
    <row r="19" spans="2:14" s="43" customFormat="1" x14ac:dyDescent="0.3">
      <c r="B19" s="109" t="s">
        <v>233</v>
      </c>
      <c r="G19" s="118"/>
      <c r="H19" s="118"/>
      <c r="I19" s="118"/>
      <c r="J19" s="118">
        <v>-4500</v>
      </c>
      <c r="K19" s="118">
        <v>-3000</v>
      </c>
      <c r="L19" s="118">
        <v>-2800</v>
      </c>
      <c r="M19" s="118">
        <v>-1700</v>
      </c>
      <c r="N19" s="118">
        <v>-1500</v>
      </c>
    </row>
    <row r="20" spans="2:14" s="43" customFormat="1" x14ac:dyDescent="0.3">
      <c r="B20" s="112" t="s">
        <v>234</v>
      </c>
      <c r="G20" s="159">
        <v>243012</v>
      </c>
      <c r="H20" s="160">
        <v>253373</v>
      </c>
      <c r="I20" s="160">
        <v>271005</v>
      </c>
      <c r="J20" s="160">
        <f ca="1">SUM(J17:J19)</f>
        <v>275599.04531755467</v>
      </c>
      <c r="K20" s="160">
        <f t="shared" ref="K20:N20" ca="1" si="3">SUM(K17:K19)</f>
        <v>282813.07859256893</v>
      </c>
      <c r="L20" s="160">
        <f t="shared" ca="1" si="3"/>
        <v>291599.29548290162</v>
      </c>
      <c r="M20" s="160">
        <f t="shared" ca="1" si="3"/>
        <v>302987.76282333146</v>
      </c>
      <c r="N20" s="160">
        <f t="shared" ca="1" si="3"/>
        <v>316271.66224033409</v>
      </c>
    </row>
    <row r="21" spans="2:14" s="43" customFormat="1" x14ac:dyDescent="0.3">
      <c r="B21" s="109" t="s">
        <v>249</v>
      </c>
      <c r="G21" s="118"/>
      <c r="H21" s="118"/>
      <c r="I21" s="118">
        <v>159588</v>
      </c>
      <c r="J21" s="118">
        <f ca="1">I21+J27</f>
        <v>171494.70930110785</v>
      </c>
      <c r="K21" s="118">
        <f t="shared" ref="K21:N21" ca="1" si="4">J21+K27</f>
        <v>183472.9015841526</v>
      </c>
      <c r="L21" s="118">
        <f t="shared" ca="1" si="4"/>
        <v>195827.55597309765</v>
      </c>
      <c r="M21" s="118">
        <f t="shared" ca="1" si="4"/>
        <v>208747.49528079981</v>
      </c>
      <c r="N21" s="118">
        <f t="shared" ca="1" si="4"/>
        <v>222174.71697629345</v>
      </c>
    </row>
    <row r="22" spans="2:14" s="43" customFormat="1" x14ac:dyDescent="0.3">
      <c r="B22" s="112" t="s">
        <v>235</v>
      </c>
      <c r="G22" s="118"/>
      <c r="H22" s="118"/>
      <c r="I22" s="118"/>
      <c r="J22" s="160">
        <f ca="1">J20-J21</f>
        <v>104104.33601644682</v>
      </c>
      <c r="K22" s="160">
        <f t="shared" ref="K22:N22" ca="1" si="5">K20-K21</f>
        <v>99340.177008416329</v>
      </c>
      <c r="L22" s="160">
        <f t="shared" ca="1" si="5"/>
        <v>95771.739509803971</v>
      </c>
      <c r="M22" s="160">
        <f t="shared" ca="1" si="5"/>
        <v>94240.267542531656</v>
      </c>
      <c r="N22" s="160">
        <f t="shared" ca="1" si="5"/>
        <v>94096.945264040638</v>
      </c>
    </row>
    <row r="23" spans="2:14" s="43" customFormat="1" x14ac:dyDescent="0.3">
      <c r="G23" s="118"/>
      <c r="H23" s="118"/>
      <c r="I23" s="118"/>
      <c r="J23" s="118"/>
      <c r="K23" s="118"/>
      <c r="L23" s="118"/>
      <c r="M23" s="118"/>
      <c r="N23" s="118"/>
    </row>
    <row r="24" spans="2:14" s="43" customFormat="1" x14ac:dyDescent="0.3">
      <c r="B24" s="43" t="s">
        <v>243</v>
      </c>
      <c r="G24" s="118">
        <f>4596+91+3846</f>
        <v>8533</v>
      </c>
      <c r="H24" s="118">
        <f>349+4378+3782</f>
        <v>8509</v>
      </c>
      <c r="I24" s="118">
        <f>7471+14970+3420</f>
        <v>25861</v>
      </c>
      <c r="J24" s="118">
        <f ca="1">J25*Statements!J25</f>
        <v>9094.0453175546991</v>
      </c>
      <c r="K24" s="118">
        <f ca="1">K25*Statements!K25</f>
        <v>10214.033275014261</v>
      </c>
      <c r="L24" s="118">
        <f ca="1">L25*Statements!L25</f>
        <v>11586.216890332687</v>
      </c>
      <c r="M24" s="118">
        <f ca="1">M25*Statements!M25</f>
        <v>13088.467340429854</v>
      </c>
      <c r="N24" s="118">
        <f ca="1">N25*Statements!N25</f>
        <v>14783.899417002642</v>
      </c>
    </row>
    <row r="25" spans="2:14" s="43" customFormat="1" x14ac:dyDescent="0.3">
      <c r="B25" s="43" t="s">
        <v>237</v>
      </c>
      <c r="G25" s="127">
        <f>G24/Statements!G25</f>
        <v>1.8695131115682835E-2</v>
      </c>
      <c r="H25" s="127">
        <f>H24/Statements!H25</f>
        <v>1.8341445329171716E-2</v>
      </c>
      <c r="I25" s="127">
        <f>I24/Statements!I25</f>
        <v>5.7172354941260217E-2</v>
      </c>
      <c r="J25" s="128">
        <v>0.02</v>
      </c>
      <c r="K25" s="128">
        <v>2.1999999999999999E-2</v>
      </c>
      <c r="L25" s="128">
        <v>2.4E-2</v>
      </c>
      <c r="M25" s="128">
        <v>2.5999999999999999E-2</v>
      </c>
      <c r="N25" s="128">
        <v>2.8000000000000001E-2</v>
      </c>
    </row>
    <row r="26" spans="2:14" s="43" customFormat="1" x14ac:dyDescent="0.3"/>
    <row r="27" spans="2:14" s="43" customFormat="1" x14ac:dyDescent="0.3">
      <c r="B27" s="43" t="s">
        <v>236</v>
      </c>
      <c r="G27" s="122">
        <v>11118</v>
      </c>
      <c r="H27" s="122">
        <v>10720</v>
      </c>
      <c r="I27" s="122">
        <v>11260</v>
      </c>
      <c r="J27" s="122">
        <f ca="1">J28*J20</f>
        <v>11906.709301107861</v>
      </c>
      <c r="K27" s="122">
        <f t="shared" ref="K27:N27" ca="1" si="6">K28*K20</f>
        <v>11978.192283044733</v>
      </c>
      <c r="L27" s="122">
        <f t="shared" ca="1" si="6"/>
        <v>12354.654388945066</v>
      </c>
      <c r="M27" s="122">
        <f t="shared" ca="1" si="6"/>
        <v>12919.939307702145</v>
      </c>
      <c r="N27" s="122">
        <f t="shared" ca="1" si="6"/>
        <v>13427.221695493643</v>
      </c>
    </row>
    <row r="28" spans="2:14" s="43" customFormat="1" x14ac:dyDescent="0.3">
      <c r="B28" s="43" t="s">
        <v>244</v>
      </c>
      <c r="G28" s="127">
        <f>G27/G20</f>
        <v>4.575082711964841E-2</v>
      </c>
      <c r="H28" s="127">
        <f t="shared" ref="H28:I28" si="7">H27/H20</f>
        <v>4.2309164749203744E-2</v>
      </c>
      <c r="I28" s="127">
        <f t="shared" si="7"/>
        <v>4.1549048910536707E-2</v>
      </c>
      <c r="J28" s="127">
        <f>AVERAGE(G28:I28)</f>
        <v>4.320301359312962E-2</v>
      </c>
      <c r="K28" s="127">
        <f t="shared" ref="K28:N28" si="8">AVERAGE(H28:J28)</f>
        <v>4.2353742417623352E-2</v>
      </c>
      <c r="L28" s="127">
        <f t="shared" si="8"/>
        <v>4.2368601640429888E-2</v>
      </c>
      <c r="M28" s="127">
        <f t="shared" si="8"/>
        <v>4.2641785883727613E-2</v>
      </c>
      <c r="N28" s="127">
        <f t="shared" si="8"/>
        <v>4.2454709980593613E-2</v>
      </c>
    </row>
    <row r="29" spans="2:14" s="43" customFormat="1" x14ac:dyDescent="0.3"/>
    <row r="30" spans="2:14" s="43" customFormat="1" x14ac:dyDescent="0.3">
      <c r="B30" s="126" t="s">
        <v>238</v>
      </c>
    </row>
    <row r="31" spans="2:14" s="43" customFormat="1" x14ac:dyDescent="0.3">
      <c r="B31" s="126"/>
    </row>
    <row r="32" spans="2:14" s="43" customFormat="1" x14ac:dyDescent="0.3">
      <c r="B32" s="43" t="s">
        <v>246</v>
      </c>
      <c r="G32" s="122">
        <f t="shared" ref="G32:H32" si="9">79687+120</f>
        <v>79807</v>
      </c>
      <c r="H32" s="122">
        <f t="shared" si="9"/>
        <v>79807</v>
      </c>
      <c r="I32" s="122">
        <f>79687+120</f>
        <v>79807</v>
      </c>
      <c r="J32" s="122">
        <f>I32</f>
        <v>79807</v>
      </c>
      <c r="K32" s="122">
        <f t="shared" ref="K32:N32" si="10">J32</f>
        <v>79807</v>
      </c>
      <c r="L32" s="122">
        <f t="shared" si="10"/>
        <v>79807</v>
      </c>
      <c r="M32" s="122">
        <f t="shared" si="10"/>
        <v>79807</v>
      </c>
      <c r="N32" s="122">
        <f t="shared" si="10"/>
        <v>79807</v>
      </c>
    </row>
    <row r="33" spans="2:14" s="43" customFormat="1" x14ac:dyDescent="0.3">
      <c r="B33" s="43" t="s">
        <v>247</v>
      </c>
      <c r="G33" s="122">
        <f>10489+10700</f>
        <v>21189</v>
      </c>
      <c r="H33" s="122">
        <f>9470+10700</f>
        <v>20170</v>
      </c>
      <c r="I33" s="122">
        <f>9135+10603</f>
        <v>19738</v>
      </c>
      <c r="J33" s="122">
        <f ca="1">J42+I33</f>
        <v>21453.82844966773</v>
      </c>
      <c r="K33" s="122">
        <f t="shared" ref="K33:N33" ca="1" si="11">K42+J33</f>
        <v>22895.312191680041</v>
      </c>
      <c r="L33" s="122">
        <f t="shared" ca="1" si="11"/>
        <v>24606.953110580667</v>
      </c>
      <c r="M33" s="122">
        <f t="shared" ca="1" si="11"/>
        <v>26356.087592157332</v>
      </c>
      <c r="N33" s="122">
        <f t="shared" ca="1" si="11"/>
        <v>28138.07077207182</v>
      </c>
    </row>
    <row r="34" spans="2:14" s="43" customFormat="1" x14ac:dyDescent="0.3">
      <c r="B34" s="126"/>
    </row>
    <row r="35" spans="2:14" s="43" customFormat="1" x14ac:dyDescent="0.3"/>
    <row r="36" spans="2:14" s="43" customFormat="1" x14ac:dyDescent="0.3">
      <c r="B36" s="43" t="s">
        <v>239</v>
      </c>
      <c r="G36" s="118"/>
      <c r="H36" s="118">
        <f>G38</f>
        <v>100996</v>
      </c>
      <c r="I36" s="118">
        <f>H38</f>
        <v>99977</v>
      </c>
      <c r="J36" s="118">
        <f t="shared" ref="J36:N36" si="12">I38</f>
        <v>99545</v>
      </c>
      <c r="K36" s="118">
        <f t="shared" ca="1" si="12"/>
        <v>101260.82844966772</v>
      </c>
      <c r="L36" s="118">
        <f t="shared" ca="1" si="12"/>
        <v>102702.31219168003</v>
      </c>
      <c r="M36" s="118">
        <f t="shared" ca="1" si="12"/>
        <v>104413.95311058065</v>
      </c>
      <c r="N36" s="118">
        <f t="shared" ca="1" si="12"/>
        <v>106163.08759215732</v>
      </c>
    </row>
    <row r="37" spans="2:14" s="43" customFormat="1" x14ac:dyDescent="0.3">
      <c r="B37" s="109" t="s">
        <v>240</v>
      </c>
      <c r="G37" s="118"/>
      <c r="H37" s="118">
        <f>H38-H36</f>
        <v>-1019</v>
      </c>
      <c r="I37" s="118">
        <f>I38-I36</f>
        <v>-432</v>
      </c>
      <c r="J37" s="118">
        <f ca="1">J42</f>
        <v>1715.8284496677281</v>
      </c>
      <c r="K37" s="118">
        <f t="shared" ref="K37:N37" ca="1" si="13">K42</f>
        <v>1441.4837420123104</v>
      </c>
      <c r="L37" s="118">
        <f t="shared" ca="1" si="13"/>
        <v>1711.6409189006251</v>
      </c>
      <c r="M37" s="118">
        <f t="shared" ca="1" si="13"/>
        <v>1749.1344815766652</v>
      </c>
      <c r="N37" s="118">
        <f t="shared" ca="1" si="13"/>
        <v>1781.9831799144872</v>
      </c>
    </row>
    <row r="38" spans="2:14" s="43" customFormat="1" x14ac:dyDescent="0.3">
      <c r="B38" s="112" t="s">
        <v>241</v>
      </c>
      <c r="G38" s="161">
        <v>100996</v>
      </c>
      <c r="H38" s="161">
        <v>99977</v>
      </c>
      <c r="I38" s="161">
        <v>99545</v>
      </c>
      <c r="J38" s="160">
        <f ca="1">SUM(J36:J37)</f>
        <v>101260.82844966772</v>
      </c>
      <c r="K38" s="160">
        <f t="shared" ref="K38:N38" ca="1" si="14">SUM(K36:K37)</f>
        <v>102702.31219168003</v>
      </c>
      <c r="L38" s="160">
        <f t="shared" ca="1" si="14"/>
        <v>104413.95311058065</v>
      </c>
      <c r="M38" s="160">
        <f t="shared" ca="1" si="14"/>
        <v>106163.08759215732</v>
      </c>
      <c r="N38" s="160">
        <f t="shared" ca="1" si="14"/>
        <v>107945.07077207181</v>
      </c>
    </row>
    <row r="39" spans="2:14" s="43" customFormat="1" x14ac:dyDescent="0.3">
      <c r="B39" s="109" t="s">
        <v>248</v>
      </c>
      <c r="G39" s="118"/>
      <c r="H39" s="118"/>
      <c r="I39" s="48">
        <v>7806</v>
      </c>
      <c r="J39" s="118">
        <f ca="1">I39+J45</f>
        <v>9591.1656899335467</v>
      </c>
      <c r="K39" s="118">
        <f t="shared" ref="K39:N39" ca="1" si="15">J39+K45</f>
        <v>11496.628128269555</v>
      </c>
      <c r="L39" s="118">
        <f t="shared" ca="1" si="15"/>
        <v>13705.418750385688</v>
      </c>
      <c r="M39" s="118">
        <f t="shared" ca="1" si="15"/>
        <v>16114.036268817155</v>
      </c>
      <c r="N39" s="118">
        <f t="shared" ca="1" si="15"/>
        <v>18811.050423231518</v>
      </c>
    </row>
    <row r="40" spans="2:14" s="43" customFormat="1" x14ac:dyDescent="0.3">
      <c r="B40" s="112" t="s">
        <v>242</v>
      </c>
      <c r="G40" s="118"/>
      <c r="H40" s="118"/>
      <c r="I40" s="118"/>
      <c r="J40" s="160">
        <f ca="1">J38-J39</f>
        <v>91669.662759734172</v>
      </c>
      <c r="K40" s="160">
        <f t="shared" ref="K40:N40" ca="1" si="16">K38-K39</f>
        <v>91205.684063410474</v>
      </c>
      <c r="L40" s="160">
        <f t="shared" ca="1" si="16"/>
        <v>90708.534360194957</v>
      </c>
      <c r="M40" s="160">
        <f t="shared" ca="1" si="16"/>
        <v>90049.051323340158</v>
      </c>
      <c r="N40" s="160">
        <f t="shared" ca="1" si="16"/>
        <v>89134.020348840291</v>
      </c>
    </row>
    <row r="41" spans="2:14" s="43" customFormat="1" x14ac:dyDescent="0.3">
      <c r="G41" s="118"/>
      <c r="H41" s="118"/>
      <c r="I41" s="118"/>
      <c r="J41" s="118"/>
      <c r="K41" s="118"/>
      <c r="L41" s="118"/>
      <c r="M41" s="118"/>
      <c r="N41" s="118"/>
    </row>
    <row r="42" spans="2:14" s="43" customFormat="1" x14ac:dyDescent="0.3">
      <c r="B42" s="43" t="s">
        <v>245</v>
      </c>
      <c r="G42" s="48">
        <v>2638</v>
      </c>
      <c r="H42" s="48">
        <v>827</v>
      </c>
      <c r="I42" s="48">
        <v>1700</v>
      </c>
      <c r="J42" s="48">
        <f ca="1">J43*Statements!J25</f>
        <v>1715.8284496677281</v>
      </c>
      <c r="K42" s="48">
        <f ca="1">K43*Statements!K25</f>
        <v>1441.4837420123104</v>
      </c>
      <c r="L42" s="48">
        <f ca="1">L43*Statements!L25</f>
        <v>1711.6409189006251</v>
      </c>
      <c r="M42" s="48">
        <f ca="1">M43*Statements!M25</f>
        <v>1749.1344815766652</v>
      </c>
      <c r="N42" s="48">
        <f ca="1">N43*Statements!N25</f>
        <v>1781.9831799144872</v>
      </c>
    </row>
    <row r="43" spans="2:14" s="43" customFormat="1" x14ac:dyDescent="0.3">
      <c r="B43" s="43" t="s">
        <v>237</v>
      </c>
      <c r="G43" s="127">
        <f>G42/Statements!G25</f>
        <v>5.7796502851484022E-3</v>
      </c>
      <c r="H43" s="127">
        <f>H42/Statements!H25</f>
        <v>1.7826272519949474E-3</v>
      </c>
      <c r="I43" s="127">
        <f>I42/Statements!I25</f>
        <v>3.7582848072442044E-3</v>
      </c>
      <c r="J43" s="127">
        <f t="array" ref="J43">AVERAGE(G43:I43)</f>
        <v>3.7735207814625182E-3</v>
      </c>
      <c r="K43" s="127">
        <f t="array" ref="K43">AVERAGE(H43:J43)</f>
        <v>3.104810946900557E-3</v>
      </c>
      <c r="L43" s="127">
        <f t="array" ref="L43">AVERAGE(I43:K43)</f>
        <v>3.5455388452024267E-3</v>
      </c>
      <c r="M43" s="127">
        <f t="array" ref="M43">AVERAGE(J43:L43)</f>
        <v>3.474623524521834E-3</v>
      </c>
      <c r="N43" s="127">
        <f t="array" ref="N43">AVERAGE(K43:M43)</f>
        <v>3.3749911055416058E-3</v>
      </c>
    </row>
    <row r="44" spans="2:14" s="43" customFormat="1" x14ac:dyDescent="0.3"/>
    <row r="45" spans="2:14" s="43" customFormat="1" x14ac:dyDescent="0.3">
      <c r="B45" s="43" t="s">
        <v>252</v>
      </c>
      <c r="G45" s="122">
        <v>2000</v>
      </c>
      <c r="H45" s="122">
        <v>2200</v>
      </c>
      <c r="I45" s="122">
        <v>2200</v>
      </c>
      <c r="J45" s="122">
        <f ca="1">SUM(J46:J52)</f>
        <v>1785.1656899335458</v>
      </c>
      <c r="K45" s="122">
        <f t="shared" ref="K45:N45" ca="1" si="17">SUM(K46:K52)</f>
        <v>1905.4624383360078</v>
      </c>
      <c r="L45" s="122">
        <f t="shared" ca="1" si="17"/>
        <v>2208.7906221161329</v>
      </c>
      <c r="M45" s="122">
        <f t="shared" ca="1" si="17"/>
        <v>2408.6175184314661</v>
      </c>
      <c r="N45" s="122">
        <f t="shared" ca="1" si="17"/>
        <v>2697.0141544143635</v>
      </c>
    </row>
    <row r="46" spans="2:14" s="43" customFormat="1" x14ac:dyDescent="0.3">
      <c r="B46" s="43" t="s">
        <v>250</v>
      </c>
      <c r="J46" s="130">
        <v>1442</v>
      </c>
      <c r="K46" s="130">
        <v>1274</v>
      </c>
      <c r="L46" s="130">
        <v>1235</v>
      </c>
      <c r="M46" s="122">
        <v>1085</v>
      </c>
      <c r="N46" s="122">
        <v>1017</v>
      </c>
    </row>
    <row r="47" spans="2:14" s="43" customFormat="1" x14ac:dyDescent="0.3"/>
    <row r="48" spans="2:14" s="43" customFormat="1" x14ac:dyDescent="0.3">
      <c r="B48" s="43" t="s">
        <v>251</v>
      </c>
      <c r="J48" s="122">
        <f ca="1">$J$42/5</f>
        <v>343.16568993354565</v>
      </c>
      <c r="K48" s="122">
        <f t="shared" ref="K48:N48" ca="1" si="18">$J$42/5</f>
        <v>343.16568993354565</v>
      </c>
      <c r="L48" s="122">
        <f t="shared" ca="1" si="18"/>
        <v>343.16568993354565</v>
      </c>
      <c r="M48" s="122">
        <f t="shared" ca="1" si="18"/>
        <v>343.16568993354565</v>
      </c>
      <c r="N48" s="122">
        <f t="shared" ca="1" si="18"/>
        <v>343.16568993354565</v>
      </c>
    </row>
    <row r="49" spans="1:14" s="43" customFormat="1" x14ac:dyDescent="0.3">
      <c r="J49" s="122"/>
      <c r="K49" s="122">
        <f ca="1">$K$42/5</f>
        <v>288.29674840246207</v>
      </c>
      <c r="L49" s="122">
        <f t="shared" ref="L49:N49" ca="1" si="19">$K$42/5</f>
        <v>288.29674840246207</v>
      </c>
      <c r="M49" s="122">
        <f t="shared" ca="1" si="19"/>
        <v>288.29674840246207</v>
      </c>
      <c r="N49" s="122">
        <f t="shared" ca="1" si="19"/>
        <v>288.29674840246207</v>
      </c>
    </row>
    <row r="50" spans="1:14" s="43" customFormat="1" x14ac:dyDescent="0.3">
      <c r="J50" s="122"/>
      <c r="K50" s="122"/>
      <c r="L50" s="122">
        <f ca="1">$L$42/5</f>
        <v>342.32818378012502</v>
      </c>
      <c r="M50" s="122">
        <f t="shared" ref="M50:N50" ca="1" si="20">$L$42/5</f>
        <v>342.32818378012502</v>
      </c>
      <c r="N50" s="122">
        <f t="shared" ca="1" si="20"/>
        <v>342.32818378012502</v>
      </c>
    </row>
    <row r="51" spans="1:14" s="43" customFormat="1" x14ac:dyDescent="0.3">
      <c r="J51" s="122"/>
      <c r="K51" s="122"/>
      <c r="L51" s="122"/>
      <c r="M51" s="122">
        <f ca="1">$M$42/5</f>
        <v>349.82689631533304</v>
      </c>
      <c r="N51" s="122">
        <f ca="1">$M$42/5</f>
        <v>349.82689631533304</v>
      </c>
    </row>
    <row r="52" spans="1:14" s="43" customFormat="1" x14ac:dyDescent="0.3">
      <c r="J52" s="122"/>
      <c r="K52" s="122"/>
      <c r="L52" s="122"/>
      <c r="M52" s="122"/>
      <c r="N52" s="122">
        <f ca="1">$N$42/5</f>
        <v>356.39663598289746</v>
      </c>
    </row>
    <row r="53" spans="1:14" s="43" customFormat="1" x14ac:dyDescent="0.3">
      <c r="B53" s="126" t="s">
        <v>253</v>
      </c>
      <c r="J53" s="122"/>
      <c r="K53" s="122"/>
      <c r="L53" s="122"/>
      <c r="M53" s="122"/>
      <c r="N53" s="122"/>
    </row>
    <row r="54" spans="1:14" s="43" customFormat="1" x14ac:dyDescent="0.3"/>
    <row r="55" spans="1:14" s="43" customFormat="1" x14ac:dyDescent="0.3">
      <c r="B55" s="43" t="s">
        <v>254</v>
      </c>
      <c r="G55" s="118"/>
      <c r="H55" s="118"/>
      <c r="I55" s="118"/>
      <c r="J55" s="118">
        <f>Statements!I72</f>
        <v>54764</v>
      </c>
      <c r="K55" s="118">
        <f ca="1">J58</f>
        <v>49405.293108190395</v>
      </c>
      <c r="L55" s="118">
        <f ca="1">K58</f>
        <v>50010.279837317503</v>
      </c>
      <c r="M55" s="118">
        <f ca="1">L58</f>
        <v>54300.913626419155</v>
      </c>
      <c r="N55" s="118">
        <f ca="1">M58</f>
        <v>55181.588892050502</v>
      </c>
    </row>
    <row r="56" spans="1:14" s="43" customFormat="1" x14ac:dyDescent="0.3">
      <c r="B56" s="109" t="s">
        <v>255</v>
      </c>
      <c r="G56" s="118"/>
      <c r="H56" s="118"/>
      <c r="I56" s="118"/>
      <c r="J56" s="118">
        <f ca="1">J58-J57-J55</f>
        <v>-5326.005225212095</v>
      </c>
      <c r="K56" s="118">
        <f t="shared" ref="K56:N56" ca="1" si="21">K58-K57-K55</f>
        <v>636.01642753455235</v>
      </c>
      <c r="L56" s="118">
        <f t="shared" ca="1" si="21"/>
        <v>4329.7098259770355</v>
      </c>
      <c r="M56" s="118">
        <f t="shared" ca="1" si="21"/>
        <v>917.49964655542135</v>
      </c>
      <c r="N56" s="118">
        <f t="shared" ca="1" si="21"/>
        <v>2904.2432922995067</v>
      </c>
    </row>
    <row r="57" spans="1:14" s="43" customFormat="1" x14ac:dyDescent="0.3">
      <c r="B57" s="109" t="s">
        <v>257</v>
      </c>
      <c r="G57" s="118"/>
      <c r="H57" s="118"/>
      <c r="I57" s="118"/>
      <c r="J57" s="118">
        <f ca="1">-J60</f>
        <v>-32.701666597508705</v>
      </c>
      <c r="K57" s="118">
        <f t="shared" ref="K57:N57" ca="1" si="22">-K60</f>
        <v>-31.02969840744165</v>
      </c>
      <c r="L57" s="118">
        <f t="shared" ca="1" si="22"/>
        <v>-39.076036875380687</v>
      </c>
      <c r="M57" s="118">
        <f t="shared" ca="1" si="22"/>
        <v>-36.82438092407299</v>
      </c>
      <c r="N57" s="118">
        <f t="shared" ca="1" si="22"/>
        <v>-38.841516458019022</v>
      </c>
    </row>
    <row r="58" spans="1:14" s="43" customFormat="1" x14ac:dyDescent="0.3">
      <c r="B58" s="112" t="s">
        <v>256</v>
      </c>
      <c r="C58" s="112"/>
      <c r="D58" s="112"/>
      <c r="E58" s="112"/>
      <c r="F58" s="112"/>
      <c r="G58" s="160"/>
      <c r="H58" s="160"/>
      <c r="I58" s="160"/>
      <c r="J58" s="160">
        <f ca="1">Statements!J72</f>
        <v>49405.293108190395</v>
      </c>
      <c r="K58" s="160">
        <f ca="1">Statements!K72</f>
        <v>50010.279837317503</v>
      </c>
      <c r="L58" s="160">
        <f ca="1">Statements!L72</f>
        <v>54300.913626419155</v>
      </c>
      <c r="M58" s="160">
        <f ca="1">Statements!M72</f>
        <v>55181.588892050502</v>
      </c>
      <c r="N58" s="160">
        <f ca="1">Statements!N72</f>
        <v>58046.990667891987</v>
      </c>
    </row>
    <row r="59" spans="1:14" s="43" customFormat="1" x14ac:dyDescent="0.3">
      <c r="J59" s="119"/>
      <c r="K59" s="119"/>
      <c r="L59" s="119"/>
      <c r="M59" s="119"/>
      <c r="N59" s="119"/>
    </row>
    <row r="60" spans="1:14" s="43" customFormat="1" x14ac:dyDescent="0.3">
      <c r="B60" s="43" t="s">
        <v>340</v>
      </c>
      <c r="C60" s="112"/>
      <c r="D60" s="112"/>
      <c r="E60" s="112"/>
      <c r="F60" s="112"/>
      <c r="G60" s="118">
        <v>40</v>
      </c>
      <c r="H60" s="118">
        <v>14</v>
      </c>
      <c r="I60" s="118">
        <v>48</v>
      </c>
      <c r="J60" s="118">
        <f ca="1">J61*J58</f>
        <v>32.701666597508705</v>
      </c>
      <c r="K60" s="118">
        <f t="shared" ref="K60:N60" ca="1" si="23">K61*K58</f>
        <v>31.02969840744165</v>
      </c>
      <c r="L60" s="118">
        <f t="shared" ca="1" si="23"/>
        <v>39.076036875380687</v>
      </c>
      <c r="M60" s="118">
        <f t="shared" ca="1" si="23"/>
        <v>36.82438092407299</v>
      </c>
      <c r="N60" s="118">
        <f t="shared" ca="1" si="23"/>
        <v>38.841516458019022</v>
      </c>
    </row>
    <row r="61" spans="1:14" s="43" customFormat="1" x14ac:dyDescent="0.3">
      <c r="B61" s="43" t="s">
        <v>341</v>
      </c>
      <c r="C61" s="112"/>
      <c r="D61" s="112"/>
      <c r="E61" s="112"/>
      <c r="F61" s="112"/>
      <c r="G61" s="64">
        <f>G60/G83</f>
        <v>7.8622533218020282E-4</v>
      </c>
      <c r="H61" s="64">
        <f t="shared" ref="H61:I61" si="24">H60/H83</f>
        <v>3.2300486814479845E-4</v>
      </c>
      <c r="I61" s="64">
        <f t="shared" si="24"/>
        <v>8.7648820392958874E-4</v>
      </c>
      <c r="J61" s="64">
        <f>AVERAGE(G61:I61)</f>
        <v>6.6190613475153E-4</v>
      </c>
      <c r="K61" s="64">
        <f t="shared" ref="K61:N61" si="25">AVERAGE(H61:J61)</f>
        <v>6.204664022753057E-4</v>
      </c>
      <c r="L61" s="64">
        <f t="shared" si="25"/>
        <v>7.1962024698547485E-4</v>
      </c>
      <c r="M61" s="64">
        <f t="shared" si="25"/>
        <v>6.6733092800410352E-4</v>
      </c>
      <c r="N61" s="64">
        <f t="shared" si="25"/>
        <v>6.6913919242162802E-4</v>
      </c>
    </row>
    <row r="62" spans="1:14" s="43" customFormat="1" x14ac:dyDescent="0.3"/>
    <row r="63" spans="1:14" x14ac:dyDescent="0.3">
      <c r="A63" s="14" t="s">
        <v>34</v>
      </c>
      <c r="B63" s="42" t="s">
        <v>44</v>
      </c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</row>
    <row r="64" spans="1:14" s="43" customFormat="1" x14ac:dyDescent="0.3"/>
    <row r="65" spans="2:14" s="126" customFormat="1" x14ac:dyDescent="0.3">
      <c r="B65" s="126" t="s">
        <v>258</v>
      </c>
    </row>
    <row r="66" spans="2:14" s="43" customFormat="1" x14ac:dyDescent="0.3">
      <c r="B66" s="43" t="s">
        <v>135</v>
      </c>
      <c r="G66" s="118">
        <f>Statements!G61</f>
        <v>25576</v>
      </c>
      <c r="H66" s="118">
        <f>Statements!H61</f>
        <v>21391</v>
      </c>
      <c r="I66" s="118">
        <f>Statements!I61</f>
        <v>24433</v>
      </c>
      <c r="J66" s="118">
        <f ca="1">J73*Statements!J25/days</f>
        <v>24560.922818516181</v>
      </c>
      <c r="K66" s="118">
        <f ca="1">K73*Statements!K25/days</f>
        <v>25077.956776149669</v>
      </c>
      <c r="L66" s="118">
        <f ca="1">L73*Statements!L25/days</f>
        <v>26076.420418088786</v>
      </c>
      <c r="M66" s="118">
        <f ca="1">M73*Statements!M25/days</f>
        <v>27191.490097746242</v>
      </c>
      <c r="N66" s="118">
        <f ca="1">N73*Statements!N25/days</f>
        <v>28519.934894476326</v>
      </c>
    </row>
    <row r="67" spans="2:14" s="43" customFormat="1" x14ac:dyDescent="0.3">
      <c r="B67" s="43" t="s">
        <v>136</v>
      </c>
      <c r="G67" s="118">
        <f>Statements!G62</f>
        <v>5538</v>
      </c>
      <c r="H67" s="118">
        <f>Statements!H62</f>
        <v>2175</v>
      </c>
      <c r="I67" s="118">
        <f>Statements!I62</f>
        <v>1747</v>
      </c>
      <c r="J67" s="118">
        <f ca="1">J74*Statements!J$31/days</f>
        <v>1726.6219876829261</v>
      </c>
      <c r="K67" s="118">
        <f ca="1">K74*Statements!K$31/days</f>
        <v>1788.5655623987334</v>
      </c>
      <c r="L67" s="118">
        <f ca="1">L74*Statements!L$31/days</f>
        <v>1905.8029468517184</v>
      </c>
      <c r="M67" s="118">
        <f ca="1">M74*Statements!M$31/days</f>
        <v>2020.802622425233</v>
      </c>
      <c r="N67" s="118">
        <f ca="1">N74*Statements!N$31/days</f>
        <v>2172.1240552353192</v>
      </c>
    </row>
    <row r="68" spans="2:14" s="43" customFormat="1" x14ac:dyDescent="0.3">
      <c r="G68" s="118"/>
      <c r="H68" s="118"/>
      <c r="I68" s="118"/>
      <c r="J68" s="118"/>
      <c r="K68" s="118"/>
      <c r="L68" s="118"/>
      <c r="M68" s="118"/>
      <c r="N68" s="118"/>
    </row>
    <row r="69" spans="2:14" s="43" customFormat="1" x14ac:dyDescent="0.3">
      <c r="B69" s="126" t="s">
        <v>259</v>
      </c>
      <c r="G69" s="118"/>
      <c r="H69" s="118"/>
      <c r="I69" s="118"/>
      <c r="J69" s="118"/>
      <c r="K69" s="118"/>
      <c r="L69" s="118"/>
      <c r="M69" s="118"/>
      <c r="N69" s="118"/>
    </row>
    <row r="70" spans="2:14" s="43" customFormat="1" x14ac:dyDescent="0.3">
      <c r="B70" s="114" t="s">
        <v>150</v>
      </c>
      <c r="G70" s="118">
        <f>Statements!G79</f>
        <v>19896</v>
      </c>
      <c r="H70" s="118">
        <f>Statements!H79</f>
        <v>24070</v>
      </c>
      <c r="I70" s="118">
        <f>Statements!I79</f>
        <v>19985</v>
      </c>
      <c r="J70" s="118">
        <f ca="1">J75*Statements!J$31/days</f>
        <v>19751.883471003592</v>
      </c>
      <c r="K70" s="118">
        <f ca="1">K75*Statements!K$31/days</f>
        <v>20460.493854916247</v>
      </c>
      <c r="L70" s="118">
        <f ca="1">L75*Statements!L$31/days</f>
        <v>21801.643899731873</v>
      </c>
      <c r="M70" s="118">
        <f ca="1">M75*Statements!M$31/days</f>
        <v>23117.19542596925</v>
      </c>
      <c r="N70" s="118">
        <f ca="1">N75*Statements!N$31/days</f>
        <v>24848.253717159612</v>
      </c>
    </row>
    <row r="71" spans="2:14" s="43" customFormat="1" x14ac:dyDescent="0.3">
      <c r="G71" s="118"/>
      <c r="H71" s="118"/>
      <c r="I71" s="118"/>
      <c r="J71" s="118"/>
      <c r="K71" s="118"/>
      <c r="L71" s="118"/>
      <c r="M71" s="118"/>
      <c r="N71" s="118"/>
    </row>
    <row r="72" spans="2:14" s="43" customFormat="1" x14ac:dyDescent="0.3">
      <c r="B72" s="126" t="s">
        <v>260</v>
      </c>
      <c r="G72" s="118"/>
      <c r="H72" s="118"/>
      <c r="I72" s="118"/>
      <c r="J72" s="118"/>
      <c r="K72" s="118"/>
      <c r="L72" s="118"/>
      <c r="M72" s="118"/>
      <c r="N72" s="118"/>
    </row>
    <row r="73" spans="2:14" s="43" customFormat="1" x14ac:dyDescent="0.3">
      <c r="B73" s="43" t="s">
        <v>135</v>
      </c>
      <c r="G73" s="118">
        <f>G66*days/Statements!G$25</f>
        <v>20.452775787690967</v>
      </c>
      <c r="H73" s="118">
        <f>H66*days/Statements!H$25</f>
        <v>16.82980113036243</v>
      </c>
      <c r="I73" s="118">
        <f>I66*days/Statements!I$25</f>
        <v>19.715619431658908</v>
      </c>
      <c r="J73" s="118">
        <f>I73</f>
        <v>19.715619431658908</v>
      </c>
      <c r="K73" s="118">
        <f t="shared" ref="K73:N73" si="26">J73</f>
        <v>19.715619431658908</v>
      </c>
      <c r="L73" s="118">
        <f t="shared" si="26"/>
        <v>19.715619431658908</v>
      </c>
      <c r="M73" s="118">
        <f t="shared" si="26"/>
        <v>19.715619431658908</v>
      </c>
      <c r="N73" s="118">
        <f t="shared" si="26"/>
        <v>19.715619431658908</v>
      </c>
    </row>
    <row r="74" spans="2:14" s="43" customFormat="1" x14ac:dyDescent="0.3">
      <c r="B74" s="43" t="s">
        <v>136</v>
      </c>
      <c r="G74" s="118">
        <f>G67*days/Statements!G$31</f>
        <v>11.263749735314112</v>
      </c>
      <c r="H74" s="118">
        <f>H67*days/Statements!H$31</f>
        <v>4.2317656277485485</v>
      </c>
      <c r="I74" s="118">
        <f>I67*days/Statements!I$31</f>
        <v>3.3606069230120585</v>
      </c>
      <c r="J74" s="118">
        <f t="shared" ref="J74:N75" si="27">I74</f>
        <v>3.3606069230120585</v>
      </c>
      <c r="K74" s="118">
        <f t="shared" si="27"/>
        <v>3.3606069230120585</v>
      </c>
      <c r="L74" s="118">
        <f t="shared" si="27"/>
        <v>3.3606069230120585</v>
      </c>
      <c r="M74" s="118">
        <f t="shared" si="27"/>
        <v>3.3606069230120585</v>
      </c>
      <c r="N74" s="118">
        <f t="shared" si="27"/>
        <v>3.3606069230120585</v>
      </c>
    </row>
    <row r="75" spans="2:14" s="43" customFormat="1" x14ac:dyDescent="0.3">
      <c r="B75" s="43" t="s">
        <v>150</v>
      </c>
      <c r="G75" s="118">
        <f>G70*days/Statements!G$31</f>
        <v>40.466515842146912</v>
      </c>
      <c r="H75" s="118">
        <f>H70*days/Statements!H$31</f>
        <v>46.831539613750607</v>
      </c>
      <c r="I75" s="118">
        <f>I70*days/Statements!I$31</f>
        <v>38.444035121005143</v>
      </c>
      <c r="J75" s="118">
        <f t="shared" si="27"/>
        <v>38.444035121005143</v>
      </c>
      <c r="K75" s="118">
        <f t="shared" si="27"/>
        <v>38.444035121005143</v>
      </c>
      <c r="L75" s="118">
        <f t="shared" si="27"/>
        <v>38.444035121005143</v>
      </c>
      <c r="M75" s="118">
        <f t="shared" si="27"/>
        <v>38.444035121005143</v>
      </c>
      <c r="N75" s="118">
        <f t="shared" si="27"/>
        <v>38.444035121005143</v>
      </c>
    </row>
    <row r="76" spans="2:14" s="43" customFormat="1" x14ac:dyDescent="0.3">
      <c r="G76" s="118"/>
      <c r="H76" s="118"/>
      <c r="I76" s="118"/>
      <c r="J76" s="118"/>
      <c r="K76" s="118"/>
      <c r="L76" s="118"/>
      <c r="M76" s="118"/>
      <c r="N76" s="118"/>
    </row>
    <row r="77" spans="2:14" s="43" customFormat="1" x14ac:dyDescent="0.3">
      <c r="B77" s="43" t="s">
        <v>138</v>
      </c>
      <c r="G77" s="118">
        <f>Statements!G64</f>
        <v>12529</v>
      </c>
      <c r="H77" s="118">
        <f>Statements!H64</f>
        <v>12855</v>
      </c>
      <c r="I77" s="118">
        <f>Statements!I64</f>
        <v>10628</v>
      </c>
      <c r="J77" s="118">
        <f ca="1">J78*Statements!J$25</f>
        <v>11921.590776582849</v>
      </c>
      <c r="K77" s="118">
        <f ca="1">K78*Statements!K$25</f>
        <v>11981.953440062221</v>
      </c>
      <c r="L77" s="118">
        <f ca="1">L78*Statements!L$25</f>
        <v>12153.022539034453</v>
      </c>
      <c r="M77" s="118">
        <f ca="1">M78*Statements!M$25</f>
        <v>12954.306069434433</v>
      </c>
      <c r="N77" s="118">
        <f ca="1">N78*Statements!N$25</f>
        <v>13501.837839654814</v>
      </c>
    </row>
    <row r="78" spans="2:14" s="43" customFormat="1" x14ac:dyDescent="0.3">
      <c r="B78" s="43" t="s">
        <v>261</v>
      </c>
      <c r="G78" s="127">
        <f>G77/Statements!G$25</f>
        <v>2.7450052472564188E-2</v>
      </c>
      <c r="H78" s="127">
        <f>H77/Statements!H$25</f>
        <v>2.7709399424903323E-2</v>
      </c>
      <c r="I78" s="127">
        <f>I77/Statements!I$25</f>
        <v>2.3495912312583179E-2</v>
      </c>
      <c r="J78" s="127">
        <f t="array" ref="J78">AVERAGE(G78:I78)</f>
        <v>2.6218454736683564E-2</v>
      </c>
      <c r="K78" s="127">
        <f t="array" ref="K78">AVERAGE(H78:J78)</f>
        <v>2.580792215805669E-2</v>
      </c>
      <c r="L78" s="127">
        <f t="array" ref="L78">AVERAGE(I78:K78)</f>
        <v>2.5174096402441143E-2</v>
      </c>
      <c r="M78" s="127">
        <f t="array" ref="M78">AVERAGE(J78:L78)</f>
        <v>2.5733491099060465E-2</v>
      </c>
      <c r="N78" s="127">
        <f t="array" ref="N78">AVERAGE(K78:M78)</f>
        <v>2.5571836553186098E-2</v>
      </c>
    </row>
    <row r="79" spans="2:14" s="43" customFormat="1" x14ac:dyDescent="0.3">
      <c r="B79" s="114" t="s">
        <v>151</v>
      </c>
      <c r="G79" s="118">
        <f>Statements!G80</f>
        <v>56762</v>
      </c>
      <c r="H79" s="118">
        <f>Statements!H80</f>
        <v>63068</v>
      </c>
      <c r="I79" s="118">
        <f>Statements!I80</f>
        <v>58842</v>
      </c>
      <c r="J79" s="118">
        <f ca="1">J80*Statements!J$25</f>
        <v>59170.652944818357</v>
      </c>
      <c r="K79" s="118">
        <f ca="1">K80*Statements!K$25</f>
        <v>61309.131334743754</v>
      </c>
      <c r="L79" s="118">
        <f ca="1">L80*Statements!L$25</f>
        <v>63123.887618097222</v>
      </c>
      <c r="M79" s="118">
        <f ca="1">M80*Statements!M$25</f>
        <v>65935.797981863609</v>
      </c>
      <c r="N79" s="118">
        <f ca="1">N80*Statements!N$25</f>
        <v>69306.650075824669</v>
      </c>
    </row>
    <row r="80" spans="2:14" s="43" customFormat="1" x14ac:dyDescent="0.3">
      <c r="B80" s="114" t="s">
        <v>262</v>
      </c>
      <c r="G80" s="127">
        <f>G79/Statements!G$25</f>
        <v>0.12436107258741227</v>
      </c>
      <c r="H80" s="127">
        <f>H79/Statements!H$25</f>
        <v>0.13594526666120599</v>
      </c>
      <c r="I80" s="127">
        <f>I79/Statements!I$25</f>
        <v>0.13008529095756674</v>
      </c>
      <c r="J80" s="127">
        <f t="array" ref="J80">AVERAGE(G80:I80)</f>
        <v>0.13013054340206165</v>
      </c>
      <c r="K80" s="127">
        <f t="array" ref="K80">AVERAGE(H80:J80)</f>
        <v>0.13205370034027811</v>
      </c>
      <c r="L80" s="127">
        <f t="array" ref="L80">AVERAGE(I80:K80)</f>
        <v>0.13075651156663548</v>
      </c>
      <c r="M80" s="127">
        <f t="array" ref="M80">AVERAGE(J80:L80)</f>
        <v>0.13098025176965841</v>
      </c>
      <c r="N80" s="127">
        <f t="array" ref="N80">AVERAGE(K80:M80)</f>
        <v>0.13126348789219067</v>
      </c>
    </row>
    <row r="81" spans="1:14" s="43" customFormat="1" x14ac:dyDescent="0.3">
      <c r="B81" s="114" t="s">
        <v>158</v>
      </c>
      <c r="G81" s="118">
        <f>Statements!G88</f>
        <v>32598</v>
      </c>
      <c r="H81" s="118">
        <f>Statements!H88</f>
        <v>31592</v>
      </c>
      <c r="I81" s="118">
        <f>Statements!I88</f>
        <v>27446</v>
      </c>
      <c r="J81" s="118">
        <f ca="1">J82*Statements!J$25</f>
        <v>30342.844279391982</v>
      </c>
      <c r="K81" s="118">
        <f ca="1">K82*Statements!K$25</f>
        <v>30256.023810185077</v>
      </c>
      <c r="L81" s="118">
        <f ca="1">L82*Statements!L$25</f>
        <v>30989.279387796785</v>
      </c>
      <c r="M81" s="118">
        <f ca="1">M82*Statements!M$25</f>
        <v>32904.354978752177</v>
      </c>
      <c r="N81" s="118">
        <f ca="1">N82*Statements!N$25</f>
        <v>34271.252670147485</v>
      </c>
    </row>
    <row r="82" spans="1:14" s="43" customFormat="1" x14ac:dyDescent="0.3">
      <c r="B82" s="43" t="s">
        <v>263</v>
      </c>
      <c r="G82" s="127">
        <f>G81/Statements!G$25</f>
        <v>7.1419651249153754E-2</v>
      </c>
      <c r="H82" s="127">
        <f>H81/Statements!H$25</f>
        <v>6.8097654347066966E-2</v>
      </c>
      <c r="I82" s="127">
        <f>I81/Statements!I$25</f>
        <v>6.0676402835073195E-2</v>
      </c>
      <c r="J82" s="127">
        <f t="array" ref="J82">AVERAGE(G82:I82)</f>
        <v>6.6731236143764638E-2</v>
      </c>
      <c r="K82" s="127">
        <f t="array" ref="K82">AVERAGE(H82:J82)</f>
        <v>6.5168431108634933E-2</v>
      </c>
      <c r="L82" s="127">
        <f t="array" ref="L82">AVERAGE(I82:K82)</f>
        <v>6.4192023362490927E-2</v>
      </c>
      <c r="M82" s="127">
        <f t="array" ref="M82">AVERAGE(J82:L82)</f>
        <v>6.5363896871630175E-2</v>
      </c>
      <c r="N82" s="127">
        <f t="array" ref="N82">AVERAGE(K82:M82)</f>
        <v>6.4908117114252026E-2</v>
      </c>
    </row>
    <row r="83" spans="1:14" s="43" customFormat="1" x14ac:dyDescent="0.3">
      <c r="B83" s="114" t="s">
        <v>144</v>
      </c>
      <c r="G83" s="118">
        <f>Statements!G72</f>
        <v>50876</v>
      </c>
      <c r="H83" s="118">
        <f>Statements!H72</f>
        <v>43343</v>
      </c>
      <c r="I83" s="118">
        <f>Statements!I72</f>
        <v>54764</v>
      </c>
      <c r="J83" s="118">
        <f ca="1">J84*Statements!J25</f>
        <v>49405.293108190395</v>
      </c>
      <c r="K83" s="118">
        <f ca="1">K84*Statements!K25</f>
        <v>50010.279837317503</v>
      </c>
      <c r="L83" s="118">
        <f ca="1">L84*Statements!L25</f>
        <v>54300.913626419155</v>
      </c>
      <c r="M83" s="118">
        <f ca="1">M84*Statements!M25</f>
        <v>55181.588892050502</v>
      </c>
      <c r="N83" s="118">
        <f ca="1">N84*Statements!N25</f>
        <v>58046.990667891987</v>
      </c>
    </row>
    <row r="84" spans="1:14" s="43" customFormat="1" x14ac:dyDescent="0.3">
      <c r="B84" s="114" t="s">
        <v>339</v>
      </c>
      <c r="G84" s="127">
        <f>G83/Statements!G25</f>
        <v>0.11146531004822217</v>
      </c>
      <c r="H84" s="127">
        <f>H83/Statements!H25</f>
        <v>9.3427343389621526E-2</v>
      </c>
      <c r="I84" s="127">
        <f>I83/Statements!I25</f>
        <v>0.1210698289317186</v>
      </c>
      <c r="J84" s="128">
        <f>AVERAGE(G84:I84)</f>
        <v>0.10865416078985408</v>
      </c>
      <c r="K84" s="128">
        <f t="shared" ref="K84:N84" si="28">AVERAGE(H84:J84)</f>
        <v>0.10771711103706473</v>
      </c>
      <c r="L84" s="128">
        <f t="shared" si="28"/>
        <v>0.11248036691954581</v>
      </c>
      <c r="M84" s="128">
        <f t="shared" si="28"/>
        <v>0.1096172129154882</v>
      </c>
      <c r="N84" s="128">
        <f t="shared" si="28"/>
        <v>0.10993823029069959</v>
      </c>
    </row>
    <row r="85" spans="1:14" s="43" customFormat="1" x14ac:dyDescent="0.3"/>
    <row r="86" spans="1:14" x14ac:dyDescent="0.3">
      <c r="A86" s="14" t="s">
        <v>34</v>
      </c>
      <c r="B86" s="42" t="s">
        <v>96</v>
      </c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</row>
    <row r="87" spans="1:14" s="43" customFormat="1" x14ac:dyDescent="0.3"/>
    <row r="88" spans="1:14" s="43" customFormat="1" x14ac:dyDescent="0.3">
      <c r="B88" s="43" t="s">
        <v>266</v>
      </c>
      <c r="G88" s="162"/>
      <c r="H88" s="162"/>
      <c r="I88" s="162"/>
      <c r="J88" s="118">
        <f>Statements!I83</f>
        <v>261300</v>
      </c>
      <c r="K88" s="118">
        <f>Statements!J83</f>
        <v>211300</v>
      </c>
      <c r="L88" s="118">
        <f>Statements!K83</f>
        <v>171300</v>
      </c>
      <c r="M88" s="118">
        <f>Statements!L83</f>
        <v>131300</v>
      </c>
      <c r="N88" s="118">
        <f>Statements!M83</f>
        <v>91300</v>
      </c>
    </row>
    <row r="89" spans="1:14" s="43" customFormat="1" x14ac:dyDescent="0.3">
      <c r="B89" s="109" t="s">
        <v>264</v>
      </c>
      <c r="G89" s="162"/>
      <c r="H89" s="162"/>
      <c r="I89" s="162"/>
      <c r="J89" s="118">
        <v>0</v>
      </c>
      <c r="K89" s="118">
        <v>0</v>
      </c>
      <c r="L89" s="118">
        <v>0</v>
      </c>
      <c r="M89" s="118">
        <v>0</v>
      </c>
      <c r="N89" s="118">
        <v>0</v>
      </c>
    </row>
    <row r="90" spans="1:14" s="43" customFormat="1" x14ac:dyDescent="0.3">
      <c r="B90" s="109" t="s">
        <v>298</v>
      </c>
      <c r="G90" s="162"/>
      <c r="H90" s="162"/>
      <c r="I90" s="162"/>
      <c r="J90" s="118">
        <v>50000</v>
      </c>
      <c r="K90" s="118">
        <v>40000</v>
      </c>
      <c r="L90" s="118">
        <v>40000</v>
      </c>
      <c r="M90" s="118">
        <v>40000</v>
      </c>
      <c r="N90" s="118">
        <v>40000</v>
      </c>
    </row>
    <row r="91" spans="1:14" s="43" customFormat="1" x14ac:dyDescent="0.3">
      <c r="B91" s="112" t="s">
        <v>265</v>
      </c>
      <c r="C91" s="112"/>
      <c r="D91" s="112"/>
      <c r="E91" s="112"/>
      <c r="F91" s="112"/>
      <c r="G91" s="163"/>
      <c r="H91" s="163"/>
      <c r="I91" s="163"/>
      <c r="J91" s="160">
        <f>J88+J89-J90</f>
        <v>211300</v>
      </c>
      <c r="K91" s="160">
        <f t="shared" ref="K91:N91" si="29">K88+K89-K90</f>
        <v>171300</v>
      </c>
      <c r="L91" s="160">
        <f t="shared" si="29"/>
        <v>131300</v>
      </c>
      <c r="M91" s="160">
        <f t="shared" si="29"/>
        <v>91300</v>
      </c>
      <c r="N91" s="160">
        <f t="shared" si="29"/>
        <v>51300</v>
      </c>
    </row>
    <row r="92" spans="1:14" s="43" customFormat="1" x14ac:dyDescent="0.3">
      <c r="B92" s="112"/>
      <c r="C92" s="112"/>
      <c r="D92" s="112"/>
      <c r="E92" s="112"/>
      <c r="F92" s="112"/>
      <c r="G92" s="163"/>
      <c r="H92" s="163"/>
      <c r="I92" s="163"/>
      <c r="J92" s="119"/>
      <c r="K92" s="119"/>
      <c r="L92" s="119"/>
      <c r="M92" s="119"/>
      <c r="N92" s="119"/>
    </row>
    <row r="93" spans="1:14" s="43" customFormat="1" x14ac:dyDescent="0.3">
      <c r="B93" s="43" t="s">
        <v>300</v>
      </c>
      <c r="C93" s="112"/>
      <c r="D93" s="43" t="s">
        <v>269</v>
      </c>
      <c r="E93" s="112"/>
      <c r="F93" s="112"/>
      <c r="G93" s="163"/>
      <c r="H93" s="163"/>
      <c r="I93" s="163"/>
      <c r="J93" s="64">
        <v>4.53E-2</v>
      </c>
      <c r="K93" s="64">
        <v>4.4999999999999998E-2</v>
      </c>
      <c r="L93" s="64">
        <v>4.2999999999999997E-2</v>
      </c>
      <c r="M93" s="64">
        <v>4.2500000000000003E-2</v>
      </c>
      <c r="N93" s="64">
        <v>4.1500000000000002E-2</v>
      </c>
    </row>
    <row r="94" spans="1:14" s="43" customFormat="1" x14ac:dyDescent="0.3">
      <c r="B94" s="43" t="s">
        <v>268</v>
      </c>
      <c r="C94" s="112"/>
      <c r="G94" s="162"/>
      <c r="H94" s="163"/>
      <c r="I94" s="163"/>
      <c r="J94" s="64">
        <f>J93+2.25%</f>
        <v>6.7799999999999999E-2</v>
      </c>
      <c r="K94" s="64">
        <f t="shared" ref="K94:N94" si="30">K93+2.25%</f>
        <v>6.7500000000000004E-2</v>
      </c>
      <c r="L94" s="64">
        <f t="shared" si="30"/>
        <v>6.5500000000000003E-2</v>
      </c>
      <c r="M94" s="64">
        <f t="shared" si="30"/>
        <v>6.5000000000000002E-2</v>
      </c>
      <c r="N94" s="64">
        <f t="shared" si="30"/>
        <v>6.4000000000000001E-2</v>
      </c>
    </row>
    <row r="95" spans="1:14" s="43" customFormat="1" x14ac:dyDescent="0.3">
      <c r="B95" s="43" t="s">
        <v>267</v>
      </c>
      <c r="C95" s="112"/>
      <c r="D95" s="112"/>
      <c r="E95" s="112"/>
      <c r="F95" s="112"/>
      <c r="G95" s="163"/>
      <c r="H95" s="163"/>
      <c r="I95" s="163"/>
      <c r="J95" s="118">
        <f>AVERAGE(J88,J91)*J94</f>
        <v>16021.14</v>
      </c>
      <c r="K95" s="118">
        <f t="shared" ref="K95:N95" si="31">AVERAGE(K88,K91)*K94</f>
        <v>12912.75</v>
      </c>
      <c r="L95" s="118">
        <f t="shared" si="31"/>
        <v>9910.15</v>
      </c>
      <c r="M95" s="118">
        <f t="shared" si="31"/>
        <v>7234.5</v>
      </c>
      <c r="N95" s="118">
        <f t="shared" si="31"/>
        <v>4563.2</v>
      </c>
    </row>
    <row r="96" spans="1:14" s="43" customFormat="1" x14ac:dyDescent="0.3">
      <c r="G96" s="162"/>
      <c r="H96" s="162"/>
      <c r="I96" s="162"/>
    </row>
    <row r="97" spans="1:15" s="43" customFormat="1" x14ac:dyDescent="0.3">
      <c r="B97" s="43" t="s">
        <v>302</v>
      </c>
      <c r="G97" s="162"/>
      <c r="H97" s="162"/>
      <c r="I97" s="162"/>
      <c r="J97" s="118">
        <f ca="1">Statements!J117+Statements!J123</f>
        <v>68088.646845935655</v>
      </c>
      <c r="K97" s="118">
        <f ca="1">Statements!K117+Statements!K123</f>
        <v>60294.015382915561</v>
      </c>
      <c r="L97" s="118">
        <f ca="1">Statements!L117+Statements!L123</f>
        <v>52389.841860606393</v>
      </c>
      <c r="M97" s="118">
        <f ca="1">Statements!M117+Statements!M123</f>
        <v>54178.686161464488</v>
      </c>
      <c r="N97" s="118">
        <f ca="1">Statements!N117+Statements!N123</f>
        <v>48896.838925092394</v>
      </c>
    </row>
    <row r="98" spans="1:15" s="43" customFormat="1" x14ac:dyDescent="0.3">
      <c r="B98" s="109" t="s">
        <v>303</v>
      </c>
      <c r="G98" s="162"/>
      <c r="H98" s="162"/>
      <c r="I98" s="162"/>
      <c r="J98" s="118">
        <v>-2000</v>
      </c>
      <c r="K98" s="118">
        <v>-1999</v>
      </c>
      <c r="L98" s="118">
        <v>-1998</v>
      </c>
      <c r="M98" s="118">
        <v>-1997</v>
      </c>
      <c r="N98" s="118">
        <v>-1996</v>
      </c>
      <c r="O98" s="118"/>
    </row>
    <row r="99" spans="1:15" s="43" customFormat="1" x14ac:dyDescent="0.3">
      <c r="B99" s="112" t="s">
        <v>304</v>
      </c>
      <c r="G99" s="162"/>
      <c r="H99" s="162"/>
      <c r="I99" s="162"/>
      <c r="J99" s="119">
        <f ca="1">SUM(J97:J98)</f>
        <v>66088.646845935655</v>
      </c>
      <c r="K99" s="119">
        <f t="shared" ref="K99:N99" ca="1" si="32">SUM(K97:K98)</f>
        <v>58295.015382915561</v>
      </c>
      <c r="L99" s="119">
        <f t="shared" ca="1" si="32"/>
        <v>50391.841860606393</v>
      </c>
      <c r="M99" s="119">
        <f t="shared" ca="1" si="32"/>
        <v>52181.686161464488</v>
      </c>
      <c r="N99" s="119">
        <f t="shared" ca="1" si="32"/>
        <v>46900.838925092394</v>
      </c>
      <c r="O99" s="118"/>
    </row>
    <row r="100" spans="1:15" s="43" customFormat="1" x14ac:dyDescent="0.3">
      <c r="B100" s="109" t="s">
        <v>306</v>
      </c>
      <c r="G100" s="162"/>
      <c r="H100" s="162"/>
      <c r="I100" s="162"/>
      <c r="J100" s="118">
        <f>-J90</f>
        <v>-50000</v>
      </c>
      <c r="K100" s="118">
        <f t="shared" ref="K100:N100" si="33">-K90</f>
        <v>-40000</v>
      </c>
      <c r="L100" s="118">
        <f t="shared" si="33"/>
        <v>-40000</v>
      </c>
      <c r="M100" s="118">
        <f t="shared" si="33"/>
        <v>-40000</v>
      </c>
      <c r="N100" s="118">
        <f t="shared" si="33"/>
        <v>-40000</v>
      </c>
      <c r="O100" s="118"/>
    </row>
    <row r="101" spans="1:15" s="43" customFormat="1" x14ac:dyDescent="0.3">
      <c r="B101" s="109" t="s">
        <v>307</v>
      </c>
      <c r="G101" s="162"/>
      <c r="H101" s="162"/>
      <c r="I101" s="162"/>
      <c r="J101" s="118">
        <f>-J95</f>
        <v>-16021.14</v>
      </c>
      <c r="K101" s="118">
        <f t="shared" ref="K101:N101" si="34">-K95</f>
        <v>-12912.75</v>
      </c>
      <c r="L101" s="118">
        <f t="shared" si="34"/>
        <v>-9910.15</v>
      </c>
      <c r="M101" s="118">
        <f t="shared" si="34"/>
        <v>-7234.5</v>
      </c>
      <c r="N101" s="118">
        <f t="shared" si="34"/>
        <v>-4563.2</v>
      </c>
      <c r="O101" s="118"/>
    </row>
    <row r="102" spans="1:15" s="43" customFormat="1" x14ac:dyDescent="0.3">
      <c r="B102" s="112" t="s">
        <v>308</v>
      </c>
      <c r="G102" s="162"/>
      <c r="H102" s="162"/>
      <c r="I102" s="162"/>
      <c r="J102" s="160">
        <f ca="1">SUM(J99:J101)</f>
        <v>67.506845935655292</v>
      </c>
      <c r="K102" s="160">
        <f t="shared" ref="K102:N102" ca="1" si="35">SUM(K99:K101)</f>
        <v>5382.2653829155606</v>
      </c>
      <c r="L102" s="160">
        <f t="shared" ca="1" si="35"/>
        <v>481.69186060639367</v>
      </c>
      <c r="M102" s="160">
        <f t="shared" ca="1" si="35"/>
        <v>4947.1861614644877</v>
      </c>
      <c r="N102" s="160">
        <f t="shared" ca="1" si="35"/>
        <v>2337.6389250923939</v>
      </c>
      <c r="O102" s="118"/>
    </row>
    <row r="103" spans="1:15" s="43" customFormat="1" x14ac:dyDescent="0.3">
      <c r="G103" s="162"/>
      <c r="H103" s="162"/>
      <c r="I103" s="162"/>
      <c r="J103" s="118"/>
      <c r="K103" s="118"/>
      <c r="L103" s="118"/>
      <c r="M103" s="118"/>
      <c r="N103" s="118"/>
      <c r="O103" s="118"/>
    </row>
    <row r="104" spans="1:15" s="43" customFormat="1" x14ac:dyDescent="0.3">
      <c r="B104" s="43" t="s">
        <v>296</v>
      </c>
      <c r="G104" s="162"/>
      <c r="H104" s="162"/>
      <c r="I104" s="162"/>
      <c r="J104" s="43">
        <f>Statements!I82</f>
        <v>0</v>
      </c>
      <c r="K104" s="118">
        <f ca="1">J107</f>
        <v>0</v>
      </c>
      <c r="L104" s="118">
        <f t="shared" ref="L104:N104" ca="1" si="36">K107</f>
        <v>0</v>
      </c>
      <c r="M104" s="118">
        <f t="shared" ca="1" si="36"/>
        <v>0</v>
      </c>
      <c r="N104" s="118">
        <f t="shared" ca="1" si="36"/>
        <v>0</v>
      </c>
    </row>
    <row r="105" spans="1:15" s="43" customFormat="1" x14ac:dyDescent="0.3">
      <c r="B105" s="109" t="s">
        <v>305</v>
      </c>
      <c r="G105" s="162"/>
      <c r="H105" s="162"/>
      <c r="I105" s="162"/>
      <c r="J105" s="118">
        <f ca="1">IF(J102&lt;0,-J102,0)</f>
        <v>0</v>
      </c>
      <c r="K105" s="118">
        <f t="shared" ref="K105:N105" ca="1" si="37">IF(K102&lt;0,-K102,0)</f>
        <v>0</v>
      </c>
      <c r="L105" s="118">
        <f t="shared" ca="1" si="37"/>
        <v>0</v>
      </c>
      <c r="M105" s="118">
        <f t="shared" ca="1" si="37"/>
        <v>0</v>
      </c>
      <c r="N105" s="118">
        <f t="shared" ca="1" si="37"/>
        <v>0</v>
      </c>
    </row>
    <row r="106" spans="1:15" s="43" customFormat="1" x14ac:dyDescent="0.3">
      <c r="B106" s="109" t="s">
        <v>299</v>
      </c>
      <c r="G106" s="162"/>
      <c r="H106" s="162"/>
      <c r="I106" s="162"/>
      <c r="J106" s="118">
        <f ca="1">IF(J102&gt;0,MIN(J102,J104),0)</f>
        <v>0</v>
      </c>
      <c r="K106" s="118">
        <f ca="1">IF(K102&gt;0,-MIN(K102,K104),0)</f>
        <v>0</v>
      </c>
      <c r="L106" s="118">
        <f t="shared" ref="L106:N106" ca="1" si="38">IF(L102&gt;0,-MIN(L102,L104),0)</f>
        <v>0</v>
      </c>
      <c r="M106" s="118">
        <f t="shared" ca="1" si="38"/>
        <v>0</v>
      </c>
      <c r="N106" s="118">
        <f t="shared" ca="1" si="38"/>
        <v>0</v>
      </c>
    </row>
    <row r="107" spans="1:15" s="43" customFormat="1" x14ac:dyDescent="0.3">
      <c r="B107" s="112" t="s">
        <v>297</v>
      </c>
      <c r="G107" s="162"/>
      <c r="H107" s="162"/>
      <c r="I107" s="162"/>
      <c r="J107" s="160">
        <f ca="1">SUM(J104:J106)</f>
        <v>0</v>
      </c>
      <c r="K107" s="160">
        <f t="shared" ref="K107:N107" ca="1" si="39">SUM(K104:K106)</f>
        <v>0</v>
      </c>
      <c r="L107" s="160">
        <f t="shared" ca="1" si="39"/>
        <v>0</v>
      </c>
      <c r="M107" s="160">
        <f t="shared" ca="1" si="39"/>
        <v>0</v>
      </c>
      <c r="N107" s="160">
        <f t="shared" ca="1" si="39"/>
        <v>0</v>
      </c>
    </row>
    <row r="108" spans="1:15" s="43" customFormat="1" x14ac:dyDescent="0.3">
      <c r="G108" s="162"/>
      <c r="H108" s="162"/>
      <c r="I108" s="162"/>
    </row>
    <row r="109" spans="1:15" s="43" customFormat="1" x14ac:dyDescent="0.3">
      <c r="B109" s="43" t="s">
        <v>268</v>
      </c>
      <c r="D109" s="43" t="s">
        <v>310</v>
      </c>
      <c r="G109" s="162"/>
      <c r="H109" s="162"/>
      <c r="I109" s="162"/>
      <c r="J109" s="157">
        <f>J93+1.25%</f>
        <v>5.7800000000000004E-2</v>
      </c>
      <c r="K109" s="157">
        <f t="shared" ref="K109:N109" si="40">K93+1.25%</f>
        <v>5.7499999999999996E-2</v>
      </c>
      <c r="L109" s="157">
        <f t="shared" si="40"/>
        <v>5.5499999999999994E-2</v>
      </c>
      <c r="M109" s="157">
        <f t="shared" si="40"/>
        <v>5.5000000000000007E-2</v>
      </c>
      <c r="N109" s="157">
        <f t="shared" si="40"/>
        <v>5.4000000000000006E-2</v>
      </c>
    </row>
    <row r="110" spans="1:15" s="43" customFormat="1" x14ac:dyDescent="0.3">
      <c r="B110" s="43" t="s">
        <v>309</v>
      </c>
      <c r="G110" s="162"/>
      <c r="H110" s="162"/>
      <c r="I110" s="162"/>
      <c r="J110" s="118">
        <f ca="1">AVERAGE(J104,J107)*J109</f>
        <v>0</v>
      </c>
      <c r="K110" s="118">
        <f t="shared" ref="K110:N110" ca="1" si="41">AVERAGE(K104,K107)*K109</f>
        <v>0</v>
      </c>
      <c r="L110" s="118">
        <f t="shared" ca="1" si="41"/>
        <v>0</v>
      </c>
      <c r="M110" s="118">
        <f t="shared" ca="1" si="41"/>
        <v>0</v>
      </c>
      <c r="N110" s="118">
        <f t="shared" ca="1" si="41"/>
        <v>0</v>
      </c>
    </row>
    <row r="111" spans="1:15" s="43" customFormat="1" x14ac:dyDescent="0.3"/>
    <row r="112" spans="1:15" x14ac:dyDescent="0.3">
      <c r="A112" s="14" t="s">
        <v>34</v>
      </c>
      <c r="B112" s="42" t="s">
        <v>97</v>
      </c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</row>
    <row r="114" spans="2:14" x14ac:dyDescent="0.3">
      <c r="B114" s="14" t="s">
        <v>273</v>
      </c>
      <c r="G114" s="156"/>
      <c r="H114" s="156"/>
      <c r="I114" s="156"/>
      <c r="J114" s="48">
        <f>Statements!I95</f>
        <v>-2499</v>
      </c>
      <c r="K114" s="48">
        <f ca="1">J117</f>
        <v>26036.67325626835</v>
      </c>
      <c r="L114" s="48">
        <f t="shared" ref="L114:N114" ca="1" si="42">K117</f>
        <v>55496.073376758679</v>
      </c>
      <c r="M114" s="48">
        <f t="shared" ca="1" si="42"/>
        <v>84282.418513320445</v>
      </c>
      <c r="N114" s="48">
        <f t="shared" ca="1" si="42"/>
        <v>114856.96982126341</v>
      </c>
    </row>
    <row r="115" spans="2:14" x14ac:dyDescent="0.3">
      <c r="B115" s="47" t="s">
        <v>274</v>
      </c>
      <c r="G115" s="156"/>
      <c r="H115" s="156"/>
      <c r="I115" s="156"/>
      <c r="J115" s="48">
        <f ca="1">Statements!J45</f>
        <v>30035.67325626835</v>
      </c>
      <c r="K115" s="48">
        <f ca="1">Statements!K45</f>
        <v>30959.400120490329</v>
      </c>
      <c r="L115" s="48">
        <f ca="1">Statements!L45</f>
        <v>30286.345136561773</v>
      </c>
      <c r="M115" s="48">
        <f ca="1">Statements!M45</f>
        <v>32074.551307942962</v>
      </c>
      <c r="N115" s="48">
        <f ca="1">Statements!N45</f>
        <v>31795.920737326123</v>
      </c>
    </row>
    <row r="116" spans="2:14" x14ac:dyDescent="0.3">
      <c r="B116" s="47" t="s">
        <v>280</v>
      </c>
      <c r="G116" s="156"/>
      <c r="H116" s="156"/>
      <c r="I116" s="156"/>
      <c r="J116" s="48">
        <v>-1500</v>
      </c>
      <c r="K116" s="48">
        <v>-1500</v>
      </c>
      <c r="L116" s="48">
        <v>-1500</v>
      </c>
      <c r="M116" s="48">
        <v>-1500</v>
      </c>
      <c r="N116" s="48">
        <v>-1500</v>
      </c>
    </row>
    <row r="117" spans="2:14" x14ac:dyDescent="0.3">
      <c r="B117" s="41" t="s">
        <v>275</v>
      </c>
      <c r="C117" s="41"/>
      <c r="D117" s="41"/>
      <c r="E117" s="41"/>
      <c r="F117" s="41"/>
      <c r="G117" s="164"/>
      <c r="H117" s="164"/>
      <c r="I117" s="164"/>
      <c r="J117" s="161">
        <f ca="1">SUM(J114:J116)</f>
        <v>26036.67325626835</v>
      </c>
      <c r="K117" s="161">
        <f t="shared" ref="K117:N117" ca="1" si="43">SUM(K114:K116)</f>
        <v>55496.073376758679</v>
      </c>
      <c r="L117" s="161">
        <f t="shared" ca="1" si="43"/>
        <v>84282.418513320445</v>
      </c>
      <c r="M117" s="161">
        <f t="shared" ca="1" si="43"/>
        <v>114856.96982126341</v>
      </c>
      <c r="N117" s="161">
        <f t="shared" ca="1" si="43"/>
        <v>145152.89055858954</v>
      </c>
    </row>
    <row r="119" spans="2:14" x14ac:dyDescent="0.3">
      <c r="B119" s="14" t="s">
        <v>276</v>
      </c>
      <c r="J119" s="130">
        <f>Statements!I94</f>
        <v>0</v>
      </c>
      <c r="K119" s="130">
        <f ca="1">J121</f>
        <v>7699.8803616067371</v>
      </c>
      <c r="L119" s="130">
        <f t="shared" ref="L119:N119" ca="1" si="44">K121</f>
        <v>17377.666540002443</v>
      </c>
      <c r="M119" s="130">
        <f t="shared" ca="1" si="44"/>
        <v>27193.66807090435</v>
      </c>
      <c r="N119" s="130">
        <f t="shared" ca="1" si="44"/>
        <v>36741.838590601939</v>
      </c>
    </row>
    <row r="120" spans="2:14" x14ac:dyDescent="0.3">
      <c r="B120" s="47" t="s">
        <v>277</v>
      </c>
      <c r="G120" s="130">
        <v>6548</v>
      </c>
      <c r="H120" s="130">
        <v>5546</v>
      </c>
      <c r="I120" s="130">
        <v>8701</v>
      </c>
      <c r="J120" s="130">
        <f ca="1">J123*Statements!J45</f>
        <v>7699.8803616067371</v>
      </c>
      <c r="K120" s="130">
        <f ca="1">K123*Statements!K45</f>
        <v>9677.7861783957069</v>
      </c>
      <c r="L120" s="130">
        <f ca="1">L123*Statements!L45</f>
        <v>9816.0015309019054</v>
      </c>
      <c r="M120" s="130">
        <f ca="1">M123*Statements!M45</f>
        <v>9548.1705196975872</v>
      </c>
      <c r="N120" s="130">
        <f ca="1">N123*Statements!N45</f>
        <v>9903.2566338306951</v>
      </c>
    </row>
    <row r="121" spans="2:14" x14ac:dyDescent="0.3">
      <c r="B121" s="41" t="s">
        <v>278</v>
      </c>
      <c r="J121" s="159">
        <f ca="1">SUM(J119:J120)</f>
        <v>7699.8803616067371</v>
      </c>
      <c r="K121" s="159">
        <f t="shared" ref="K121:N121" ca="1" si="45">SUM(K119:K120)</f>
        <v>17377.666540002443</v>
      </c>
      <c r="L121" s="159">
        <f t="shared" ca="1" si="45"/>
        <v>27193.66807090435</v>
      </c>
      <c r="M121" s="159">
        <f t="shared" ca="1" si="45"/>
        <v>36741.838590601939</v>
      </c>
      <c r="N121" s="159">
        <f t="shared" ca="1" si="45"/>
        <v>46645.095224432633</v>
      </c>
    </row>
    <row r="123" spans="2:14" x14ac:dyDescent="0.3">
      <c r="B123" s="14" t="s">
        <v>279</v>
      </c>
      <c r="G123" s="127">
        <f>G120/Statements!G45</f>
        <v>8.7643216618481637E-2</v>
      </c>
      <c r="H123" s="127">
        <f>H120/Statements!H45</f>
        <v>0.27806467786412636</v>
      </c>
      <c r="I123" s="127">
        <f>I120/Statements!I45</f>
        <v>0.4033656297807241</v>
      </c>
      <c r="J123" s="143">
        <f>AVERAGE(G123:I123)</f>
        <v>0.25635784142111068</v>
      </c>
      <c r="K123" s="143">
        <f t="shared" ref="K123:N123" si="46">AVERAGE(H123:J123)</f>
        <v>0.31259604968865373</v>
      </c>
      <c r="L123" s="143">
        <f t="shared" si="46"/>
        <v>0.32410650696349613</v>
      </c>
      <c r="M123" s="143">
        <f t="shared" si="46"/>
        <v>0.2976867993577535</v>
      </c>
      <c r="N123" s="143">
        <f t="shared" si="46"/>
        <v>0.31146311866996773</v>
      </c>
    </row>
    <row r="125" spans="2:14" x14ac:dyDescent="0.3">
      <c r="B125" s="142" t="s">
        <v>52</v>
      </c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</row>
  </sheetData>
  <mergeCells count="2">
    <mergeCell ref="G6:I6"/>
    <mergeCell ref="J6:N6"/>
  </mergeCells>
  <hyperlinks>
    <hyperlink ref="B125" location="Schedule!A8" display="&lt;- Go back to the top" xr:uid="{BD6AFDFD-951C-4A5E-A975-D7F35E747FA9}"/>
    <hyperlink ref="C11" location="PPE" display="PPE and intangibles" xr:uid="{9C001D6F-D977-4DF9-864F-BDB9D1C3F2FD}"/>
    <hyperlink ref="E11" location="WC" display="Working capital" xr:uid="{28CDD9BD-1EBF-40C9-9D76-0DAF9E639C3C}"/>
    <hyperlink ref="G11" location="Equity" display="Equity schedule" xr:uid="{D4AC04A9-C57A-4530-823C-62342D2E543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A7E9B-182C-4605-86F7-8C19CB228200}">
  <sheetPr>
    <tabColor rgb="FF00004D"/>
  </sheetPr>
  <dimension ref="A1"/>
  <sheetViews>
    <sheetView showGridLines="0" workbookViewId="0">
      <selection activeCell="I13" sqref="I13"/>
    </sheetView>
  </sheetViews>
  <sheetFormatPr defaultRowHeight="14.4" x14ac:dyDescent="0.3"/>
  <sheetData>
    <row r="1" spans="1:1" x14ac:dyDescent="0.3">
      <c r="A1" t="s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E7110-6571-4E63-B74B-852FE0B133C5}">
  <dimension ref="B2:O373"/>
  <sheetViews>
    <sheetView showGridLines="0" topLeftCell="A19" zoomScaleNormal="100" workbookViewId="0">
      <selection activeCell="H19" sqref="H19"/>
    </sheetView>
  </sheetViews>
  <sheetFormatPr defaultRowHeight="13.8" x14ac:dyDescent="0.3"/>
  <cols>
    <col min="1" max="1" width="1.88671875" style="14" customWidth="1"/>
    <col min="2" max="2" width="31.109375" style="14" customWidth="1"/>
    <col min="3" max="3" width="11" style="14" customWidth="1"/>
    <col min="4" max="4" width="11.44140625" style="14" customWidth="1"/>
    <col min="5" max="5" width="11.109375" style="14" customWidth="1"/>
    <col min="6" max="6" width="11.88671875" style="14" bestFit="1" customWidth="1"/>
    <col min="7" max="7" width="15.109375" style="14" bestFit="1" customWidth="1"/>
    <col min="8" max="11" width="8.88671875" style="14"/>
    <col min="12" max="12" width="9.21875" style="14" bestFit="1" customWidth="1"/>
    <col min="13" max="16384" width="8.88671875" style="14"/>
  </cols>
  <sheetData>
    <row r="2" spans="2:15" s="22" customFormat="1" ht="15.6" x14ac:dyDescent="0.3">
      <c r="B2" s="24" t="str">
        <f>Dashboard!B2</f>
        <v>Denny's Diner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14"/>
      <c r="N2" s="14"/>
      <c r="O2" s="14"/>
    </row>
    <row r="3" spans="2:15" s="22" customFormat="1" ht="14.4" x14ac:dyDescent="0.3">
      <c r="B3" s="60" t="s">
        <v>50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14"/>
      <c r="N3" s="14"/>
      <c r="O3" s="14"/>
    </row>
    <row r="4" spans="2:15" s="22" customFormat="1" ht="14.4" x14ac:dyDescent="0.3">
      <c r="B4" s="75" t="s">
        <v>327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14"/>
      <c r="N4" s="14"/>
      <c r="O4" s="14"/>
    </row>
    <row r="5" spans="2:15" s="22" customFormat="1" ht="14.4" x14ac:dyDescent="0.3">
      <c r="B5" s="11" t="s">
        <v>38</v>
      </c>
      <c r="C5" s="11" t="str">
        <f>Dashboard!G13</f>
        <v>Street</v>
      </c>
      <c r="D5" s="25"/>
      <c r="E5" s="25"/>
      <c r="F5" s="25"/>
      <c r="G5" s="25"/>
      <c r="H5" s="25"/>
      <c r="I5" s="25"/>
      <c r="J5" s="25"/>
      <c r="K5" s="25"/>
      <c r="L5" s="25"/>
      <c r="M5" s="14"/>
      <c r="N5" s="14"/>
      <c r="O5" s="14"/>
    </row>
    <row r="6" spans="2:15" s="22" customFormat="1" ht="14.4" x14ac:dyDescent="0.3">
      <c r="B6" s="26"/>
      <c r="C6" s="49"/>
      <c r="D6" s="49"/>
      <c r="E6" s="11"/>
      <c r="F6" s="28"/>
      <c r="G6" s="28"/>
      <c r="H6" s="28"/>
      <c r="I6" s="28"/>
      <c r="J6" s="28"/>
      <c r="K6" s="28"/>
      <c r="L6" s="28"/>
      <c r="M6" s="14"/>
      <c r="N6" s="14"/>
      <c r="O6" s="14"/>
    </row>
    <row r="8" spans="2:15" ht="14.4" x14ac:dyDescent="0.3">
      <c r="B8" s="38" t="s">
        <v>47</v>
      </c>
    </row>
    <row r="9" spans="2:15" ht="14.4" x14ac:dyDescent="0.3">
      <c r="B9" s="38"/>
    </row>
    <row r="10" spans="2:15" x14ac:dyDescent="0.3">
      <c r="B10" s="191" t="s">
        <v>313</v>
      </c>
      <c r="C10" s="191" t="s">
        <v>316</v>
      </c>
      <c r="D10" s="191" t="s">
        <v>317</v>
      </c>
      <c r="E10" s="192" t="s">
        <v>349</v>
      </c>
      <c r="F10" s="193" t="s">
        <v>350</v>
      </c>
      <c r="G10" s="194" t="s">
        <v>351</v>
      </c>
      <c r="H10" s="54"/>
      <c r="I10" s="53"/>
      <c r="J10" s="53"/>
      <c r="L10" s="55"/>
    </row>
    <row r="11" spans="2:15" ht="14.4" x14ac:dyDescent="0.3">
      <c r="B11" s="198"/>
      <c r="C11" s="199"/>
      <c r="D11" s="200"/>
      <c r="E11" s="201"/>
      <c r="F11" s="198"/>
      <c r="G11" s="199"/>
      <c r="H11" s="54"/>
      <c r="I11" s="53"/>
      <c r="J11" s="53"/>
      <c r="L11" s="55"/>
    </row>
    <row r="12" spans="2:15" x14ac:dyDescent="0.3">
      <c r="B12" s="50" t="s">
        <v>361</v>
      </c>
      <c r="C12" s="202">
        <f>Comp_Comps!F22</f>
        <v>328.83749999999998</v>
      </c>
      <c r="D12" s="203">
        <f>Comp_Comps!G22</f>
        <v>211.3</v>
      </c>
      <c r="E12" s="204">
        <v>0.25</v>
      </c>
      <c r="F12" s="205">
        <v>1.37</v>
      </c>
      <c r="G12" s="202">
        <f>F12/(1+(1-E12)*(D12/C12))</f>
        <v>0.92447325894574839</v>
      </c>
      <c r="H12" s="54"/>
      <c r="I12" s="53"/>
      <c r="J12" s="53"/>
      <c r="L12" s="55"/>
    </row>
    <row r="13" spans="2:15" x14ac:dyDescent="0.3">
      <c r="B13" s="50" t="s">
        <v>325</v>
      </c>
      <c r="C13" s="202">
        <f>Comp_Comps!F15</f>
        <v>367.16399999999999</v>
      </c>
      <c r="D13" s="203">
        <f>Comp_Comps!G15</f>
        <v>1600</v>
      </c>
      <c r="E13" s="204">
        <v>0.25</v>
      </c>
      <c r="F13" s="205">
        <v>0.94</v>
      </c>
      <c r="G13" s="202">
        <f t="shared" ref="G13:G18" si="0">F13/(1+(1-E13)*(D13/C13))</f>
        <v>0.22022848916897017</v>
      </c>
      <c r="H13" s="54"/>
      <c r="I13" s="53"/>
      <c r="J13" s="53"/>
      <c r="L13" s="55"/>
    </row>
    <row r="14" spans="2:15" x14ac:dyDescent="0.3">
      <c r="B14" s="50" t="s">
        <v>329</v>
      </c>
      <c r="C14" s="202">
        <f>Comp_Comps!F16</f>
        <v>617.53049999999996</v>
      </c>
      <c r="D14" s="203">
        <f>Comp_Comps!G16</f>
        <v>1210</v>
      </c>
      <c r="E14" s="204">
        <v>0.25</v>
      </c>
      <c r="F14" s="205">
        <v>1.22</v>
      </c>
      <c r="G14" s="202">
        <f t="shared" si="0"/>
        <v>0.49401451970960575</v>
      </c>
      <c r="H14" s="54"/>
      <c r="I14" s="53"/>
      <c r="J14" s="53"/>
      <c r="L14" s="55"/>
    </row>
    <row r="15" spans="2:15" x14ac:dyDescent="0.3">
      <c r="B15" s="50" t="s">
        <v>331</v>
      </c>
      <c r="C15" s="202">
        <f>Comp_Comps!F17</f>
        <v>11305.035000000002</v>
      </c>
      <c r="D15" s="203">
        <f>Comp_Comps!G17</f>
        <v>976.76</v>
      </c>
      <c r="E15" s="204">
        <v>0.25</v>
      </c>
      <c r="F15" s="205">
        <v>0.87</v>
      </c>
      <c r="G15" s="202">
        <f t="shared" si="0"/>
        <v>0.81705459267021974</v>
      </c>
      <c r="H15" s="54"/>
      <c r="I15" s="53"/>
      <c r="J15" s="53"/>
      <c r="L15" s="55"/>
    </row>
    <row r="16" spans="2:15" x14ac:dyDescent="0.3">
      <c r="B16" s="50" t="s">
        <v>333</v>
      </c>
      <c r="C16" s="202">
        <f>Comp_Comps!F18</f>
        <v>6275.7375000000002</v>
      </c>
      <c r="D16" s="203">
        <f>Comp_Comps!G18</f>
        <v>1760</v>
      </c>
      <c r="E16" s="204">
        <v>0.25</v>
      </c>
      <c r="F16" s="205">
        <v>1.36</v>
      </c>
      <c r="G16" s="202">
        <f t="shared" si="0"/>
        <v>1.1236569194235584</v>
      </c>
      <c r="H16" s="54"/>
      <c r="I16" s="53"/>
      <c r="J16" s="53"/>
      <c r="L16" s="55"/>
    </row>
    <row r="17" spans="2:12" x14ac:dyDescent="0.3">
      <c r="B17" s="50" t="s">
        <v>335</v>
      </c>
      <c r="C17" s="202">
        <f>Comp_Comps!F19</f>
        <v>23079.3933</v>
      </c>
      <c r="D17" s="203">
        <f>Comp_Comps!G19</f>
        <v>8350</v>
      </c>
      <c r="E17" s="204">
        <v>0.25</v>
      </c>
      <c r="F17" s="205">
        <v>0.6</v>
      </c>
      <c r="G17" s="202">
        <f t="shared" si="0"/>
        <v>0.47194077895443781</v>
      </c>
      <c r="H17" s="54"/>
      <c r="I17" s="53"/>
      <c r="J17" s="53"/>
      <c r="L17" s="55"/>
    </row>
    <row r="18" spans="2:12" x14ac:dyDescent="0.3">
      <c r="B18" s="50" t="s">
        <v>337</v>
      </c>
      <c r="C18" s="202">
        <f>Comp_Comps!F20</f>
        <v>1185.0971999999999</v>
      </c>
      <c r="D18" s="203">
        <f>Comp_Comps!G20</f>
        <v>937.1</v>
      </c>
      <c r="E18" s="204">
        <v>0.25</v>
      </c>
      <c r="F18" s="205">
        <v>1.24</v>
      </c>
      <c r="G18" s="202">
        <f t="shared" si="0"/>
        <v>0.77837981247320465</v>
      </c>
      <c r="H18" s="54"/>
      <c r="I18" s="53"/>
      <c r="J18" s="53"/>
      <c r="L18" s="55"/>
    </row>
    <row r="19" spans="2:12" ht="14.4" x14ac:dyDescent="0.3">
      <c r="B19" s="50"/>
      <c r="C19" s="51"/>
      <c r="D19" s="54"/>
      <c r="E19" s="52"/>
      <c r="F19" s="50"/>
      <c r="G19" s="51"/>
      <c r="H19" s="54"/>
      <c r="I19" s="53"/>
      <c r="J19" s="53"/>
      <c r="L19" s="55"/>
    </row>
    <row r="20" spans="2:12" x14ac:dyDescent="0.3">
      <c r="B20" s="50"/>
      <c r="C20" s="51"/>
      <c r="D20" s="206" t="s">
        <v>352</v>
      </c>
      <c r="E20" s="207">
        <f>AVERAGE(E12:E18)</f>
        <v>0.25</v>
      </c>
      <c r="F20" s="208">
        <f t="shared" ref="F20:G20" si="1">AVERAGE(F12:F18)</f>
        <v>1.0857142857142859</v>
      </c>
      <c r="G20" s="208">
        <f t="shared" si="1"/>
        <v>0.68996405304939212</v>
      </c>
      <c r="H20" s="54"/>
      <c r="I20" s="53"/>
      <c r="J20" s="53"/>
      <c r="L20" s="55"/>
    </row>
    <row r="21" spans="2:12" x14ac:dyDescent="0.3">
      <c r="B21" s="50"/>
      <c r="C21" s="51"/>
      <c r="D21" s="209" t="s">
        <v>343</v>
      </c>
      <c r="E21" s="210">
        <f t="array" ref="E21">MEDIAN(E12:E18)</f>
        <v>0.25</v>
      </c>
      <c r="F21" s="211">
        <f t="array" ref="F21">MEDIAN(F12:F18)</f>
        <v>1.22</v>
      </c>
      <c r="G21" s="211">
        <f t="array" ref="G21">MEDIAN(G12:G18)</f>
        <v>0.77837981247320465</v>
      </c>
      <c r="H21" s="54"/>
      <c r="I21" s="53"/>
      <c r="J21" s="53"/>
      <c r="L21" s="55"/>
    </row>
    <row r="22" spans="2:12" ht="14.4" x14ac:dyDescent="0.3">
      <c r="B22" s="50"/>
      <c r="C22" s="51"/>
      <c r="D22" s="54"/>
      <c r="E22" s="52"/>
      <c r="F22" s="50"/>
      <c r="G22" s="51"/>
      <c r="H22" s="54"/>
      <c r="I22" s="53"/>
      <c r="J22" s="53"/>
      <c r="L22" s="55"/>
    </row>
    <row r="23" spans="2:12" x14ac:dyDescent="0.3">
      <c r="B23" s="212" t="s">
        <v>353</v>
      </c>
      <c r="C23" s="213"/>
      <c r="D23" s="54"/>
      <c r="E23" s="414" t="s">
        <v>495</v>
      </c>
      <c r="F23" s="169"/>
      <c r="G23" s="169"/>
      <c r="H23" s="54"/>
      <c r="I23" s="53"/>
      <c r="J23" s="53"/>
      <c r="L23" s="55"/>
    </row>
    <row r="24" spans="2:12" x14ac:dyDescent="0.3">
      <c r="B24" s="50" t="s">
        <v>354</v>
      </c>
      <c r="C24" s="195">
        <f ca="1">((Statements!J41/1000)/(Statements!J83/1000))</f>
        <v>7.582176999526738E-2</v>
      </c>
      <c r="D24" s="54"/>
      <c r="E24" s="14" t="s">
        <v>496</v>
      </c>
      <c r="G24" s="62">
        <f>C12</f>
        <v>328.83749999999998</v>
      </c>
      <c r="H24" s="54"/>
      <c r="I24" s="53"/>
      <c r="J24" s="53"/>
      <c r="L24" s="55"/>
    </row>
    <row r="25" spans="2:12" x14ac:dyDescent="0.3">
      <c r="B25" s="50" t="s">
        <v>349</v>
      </c>
      <c r="C25" s="195">
        <f>E21</f>
        <v>0.25</v>
      </c>
      <c r="D25" s="54"/>
      <c r="E25" s="14" t="s">
        <v>497</v>
      </c>
      <c r="G25" s="62">
        <f>D12</f>
        <v>211.3</v>
      </c>
      <c r="H25" s="54"/>
      <c r="I25" s="53"/>
      <c r="J25" s="53"/>
      <c r="L25" s="55"/>
    </row>
    <row r="26" spans="2:12" x14ac:dyDescent="0.3">
      <c r="B26" s="196" t="s">
        <v>355</v>
      </c>
      <c r="C26" s="418">
        <f ca="1">C24*(1-C25)</f>
        <v>5.6866327496450535E-2</v>
      </c>
      <c r="D26" s="54"/>
      <c r="E26" s="165" t="s">
        <v>498</v>
      </c>
      <c r="F26" s="415"/>
      <c r="G26" s="417">
        <f>SUM(G24:G25)</f>
        <v>540.13750000000005</v>
      </c>
      <c r="H26" s="54"/>
      <c r="I26" s="53"/>
      <c r="J26" s="53"/>
      <c r="L26" s="55"/>
    </row>
    <row r="27" spans="2:12" x14ac:dyDescent="0.3">
      <c r="B27" s="50"/>
      <c r="C27" s="419"/>
      <c r="D27" s="54"/>
      <c r="F27" s="50"/>
      <c r="G27" s="51"/>
      <c r="H27" s="54"/>
      <c r="I27" s="53"/>
      <c r="J27" s="53"/>
      <c r="L27" s="55"/>
    </row>
    <row r="28" spans="2:12" x14ac:dyDescent="0.3">
      <c r="B28" s="216" t="s">
        <v>356</v>
      </c>
      <c r="C28" s="420"/>
      <c r="D28" s="54"/>
      <c r="E28" s="214" t="s">
        <v>360</v>
      </c>
      <c r="F28" s="217"/>
      <c r="G28" s="213"/>
      <c r="H28" s="54"/>
      <c r="I28" s="53"/>
      <c r="J28" s="53"/>
      <c r="L28" s="55"/>
    </row>
    <row r="29" spans="2:12" x14ac:dyDescent="0.3">
      <c r="B29" s="197" t="s">
        <v>357</v>
      </c>
      <c r="C29" s="421">
        <v>4.2099999999999999E-2</v>
      </c>
      <c r="D29" s="54"/>
      <c r="E29" s="14" t="s">
        <v>353</v>
      </c>
      <c r="F29" s="50"/>
      <c r="G29" s="195">
        <f ca="1">C26*(G25/G26)</f>
        <v>2.2245918863252407E-2</v>
      </c>
      <c r="H29" s="54"/>
      <c r="I29" s="53"/>
      <c r="J29" s="53"/>
      <c r="L29" s="55"/>
    </row>
    <row r="30" spans="2:12" x14ac:dyDescent="0.3">
      <c r="B30" s="197" t="s">
        <v>358</v>
      </c>
      <c r="C30" s="195">
        <v>4.4600000000000001E-2</v>
      </c>
      <c r="D30" s="54"/>
      <c r="E30" s="14" t="s">
        <v>356</v>
      </c>
      <c r="F30" s="50"/>
      <c r="G30" s="195">
        <f>C33*(G24/G26)</f>
        <v>6.015707306010043E-2</v>
      </c>
      <c r="H30" s="54"/>
      <c r="I30" s="53"/>
      <c r="J30" s="53"/>
      <c r="L30" s="55"/>
    </row>
    <row r="31" spans="2:12" x14ac:dyDescent="0.3">
      <c r="B31" s="197" t="s">
        <v>359</v>
      </c>
      <c r="C31" s="195">
        <v>2.3E-3</v>
      </c>
      <c r="D31" s="54"/>
      <c r="E31" s="165" t="s">
        <v>50</v>
      </c>
      <c r="F31" s="198"/>
      <c r="G31" s="418">
        <f ca="1">G29+G30</f>
        <v>8.2402991923352834E-2</v>
      </c>
      <c r="H31" s="54"/>
      <c r="I31" s="53"/>
      <c r="J31" s="53"/>
      <c r="L31" s="55"/>
    </row>
    <row r="32" spans="2:12" ht="14.4" x14ac:dyDescent="0.3">
      <c r="B32" s="197" t="s">
        <v>350</v>
      </c>
      <c r="C32" s="218">
        <f>F21</f>
        <v>1.22</v>
      </c>
      <c r="D32" s="54"/>
      <c r="E32" s="52"/>
      <c r="F32" s="50"/>
      <c r="G32" s="51"/>
      <c r="H32" s="54"/>
      <c r="I32" s="53"/>
      <c r="J32" s="53"/>
      <c r="L32" s="55"/>
    </row>
    <row r="33" spans="2:12" ht="14.4" x14ac:dyDescent="0.3">
      <c r="B33" s="215" t="s">
        <v>356</v>
      </c>
      <c r="C33" s="418">
        <f>C29+(C30*C32)+C31</f>
        <v>9.8811999999999997E-2</v>
      </c>
      <c r="D33" s="54"/>
      <c r="E33" s="52"/>
      <c r="F33" s="50"/>
      <c r="G33" s="51"/>
      <c r="H33" s="54"/>
      <c r="I33" s="53"/>
      <c r="J33" s="53"/>
      <c r="L33" s="55"/>
    </row>
    <row r="34" spans="2:12" ht="14.4" x14ac:dyDescent="0.3">
      <c r="B34" s="50"/>
      <c r="C34" s="51"/>
      <c r="D34" s="54"/>
      <c r="E34" s="52"/>
      <c r="F34" s="50"/>
      <c r="G34" s="51"/>
      <c r="H34" s="54"/>
      <c r="I34" s="53"/>
      <c r="J34" s="53"/>
      <c r="L34" s="55"/>
    </row>
    <row r="35" spans="2:12" ht="14.4" x14ac:dyDescent="0.3">
      <c r="B35" s="50"/>
      <c r="C35" s="51"/>
      <c r="D35" s="54"/>
      <c r="E35" s="52"/>
      <c r="F35" s="50"/>
      <c r="G35" s="51"/>
      <c r="H35" s="54"/>
      <c r="I35" s="53"/>
      <c r="J35" s="53"/>
      <c r="L35" s="55"/>
    </row>
    <row r="36" spans="2:12" ht="14.4" x14ac:dyDescent="0.3">
      <c r="B36" s="50"/>
      <c r="C36" s="51"/>
      <c r="D36" s="54"/>
      <c r="E36" s="52"/>
      <c r="F36" s="50"/>
      <c r="G36" s="51"/>
      <c r="H36" s="54"/>
      <c r="I36" s="53"/>
      <c r="J36" s="53"/>
      <c r="L36" s="55"/>
    </row>
    <row r="37" spans="2:12" ht="14.4" x14ac:dyDescent="0.3">
      <c r="B37" s="50"/>
      <c r="C37" s="51"/>
      <c r="D37" s="54"/>
      <c r="E37" s="52"/>
      <c r="F37" s="50"/>
      <c r="G37" s="51"/>
      <c r="H37" s="54"/>
      <c r="I37" s="53"/>
      <c r="J37" s="53"/>
      <c r="L37" s="55"/>
    </row>
    <row r="38" spans="2:12" ht="14.4" x14ac:dyDescent="0.3">
      <c r="B38" s="50"/>
      <c r="C38" s="51"/>
      <c r="D38" s="54"/>
      <c r="E38" s="52"/>
      <c r="F38" s="50"/>
      <c r="G38" s="51"/>
      <c r="H38" s="54"/>
      <c r="I38" s="53"/>
      <c r="J38" s="53"/>
      <c r="L38" s="55"/>
    </row>
    <row r="39" spans="2:12" ht="14.4" x14ac:dyDescent="0.3">
      <c r="B39" s="50"/>
      <c r="C39" s="51"/>
      <c r="D39" s="54"/>
      <c r="E39" s="52"/>
      <c r="F39" s="50"/>
      <c r="G39" s="51"/>
      <c r="H39" s="54"/>
      <c r="I39" s="53"/>
      <c r="J39" s="53"/>
      <c r="L39" s="55"/>
    </row>
    <row r="40" spans="2:12" ht="14.4" x14ac:dyDescent="0.3">
      <c r="B40" s="50"/>
      <c r="C40" s="51"/>
      <c r="D40" s="54"/>
      <c r="E40" s="52"/>
      <c r="F40" s="50"/>
      <c r="G40" s="51"/>
      <c r="H40" s="54"/>
      <c r="I40" s="53"/>
      <c r="J40" s="53"/>
      <c r="L40" s="55"/>
    </row>
    <row r="41" spans="2:12" ht="14.4" x14ac:dyDescent="0.3">
      <c r="B41" s="50"/>
      <c r="C41" s="51"/>
      <c r="D41" s="54"/>
      <c r="E41" s="52"/>
      <c r="F41" s="50"/>
      <c r="G41" s="51"/>
      <c r="H41" s="54"/>
      <c r="I41" s="53"/>
      <c r="J41" s="53"/>
      <c r="L41" s="55"/>
    </row>
    <row r="42" spans="2:12" ht="14.4" x14ac:dyDescent="0.3">
      <c r="B42" s="50"/>
      <c r="C42" s="51"/>
      <c r="D42" s="54"/>
      <c r="E42" s="52"/>
      <c r="F42" s="50"/>
      <c r="G42" s="51"/>
      <c r="H42" s="54"/>
      <c r="I42" s="53"/>
      <c r="J42" s="53"/>
      <c r="L42" s="55"/>
    </row>
    <row r="43" spans="2:12" ht="14.4" x14ac:dyDescent="0.3">
      <c r="B43" s="50"/>
      <c r="C43" s="51"/>
      <c r="D43" s="54"/>
      <c r="E43" s="52"/>
      <c r="F43" s="50"/>
      <c r="G43" s="51"/>
      <c r="H43" s="54"/>
      <c r="I43" s="53"/>
      <c r="J43" s="53"/>
      <c r="L43" s="55"/>
    </row>
    <row r="44" spans="2:12" ht="14.4" x14ac:dyDescent="0.3">
      <c r="B44" s="50"/>
      <c r="C44" s="51"/>
      <c r="D44" s="54"/>
      <c r="E44" s="52"/>
      <c r="F44" s="50"/>
      <c r="G44" s="51"/>
      <c r="H44" s="54"/>
      <c r="I44" s="53"/>
      <c r="J44" s="53"/>
      <c r="L44" s="55"/>
    </row>
    <row r="45" spans="2:12" ht="14.4" x14ac:dyDescent="0.3">
      <c r="B45" s="50"/>
      <c r="C45" s="51"/>
      <c r="D45" s="54"/>
      <c r="E45" s="52"/>
      <c r="F45" s="50"/>
      <c r="G45" s="51"/>
      <c r="H45" s="54"/>
      <c r="I45" s="53"/>
      <c r="J45" s="53"/>
      <c r="L45" s="55"/>
    </row>
    <row r="46" spans="2:12" ht="14.4" x14ac:dyDescent="0.3">
      <c r="B46" s="50"/>
      <c r="C46" s="51"/>
      <c r="D46" s="54"/>
      <c r="E46" s="52"/>
      <c r="F46" s="50"/>
      <c r="G46" s="51"/>
      <c r="H46" s="54"/>
      <c r="I46" s="53"/>
      <c r="J46" s="53"/>
      <c r="L46" s="55"/>
    </row>
    <row r="47" spans="2:12" ht="14.4" x14ac:dyDescent="0.3">
      <c r="B47" s="50"/>
      <c r="C47" s="51"/>
      <c r="D47" s="54"/>
      <c r="E47" s="52"/>
      <c r="F47" s="50"/>
      <c r="G47" s="51"/>
      <c r="H47" s="54"/>
      <c r="I47" s="53"/>
      <c r="J47" s="53"/>
      <c r="L47" s="55"/>
    </row>
    <row r="48" spans="2:12" ht="14.4" x14ac:dyDescent="0.3">
      <c r="B48" s="50"/>
      <c r="C48" s="51"/>
      <c r="D48" s="54"/>
      <c r="E48" s="52"/>
      <c r="F48" s="50"/>
      <c r="G48" s="51"/>
      <c r="H48" s="54"/>
      <c r="I48" s="53"/>
      <c r="J48" s="53"/>
      <c r="L48" s="55"/>
    </row>
    <row r="49" spans="2:12" ht="14.4" x14ac:dyDescent="0.3">
      <c r="B49" s="50"/>
      <c r="C49" s="51"/>
      <c r="D49" s="54"/>
      <c r="E49" s="52"/>
      <c r="F49" s="50"/>
      <c r="G49" s="51"/>
      <c r="H49" s="54"/>
      <c r="I49" s="53"/>
      <c r="J49" s="53"/>
      <c r="L49" s="55"/>
    </row>
    <row r="50" spans="2:12" ht="14.4" x14ac:dyDescent="0.3">
      <c r="B50" s="50"/>
      <c r="C50" s="51"/>
      <c r="D50" s="54"/>
      <c r="E50" s="52"/>
      <c r="F50" s="50"/>
      <c r="G50" s="51"/>
      <c r="H50" s="54"/>
      <c r="I50" s="53"/>
      <c r="J50" s="53"/>
      <c r="L50" s="55"/>
    </row>
    <row r="51" spans="2:12" ht="14.4" x14ac:dyDescent="0.3">
      <c r="B51" s="50"/>
      <c r="C51" s="51"/>
      <c r="D51" s="54"/>
      <c r="E51" s="52"/>
      <c r="F51" s="50"/>
      <c r="G51" s="51"/>
      <c r="H51" s="54"/>
      <c r="I51" s="53"/>
      <c r="J51" s="53"/>
      <c r="L51" s="55"/>
    </row>
    <row r="52" spans="2:12" ht="14.4" x14ac:dyDescent="0.3">
      <c r="B52" s="50"/>
      <c r="C52" s="51"/>
      <c r="D52" s="54"/>
      <c r="E52" s="52"/>
      <c r="F52" s="50"/>
      <c r="G52" s="51"/>
      <c r="H52" s="54"/>
      <c r="I52" s="53"/>
      <c r="J52" s="53"/>
      <c r="L52" s="55"/>
    </row>
    <row r="53" spans="2:12" ht="14.4" x14ac:dyDescent="0.3">
      <c r="B53" s="50"/>
      <c r="C53" s="51"/>
      <c r="D53" s="54"/>
      <c r="E53" s="52"/>
      <c r="F53" s="50"/>
      <c r="G53" s="51"/>
      <c r="H53" s="54"/>
      <c r="I53" s="53"/>
      <c r="J53" s="53"/>
      <c r="L53" s="55"/>
    </row>
    <row r="54" spans="2:12" ht="14.4" x14ac:dyDescent="0.3">
      <c r="B54" s="50"/>
      <c r="C54" s="51"/>
      <c r="D54" s="54"/>
      <c r="E54" s="52"/>
      <c r="F54" s="50"/>
      <c r="G54" s="51"/>
      <c r="H54" s="54"/>
      <c r="I54" s="53"/>
      <c r="J54" s="53"/>
      <c r="L54" s="55"/>
    </row>
    <row r="55" spans="2:12" ht="14.4" x14ac:dyDescent="0.3">
      <c r="B55" s="50"/>
      <c r="C55" s="51"/>
      <c r="D55" s="54"/>
      <c r="E55" s="52"/>
      <c r="F55" s="50"/>
      <c r="G55" s="51"/>
      <c r="H55" s="54"/>
      <c r="I55" s="53"/>
      <c r="J55" s="53"/>
      <c r="L55" s="55"/>
    </row>
    <row r="56" spans="2:12" ht="14.4" x14ac:dyDescent="0.3">
      <c r="B56" s="50"/>
      <c r="C56" s="51"/>
      <c r="D56" s="54"/>
      <c r="E56" s="52"/>
      <c r="F56" s="50"/>
      <c r="G56" s="51"/>
      <c r="H56" s="54"/>
      <c r="I56" s="53"/>
      <c r="J56" s="53"/>
      <c r="L56" s="55"/>
    </row>
    <row r="57" spans="2:12" ht="14.4" x14ac:dyDescent="0.3">
      <c r="B57" s="50"/>
      <c r="C57" s="51"/>
      <c r="D57" s="54"/>
      <c r="E57" s="52"/>
      <c r="F57" s="50"/>
      <c r="G57" s="51"/>
      <c r="H57" s="54"/>
      <c r="I57" s="53"/>
      <c r="J57" s="53"/>
      <c r="L57" s="55"/>
    </row>
    <row r="58" spans="2:12" ht="14.4" x14ac:dyDescent="0.3">
      <c r="B58" s="50"/>
      <c r="C58" s="51"/>
      <c r="D58" s="54"/>
      <c r="E58" s="52"/>
      <c r="F58" s="50"/>
      <c r="G58" s="51"/>
      <c r="H58" s="54"/>
      <c r="I58" s="53"/>
      <c r="J58" s="53"/>
      <c r="L58" s="55"/>
    </row>
    <row r="59" spans="2:12" ht="14.4" x14ac:dyDescent="0.3">
      <c r="B59" s="50"/>
      <c r="C59" s="51"/>
      <c r="D59" s="54"/>
      <c r="E59" s="52"/>
      <c r="F59" s="50"/>
      <c r="G59" s="51"/>
      <c r="H59" s="54"/>
      <c r="I59" s="53"/>
      <c r="J59" s="53"/>
      <c r="L59" s="55"/>
    </row>
    <row r="60" spans="2:12" ht="14.4" x14ac:dyDescent="0.3">
      <c r="B60" s="50"/>
      <c r="C60" s="51"/>
      <c r="D60" s="54"/>
      <c r="E60" s="52"/>
      <c r="F60" s="50"/>
      <c r="G60" s="51"/>
      <c r="H60" s="54"/>
      <c r="I60" s="53"/>
      <c r="J60" s="53"/>
      <c r="L60" s="55"/>
    </row>
    <row r="61" spans="2:12" ht="14.4" x14ac:dyDescent="0.3">
      <c r="B61" s="50"/>
      <c r="C61" s="51"/>
      <c r="D61" s="54"/>
      <c r="E61" s="52"/>
      <c r="F61" s="50"/>
      <c r="G61" s="51"/>
      <c r="H61" s="54"/>
      <c r="I61" s="53"/>
      <c r="J61" s="53"/>
      <c r="L61" s="55"/>
    </row>
    <row r="62" spans="2:12" ht="14.4" x14ac:dyDescent="0.3">
      <c r="B62" s="50"/>
      <c r="C62" s="51"/>
      <c r="D62" s="54"/>
      <c r="E62" s="52"/>
      <c r="F62" s="50"/>
      <c r="G62" s="51"/>
      <c r="H62" s="54"/>
      <c r="I62" s="53"/>
      <c r="J62" s="53"/>
      <c r="L62" s="55"/>
    </row>
    <row r="63" spans="2:12" ht="14.4" x14ac:dyDescent="0.3">
      <c r="B63" s="50"/>
      <c r="C63" s="51"/>
      <c r="D63" s="54"/>
      <c r="E63" s="52"/>
      <c r="F63" s="50"/>
      <c r="G63" s="51"/>
      <c r="H63" s="54"/>
      <c r="I63" s="53"/>
      <c r="J63" s="53"/>
      <c r="L63" s="55"/>
    </row>
    <row r="64" spans="2:12" ht="14.4" x14ac:dyDescent="0.3">
      <c r="B64" s="50"/>
      <c r="C64" s="51"/>
      <c r="D64" s="54"/>
      <c r="E64" s="52"/>
      <c r="F64" s="50"/>
      <c r="G64" s="51"/>
      <c r="H64" s="54"/>
      <c r="I64" s="53"/>
      <c r="J64" s="53"/>
      <c r="L64" s="55"/>
    </row>
    <row r="65" spans="2:12" ht="14.4" x14ac:dyDescent="0.3">
      <c r="B65" s="50"/>
      <c r="C65" s="56"/>
      <c r="D65" s="54"/>
      <c r="E65" s="57"/>
      <c r="F65" s="50"/>
      <c r="G65" s="51"/>
      <c r="H65" s="54"/>
      <c r="I65" s="53"/>
      <c r="J65" s="53"/>
      <c r="L65" s="55"/>
    </row>
    <row r="66" spans="2:12" ht="14.4" x14ac:dyDescent="0.3">
      <c r="B66" s="50"/>
      <c r="C66" s="56"/>
      <c r="D66" s="54"/>
      <c r="E66" s="57"/>
      <c r="F66" s="50"/>
      <c r="G66" s="51"/>
      <c r="H66" s="54"/>
      <c r="I66" s="53"/>
      <c r="J66" s="53"/>
      <c r="L66" s="55"/>
    </row>
    <row r="67" spans="2:12" ht="14.4" x14ac:dyDescent="0.3">
      <c r="B67" s="50"/>
      <c r="C67" s="56"/>
      <c r="D67" s="54"/>
      <c r="E67" s="57"/>
      <c r="F67" s="50"/>
      <c r="G67" s="51"/>
      <c r="H67" s="54"/>
      <c r="I67" s="53"/>
      <c r="J67" s="53"/>
      <c r="L67" s="55"/>
    </row>
    <row r="68" spans="2:12" ht="14.4" x14ac:dyDescent="0.3">
      <c r="B68" s="50"/>
      <c r="C68" s="56"/>
      <c r="D68" s="54"/>
      <c r="E68" s="57"/>
      <c r="F68" s="50"/>
      <c r="G68" s="51"/>
      <c r="H68" s="54"/>
      <c r="I68" s="53"/>
      <c r="J68" s="53"/>
      <c r="L68" s="55"/>
    </row>
    <row r="69" spans="2:12" ht="14.4" x14ac:dyDescent="0.3">
      <c r="B69" s="50"/>
      <c r="C69" s="56"/>
      <c r="D69" s="54"/>
      <c r="E69" s="57"/>
      <c r="F69" s="50"/>
      <c r="G69" s="51"/>
      <c r="H69" s="54"/>
      <c r="I69" s="53"/>
      <c r="J69" s="53"/>
      <c r="L69" s="55"/>
    </row>
    <row r="70" spans="2:12" ht="14.4" x14ac:dyDescent="0.3">
      <c r="B70" s="50"/>
      <c r="C70" s="56"/>
      <c r="D70" s="54"/>
      <c r="E70" s="57"/>
      <c r="F70" s="50"/>
      <c r="G70" s="51"/>
      <c r="H70" s="54"/>
      <c r="I70" s="53"/>
      <c r="J70" s="53"/>
      <c r="L70" s="55"/>
    </row>
    <row r="71" spans="2:12" ht="14.4" x14ac:dyDescent="0.3">
      <c r="B71" s="50"/>
      <c r="C71" s="56"/>
      <c r="D71" s="54"/>
      <c r="E71" s="57"/>
      <c r="F71" s="50"/>
      <c r="G71" s="51"/>
      <c r="H71" s="54"/>
      <c r="I71" s="53"/>
      <c r="J71" s="53"/>
      <c r="L71" s="55"/>
    </row>
    <row r="72" spans="2:12" ht="14.4" x14ac:dyDescent="0.3">
      <c r="B72" s="50"/>
      <c r="C72" s="56"/>
      <c r="D72" s="54"/>
      <c r="E72" s="57"/>
      <c r="F72" s="50"/>
      <c r="G72" s="51"/>
      <c r="H72" s="54"/>
      <c r="I72" s="53"/>
      <c r="J72" s="53"/>
      <c r="L72" s="55"/>
    </row>
    <row r="73" spans="2:12" ht="14.4" x14ac:dyDescent="0.3">
      <c r="B73" s="50"/>
      <c r="C73" s="56"/>
      <c r="D73" s="54"/>
      <c r="E73" s="57"/>
      <c r="F73" s="50"/>
      <c r="G73" s="51"/>
      <c r="H73" s="54"/>
      <c r="I73" s="53"/>
      <c r="J73" s="53"/>
      <c r="L73" s="55"/>
    </row>
    <row r="74" spans="2:12" ht="14.4" x14ac:dyDescent="0.3">
      <c r="B74" s="50"/>
      <c r="C74" s="56"/>
      <c r="D74" s="54"/>
      <c r="E74" s="57"/>
      <c r="F74" s="50"/>
      <c r="G74" s="51"/>
      <c r="H74" s="54"/>
      <c r="I74" s="53"/>
      <c r="J74" s="53"/>
      <c r="L74" s="55"/>
    </row>
    <row r="75" spans="2:12" ht="14.4" x14ac:dyDescent="0.3">
      <c r="B75" s="50"/>
      <c r="C75" s="56"/>
      <c r="D75" s="54"/>
      <c r="E75" s="57"/>
      <c r="F75" s="50"/>
      <c r="G75" s="51"/>
      <c r="H75" s="54"/>
      <c r="I75" s="53"/>
      <c r="J75" s="53"/>
      <c r="L75" s="55"/>
    </row>
    <row r="76" spans="2:12" ht="14.4" x14ac:dyDescent="0.3">
      <c r="B76" s="50"/>
      <c r="C76" s="56"/>
      <c r="D76" s="54"/>
      <c r="E76" s="57"/>
      <c r="F76" s="50"/>
      <c r="G76" s="51"/>
      <c r="H76" s="54"/>
      <c r="I76" s="53"/>
      <c r="J76" s="53"/>
      <c r="L76" s="55"/>
    </row>
    <row r="77" spans="2:12" ht="14.4" x14ac:dyDescent="0.3">
      <c r="B77" s="50"/>
      <c r="C77" s="56"/>
      <c r="D77" s="54"/>
      <c r="E77" s="57"/>
      <c r="F77" s="50"/>
      <c r="G77" s="51"/>
      <c r="H77" s="54"/>
      <c r="I77" s="53"/>
      <c r="J77" s="53"/>
      <c r="L77" s="55"/>
    </row>
    <row r="78" spans="2:12" ht="14.4" x14ac:dyDescent="0.3">
      <c r="B78" s="50"/>
      <c r="C78" s="56"/>
      <c r="D78" s="54"/>
      <c r="E78" s="57"/>
      <c r="F78" s="50"/>
      <c r="G78" s="51"/>
      <c r="H78" s="54"/>
      <c r="I78" s="53"/>
      <c r="J78" s="53"/>
      <c r="L78" s="55"/>
    </row>
    <row r="79" spans="2:12" ht="14.4" x14ac:dyDescent="0.3">
      <c r="B79" s="50"/>
      <c r="C79" s="56"/>
      <c r="D79" s="54"/>
      <c r="E79" s="57"/>
      <c r="F79" s="50"/>
      <c r="G79" s="51"/>
      <c r="H79" s="54"/>
      <c r="I79" s="53"/>
      <c r="J79" s="53"/>
      <c r="L79" s="55"/>
    </row>
    <row r="80" spans="2:12" ht="14.4" x14ac:dyDescent="0.3">
      <c r="B80" s="50"/>
      <c r="C80" s="56"/>
      <c r="D80" s="54"/>
      <c r="E80" s="57"/>
      <c r="F80" s="50"/>
      <c r="G80" s="51"/>
      <c r="H80" s="54"/>
      <c r="I80" s="53"/>
      <c r="J80" s="53"/>
      <c r="L80" s="55"/>
    </row>
    <row r="81" spans="2:12" ht="14.4" x14ac:dyDescent="0.3">
      <c r="B81" s="50"/>
      <c r="C81" s="56"/>
      <c r="D81" s="54"/>
      <c r="E81" s="57"/>
      <c r="F81" s="50"/>
      <c r="G81" s="51"/>
      <c r="H81" s="54"/>
      <c r="I81" s="53"/>
      <c r="J81" s="53"/>
      <c r="L81" s="55"/>
    </row>
    <row r="82" spans="2:12" ht="14.4" x14ac:dyDescent="0.3">
      <c r="B82" s="50"/>
      <c r="C82" s="56"/>
      <c r="D82" s="54"/>
      <c r="E82" s="57"/>
      <c r="F82" s="50"/>
      <c r="G82" s="51"/>
      <c r="H82" s="54"/>
      <c r="I82" s="53"/>
      <c r="J82" s="53"/>
      <c r="L82" s="55"/>
    </row>
    <row r="83" spans="2:12" ht="14.4" x14ac:dyDescent="0.3">
      <c r="B83" s="50"/>
      <c r="C83" s="56"/>
      <c r="D83" s="54"/>
      <c r="E83" s="57"/>
      <c r="F83" s="50"/>
      <c r="G83" s="51"/>
      <c r="H83" s="54"/>
      <c r="I83" s="53"/>
      <c r="J83" s="53"/>
      <c r="L83" s="55"/>
    </row>
    <row r="84" spans="2:12" ht="14.4" x14ac:dyDescent="0.3">
      <c r="B84" s="50"/>
      <c r="C84" s="56"/>
      <c r="D84" s="54"/>
      <c r="E84" s="57"/>
      <c r="F84" s="50"/>
      <c r="G84" s="51"/>
      <c r="H84" s="54"/>
      <c r="I84" s="53"/>
      <c r="J84" s="53"/>
      <c r="L84" s="55"/>
    </row>
    <row r="85" spans="2:12" ht="14.4" x14ac:dyDescent="0.3">
      <c r="B85" s="50"/>
      <c r="C85" s="56"/>
      <c r="D85" s="54"/>
      <c r="E85" s="57"/>
      <c r="F85" s="50"/>
      <c r="G85" s="51"/>
      <c r="H85" s="54"/>
      <c r="I85" s="53"/>
      <c r="J85" s="53"/>
      <c r="L85" s="55"/>
    </row>
    <row r="86" spans="2:12" ht="14.4" x14ac:dyDescent="0.3">
      <c r="B86" s="50"/>
      <c r="C86" s="56"/>
      <c r="D86" s="54"/>
      <c r="E86" s="57"/>
      <c r="F86" s="50"/>
      <c r="G86" s="51"/>
      <c r="H86" s="54"/>
      <c r="I86" s="53"/>
      <c r="J86" s="53"/>
      <c r="L86" s="55"/>
    </row>
    <row r="87" spans="2:12" ht="14.4" x14ac:dyDescent="0.3">
      <c r="B87" s="50"/>
      <c r="C87" s="56"/>
      <c r="D87" s="54"/>
      <c r="E87" s="57"/>
      <c r="F87" s="50"/>
      <c r="G87" s="51"/>
      <c r="H87" s="54"/>
      <c r="I87" s="53"/>
      <c r="J87" s="53"/>
      <c r="L87" s="55"/>
    </row>
    <row r="88" spans="2:12" ht="14.4" x14ac:dyDescent="0.3">
      <c r="B88" s="50"/>
      <c r="C88" s="56"/>
      <c r="D88" s="54"/>
      <c r="E88" s="57"/>
      <c r="F88" s="50"/>
      <c r="G88" s="51"/>
      <c r="H88" s="54"/>
      <c r="I88" s="53"/>
      <c r="J88" s="53"/>
      <c r="L88" s="55"/>
    </row>
    <row r="89" spans="2:12" ht="14.4" x14ac:dyDescent="0.3">
      <c r="B89" s="50"/>
      <c r="C89" s="56"/>
      <c r="D89" s="54"/>
      <c r="E89" s="57"/>
      <c r="F89" s="50"/>
      <c r="G89" s="51"/>
      <c r="H89" s="54"/>
      <c r="I89" s="53"/>
      <c r="J89" s="53"/>
      <c r="L89" s="55"/>
    </row>
    <row r="90" spans="2:12" ht="14.4" x14ac:dyDescent="0.3">
      <c r="B90" s="50"/>
      <c r="C90" s="56"/>
      <c r="D90" s="54"/>
      <c r="E90" s="57"/>
      <c r="F90" s="50"/>
      <c r="G90" s="51"/>
      <c r="H90" s="54"/>
      <c r="I90" s="53"/>
      <c r="J90" s="53"/>
      <c r="L90" s="55"/>
    </row>
    <row r="91" spans="2:12" ht="14.4" x14ac:dyDescent="0.3">
      <c r="B91" s="50"/>
      <c r="C91" s="56"/>
      <c r="D91" s="54"/>
      <c r="E91" s="57"/>
      <c r="F91" s="50"/>
      <c r="G91" s="51"/>
      <c r="H91" s="54"/>
      <c r="I91" s="53"/>
      <c r="J91" s="53"/>
      <c r="L91" s="55"/>
    </row>
    <row r="92" spans="2:12" ht="14.4" x14ac:dyDescent="0.3">
      <c r="B92" s="50"/>
      <c r="C92" s="56"/>
      <c r="D92" s="54"/>
      <c r="E92" s="57"/>
      <c r="F92" s="50"/>
      <c r="G92" s="51"/>
      <c r="H92" s="54"/>
      <c r="I92" s="53"/>
      <c r="J92" s="53"/>
      <c r="L92" s="55"/>
    </row>
    <row r="93" spans="2:12" ht="14.4" x14ac:dyDescent="0.3">
      <c r="B93" s="50"/>
      <c r="C93" s="56"/>
      <c r="D93" s="54"/>
      <c r="E93" s="57"/>
      <c r="F93" s="50"/>
      <c r="G93" s="51"/>
      <c r="H93" s="54"/>
      <c r="I93" s="53"/>
      <c r="J93" s="53"/>
      <c r="L93" s="55"/>
    </row>
    <row r="94" spans="2:12" ht="14.4" x14ac:dyDescent="0.3">
      <c r="B94" s="50"/>
      <c r="C94" s="56"/>
      <c r="D94" s="54"/>
      <c r="E94" s="57"/>
      <c r="F94" s="50"/>
      <c r="G94" s="51"/>
      <c r="H94" s="54"/>
      <c r="I94" s="53"/>
      <c r="J94" s="53"/>
      <c r="L94" s="55"/>
    </row>
    <row r="95" spans="2:12" ht="14.4" x14ac:dyDescent="0.3">
      <c r="B95" s="50"/>
      <c r="C95" s="56"/>
      <c r="D95" s="54"/>
      <c r="E95" s="57"/>
      <c r="F95" s="50"/>
      <c r="G95" s="51"/>
      <c r="H95" s="54"/>
      <c r="I95" s="53"/>
      <c r="J95" s="53"/>
      <c r="L95" s="55"/>
    </row>
    <row r="96" spans="2:12" ht="14.4" x14ac:dyDescent="0.3">
      <c r="B96" s="50"/>
      <c r="C96" s="56"/>
      <c r="D96" s="54"/>
      <c r="E96" s="57"/>
      <c r="F96" s="50"/>
      <c r="G96" s="51"/>
      <c r="H96" s="54"/>
      <c r="I96" s="53"/>
      <c r="J96" s="53"/>
      <c r="L96" s="55"/>
    </row>
    <row r="97" spans="2:12" ht="14.4" x14ac:dyDescent="0.3">
      <c r="B97" s="50"/>
      <c r="C97" s="56"/>
      <c r="D97" s="54"/>
      <c r="E97" s="57"/>
      <c r="F97" s="50"/>
      <c r="G97" s="51"/>
      <c r="H97" s="54"/>
      <c r="I97" s="53"/>
      <c r="J97" s="53"/>
      <c r="L97" s="55"/>
    </row>
    <row r="98" spans="2:12" ht="14.4" x14ac:dyDescent="0.3">
      <c r="B98" s="50"/>
      <c r="C98" s="56"/>
      <c r="D98" s="54"/>
      <c r="E98" s="57"/>
      <c r="F98" s="50"/>
      <c r="G98" s="51"/>
      <c r="H98" s="54"/>
      <c r="I98" s="53"/>
      <c r="J98" s="53"/>
      <c r="L98" s="55"/>
    </row>
    <row r="99" spans="2:12" ht="14.4" x14ac:dyDescent="0.3">
      <c r="B99" s="50"/>
      <c r="C99" s="56"/>
      <c r="D99" s="54"/>
      <c r="E99" s="57"/>
      <c r="F99" s="50"/>
      <c r="G99" s="51"/>
      <c r="H99" s="54"/>
      <c r="I99" s="53"/>
      <c r="J99" s="53"/>
      <c r="L99" s="55"/>
    </row>
    <row r="100" spans="2:12" ht="14.4" x14ac:dyDescent="0.3">
      <c r="B100" s="50"/>
      <c r="C100" s="56"/>
      <c r="D100" s="54"/>
      <c r="E100" s="57"/>
      <c r="F100" s="50"/>
      <c r="G100" s="51"/>
      <c r="H100" s="54"/>
      <c r="I100" s="53"/>
      <c r="J100" s="53"/>
      <c r="L100" s="55"/>
    </row>
    <row r="101" spans="2:12" ht="14.4" x14ac:dyDescent="0.3">
      <c r="B101" s="50"/>
      <c r="C101" s="56"/>
      <c r="D101" s="54"/>
      <c r="E101" s="57"/>
      <c r="F101" s="50"/>
      <c r="G101" s="51"/>
      <c r="H101" s="54"/>
      <c r="I101" s="53"/>
      <c r="J101" s="53"/>
      <c r="L101" s="55"/>
    </row>
    <row r="102" spans="2:12" ht="14.4" x14ac:dyDescent="0.3">
      <c r="B102" s="50"/>
      <c r="C102" s="56"/>
      <c r="D102" s="54"/>
      <c r="E102" s="57"/>
      <c r="F102" s="50"/>
      <c r="G102" s="51"/>
      <c r="H102" s="54"/>
      <c r="I102" s="53"/>
      <c r="J102" s="53"/>
      <c r="L102" s="55"/>
    </row>
    <row r="103" spans="2:12" ht="14.4" x14ac:dyDescent="0.3">
      <c r="B103" s="50"/>
      <c r="C103" s="56"/>
      <c r="D103" s="54"/>
      <c r="E103" s="57"/>
      <c r="F103" s="50"/>
      <c r="G103" s="51"/>
      <c r="H103" s="54"/>
      <c r="I103" s="53"/>
      <c r="J103" s="53"/>
      <c r="L103" s="55"/>
    </row>
    <row r="104" spans="2:12" ht="14.4" x14ac:dyDescent="0.3">
      <c r="B104" s="50"/>
      <c r="C104" s="56"/>
      <c r="D104" s="54"/>
      <c r="E104" s="57"/>
      <c r="F104" s="50"/>
      <c r="G104" s="51"/>
      <c r="H104" s="54"/>
      <c r="I104" s="53"/>
      <c r="J104" s="53"/>
      <c r="L104" s="55"/>
    </row>
    <row r="105" spans="2:12" ht="14.4" x14ac:dyDescent="0.3">
      <c r="B105" s="50"/>
      <c r="C105" s="56"/>
      <c r="D105" s="54"/>
      <c r="E105" s="57"/>
      <c r="F105" s="50"/>
      <c r="G105" s="51"/>
      <c r="H105" s="54"/>
      <c r="I105" s="53"/>
      <c r="J105" s="53"/>
      <c r="L105" s="55"/>
    </row>
    <row r="106" spans="2:12" ht="14.4" x14ac:dyDescent="0.3">
      <c r="B106" s="50"/>
      <c r="C106" s="56"/>
      <c r="D106" s="54"/>
      <c r="E106" s="57"/>
      <c r="F106" s="50"/>
      <c r="G106" s="51"/>
      <c r="H106" s="54"/>
      <c r="I106" s="53"/>
      <c r="J106" s="53"/>
      <c r="L106" s="55"/>
    </row>
    <row r="107" spans="2:12" ht="14.4" x14ac:dyDescent="0.3">
      <c r="B107" s="50"/>
      <c r="C107" s="56"/>
      <c r="D107" s="54"/>
      <c r="E107" s="57"/>
      <c r="F107" s="50"/>
      <c r="G107" s="51"/>
      <c r="H107" s="54"/>
      <c r="I107" s="53"/>
      <c r="J107" s="53"/>
      <c r="L107" s="55"/>
    </row>
    <row r="108" spans="2:12" ht="14.4" x14ac:dyDescent="0.3">
      <c r="B108" s="50"/>
      <c r="C108" s="56"/>
      <c r="D108" s="54"/>
      <c r="E108" s="57"/>
      <c r="F108" s="50"/>
      <c r="G108" s="51"/>
      <c r="H108" s="54"/>
      <c r="I108" s="53"/>
      <c r="J108" s="53"/>
      <c r="L108" s="55"/>
    </row>
    <row r="109" spans="2:12" ht="14.4" x14ac:dyDescent="0.3">
      <c r="B109" s="50"/>
      <c r="C109" s="56"/>
      <c r="D109" s="54"/>
      <c r="E109" s="57"/>
      <c r="F109" s="50"/>
      <c r="G109" s="51"/>
      <c r="H109" s="54"/>
      <c r="I109" s="53"/>
      <c r="J109" s="53"/>
      <c r="L109" s="55"/>
    </row>
    <row r="110" spans="2:12" ht="14.4" x14ac:dyDescent="0.3">
      <c r="B110" s="50"/>
      <c r="C110" s="56"/>
      <c r="D110" s="54"/>
      <c r="E110" s="57"/>
      <c r="F110" s="50"/>
      <c r="G110" s="51"/>
      <c r="H110" s="54"/>
      <c r="I110" s="53"/>
      <c r="J110" s="53"/>
      <c r="L110" s="55"/>
    </row>
    <row r="111" spans="2:12" ht="14.4" x14ac:dyDescent="0.3">
      <c r="B111" s="50"/>
      <c r="C111" s="56"/>
      <c r="D111" s="54"/>
      <c r="E111" s="57"/>
      <c r="F111" s="50"/>
      <c r="G111" s="51"/>
      <c r="H111" s="54"/>
      <c r="I111" s="53"/>
      <c r="J111" s="53"/>
      <c r="L111" s="55"/>
    </row>
    <row r="112" spans="2:12" ht="14.4" x14ac:dyDescent="0.3">
      <c r="B112" s="50"/>
      <c r="C112" s="56"/>
      <c r="D112" s="54"/>
      <c r="E112" s="57"/>
      <c r="F112" s="50"/>
      <c r="G112" s="51"/>
      <c r="H112" s="54"/>
      <c r="I112" s="53"/>
      <c r="J112" s="53"/>
      <c r="L112" s="55"/>
    </row>
    <row r="113" spans="2:12" ht="14.4" x14ac:dyDescent="0.3">
      <c r="B113" s="50"/>
      <c r="C113" s="56"/>
      <c r="D113" s="54"/>
      <c r="E113" s="57"/>
      <c r="F113" s="50"/>
      <c r="G113" s="51"/>
      <c r="H113" s="54"/>
      <c r="I113" s="53"/>
      <c r="J113" s="53"/>
      <c r="L113" s="55"/>
    </row>
    <row r="114" spans="2:12" ht="14.4" x14ac:dyDescent="0.3">
      <c r="B114" s="50"/>
      <c r="C114" s="56"/>
      <c r="D114" s="54"/>
      <c r="E114" s="57"/>
      <c r="F114" s="50"/>
      <c r="G114" s="51"/>
      <c r="H114" s="54"/>
      <c r="I114" s="53"/>
      <c r="J114" s="53"/>
      <c r="L114" s="55"/>
    </row>
    <row r="115" spans="2:12" ht="14.4" x14ac:dyDescent="0.3">
      <c r="B115" s="50"/>
      <c r="C115" s="56"/>
      <c r="D115" s="54"/>
      <c r="E115" s="57"/>
      <c r="F115" s="50"/>
      <c r="G115" s="51"/>
      <c r="H115" s="54"/>
      <c r="I115" s="53"/>
      <c r="J115" s="53"/>
      <c r="L115" s="55"/>
    </row>
    <row r="116" spans="2:12" ht="14.4" x14ac:dyDescent="0.3">
      <c r="B116" s="50"/>
      <c r="C116" s="56"/>
      <c r="D116" s="54"/>
      <c r="E116" s="57"/>
      <c r="F116" s="50"/>
      <c r="G116" s="51"/>
      <c r="H116" s="54"/>
      <c r="I116" s="53"/>
      <c r="J116" s="53"/>
      <c r="L116" s="55"/>
    </row>
    <row r="117" spans="2:12" ht="14.4" x14ac:dyDescent="0.3">
      <c r="B117" s="50"/>
      <c r="C117" s="56"/>
      <c r="D117" s="54"/>
      <c r="E117" s="57"/>
      <c r="F117" s="50"/>
      <c r="G117" s="51"/>
      <c r="H117" s="54"/>
      <c r="I117" s="53"/>
      <c r="J117" s="53"/>
      <c r="L117" s="55"/>
    </row>
    <row r="118" spans="2:12" ht="14.4" x14ac:dyDescent="0.3">
      <c r="B118" s="50"/>
      <c r="C118" s="56"/>
      <c r="D118" s="54"/>
      <c r="E118" s="57"/>
      <c r="F118" s="50"/>
      <c r="G118" s="51"/>
      <c r="H118" s="54"/>
      <c r="I118" s="53"/>
      <c r="J118" s="53"/>
      <c r="L118" s="55"/>
    </row>
    <row r="119" spans="2:12" ht="14.4" x14ac:dyDescent="0.3">
      <c r="B119" s="50"/>
      <c r="C119" s="56"/>
      <c r="D119" s="54"/>
      <c r="E119" s="57"/>
      <c r="F119" s="50"/>
      <c r="G119" s="51"/>
      <c r="H119" s="54"/>
      <c r="I119" s="53"/>
      <c r="J119" s="53"/>
      <c r="L119" s="55"/>
    </row>
    <row r="120" spans="2:12" ht="14.4" x14ac:dyDescent="0.3">
      <c r="B120" s="50"/>
      <c r="C120" s="56"/>
      <c r="D120" s="54"/>
      <c r="E120" s="57"/>
      <c r="F120" s="50"/>
      <c r="G120" s="51"/>
      <c r="H120" s="54"/>
      <c r="I120" s="53"/>
      <c r="J120" s="53"/>
      <c r="L120" s="55"/>
    </row>
    <row r="121" spans="2:12" ht="14.4" x14ac:dyDescent="0.3">
      <c r="B121" s="50"/>
      <c r="C121" s="56"/>
      <c r="D121" s="54"/>
      <c r="E121" s="57"/>
      <c r="F121" s="50"/>
      <c r="G121" s="51"/>
      <c r="H121" s="54"/>
      <c r="I121" s="53"/>
      <c r="J121" s="53"/>
      <c r="L121" s="55"/>
    </row>
    <row r="122" spans="2:12" ht="14.4" x14ac:dyDescent="0.3">
      <c r="B122" s="50"/>
      <c r="C122" s="56"/>
      <c r="D122" s="54"/>
      <c r="E122" s="57"/>
      <c r="F122" s="50"/>
      <c r="G122" s="51"/>
      <c r="H122" s="54"/>
      <c r="I122" s="53"/>
      <c r="J122" s="53"/>
      <c r="L122" s="55"/>
    </row>
    <row r="123" spans="2:12" ht="14.4" x14ac:dyDescent="0.3">
      <c r="B123" s="50"/>
      <c r="C123" s="56"/>
      <c r="D123" s="54"/>
      <c r="E123" s="57"/>
      <c r="F123" s="50"/>
      <c r="G123" s="51"/>
      <c r="H123" s="54"/>
      <c r="I123" s="53"/>
      <c r="J123" s="53"/>
      <c r="L123" s="55"/>
    </row>
    <row r="124" spans="2:12" ht="14.4" x14ac:dyDescent="0.3">
      <c r="B124" s="50"/>
      <c r="C124" s="56"/>
      <c r="D124" s="54"/>
      <c r="E124" s="57"/>
      <c r="F124" s="50"/>
      <c r="G124" s="51"/>
      <c r="H124" s="54"/>
      <c r="I124" s="53"/>
      <c r="J124" s="53"/>
      <c r="L124" s="55"/>
    </row>
    <row r="125" spans="2:12" ht="14.4" x14ac:dyDescent="0.3">
      <c r="B125" s="50"/>
      <c r="C125" s="56"/>
      <c r="D125" s="54"/>
      <c r="E125" s="57"/>
      <c r="F125" s="50"/>
      <c r="G125" s="51"/>
      <c r="H125" s="54"/>
      <c r="I125" s="53"/>
      <c r="J125" s="53"/>
      <c r="L125" s="55"/>
    </row>
    <row r="126" spans="2:12" ht="14.4" x14ac:dyDescent="0.3">
      <c r="B126" s="50"/>
      <c r="C126" s="56"/>
      <c r="D126" s="54"/>
      <c r="E126" s="57"/>
      <c r="F126" s="50"/>
      <c r="G126" s="51"/>
      <c r="H126" s="54"/>
      <c r="I126" s="53"/>
      <c r="J126" s="53"/>
      <c r="L126" s="55"/>
    </row>
    <row r="127" spans="2:12" ht="14.4" x14ac:dyDescent="0.3">
      <c r="B127" s="50"/>
      <c r="C127" s="56"/>
      <c r="D127" s="54"/>
      <c r="E127" s="57"/>
      <c r="F127" s="50"/>
      <c r="G127" s="51"/>
      <c r="H127" s="54"/>
      <c r="I127" s="53"/>
      <c r="J127" s="53"/>
      <c r="L127" s="55"/>
    </row>
    <row r="128" spans="2:12" ht="14.4" x14ac:dyDescent="0.3">
      <c r="B128" s="50"/>
      <c r="C128" s="56"/>
      <c r="D128" s="54"/>
      <c r="E128" s="57"/>
      <c r="F128" s="50"/>
      <c r="G128" s="51"/>
      <c r="H128" s="54"/>
      <c r="I128" s="53"/>
      <c r="J128" s="53"/>
      <c r="L128" s="55"/>
    </row>
    <row r="129" spans="2:12" ht="14.4" x14ac:dyDescent="0.3">
      <c r="B129" s="50"/>
      <c r="C129" s="56"/>
      <c r="D129" s="54"/>
      <c r="E129" s="57"/>
      <c r="F129" s="50"/>
      <c r="G129" s="51"/>
      <c r="H129" s="54"/>
      <c r="I129" s="53"/>
      <c r="J129" s="53"/>
      <c r="L129" s="55"/>
    </row>
    <row r="130" spans="2:12" ht="14.4" x14ac:dyDescent="0.3">
      <c r="B130" s="50"/>
      <c r="C130" s="56"/>
      <c r="D130" s="54"/>
      <c r="E130" s="57"/>
      <c r="F130" s="50"/>
      <c r="G130" s="51"/>
      <c r="H130" s="54"/>
      <c r="I130" s="53"/>
      <c r="J130" s="53"/>
      <c r="L130" s="55"/>
    </row>
    <row r="131" spans="2:12" ht="14.4" x14ac:dyDescent="0.3">
      <c r="B131" s="50"/>
      <c r="C131" s="56"/>
      <c r="D131" s="54"/>
      <c r="E131" s="57"/>
      <c r="F131" s="50"/>
      <c r="G131" s="51"/>
      <c r="H131" s="54"/>
      <c r="I131" s="53"/>
      <c r="J131" s="53"/>
      <c r="L131" s="55"/>
    </row>
    <row r="132" spans="2:12" ht="14.4" x14ac:dyDescent="0.3">
      <c r="B132" s="50"/>
      <c r="C132" s="56"/>
      <c r="D132" s="54"/>
      <c r="E132" s="57"/>
      <c r="F132" s="50"/>
      <c r="G132" s="51"/>
      <c r="H132" s="54"/>
      <c r="I132" s="53"/>
      <c r="J132" s="53"/>
      <c r="L132" s="55"/>
    </row>
    <row r="133" spans="2:12" ht="14.4" x14ac:dyDescent="0.3">
      <c r="B133" s="50"/>
      <c r="C133" s="56"/>
      <c r="D133" s="54"/>
      <c r="E133" s="57"/>
      <c r="F133" s="50"/>
      <c r="G133" s="51"/>
      <c r="H133" s="54"/>
      <c r="I133" s="53"/>
      <c r="J133" s="53"/>
      <c r="L133" s="55"/>
    </row>
    <row r="134" spans="2:12" ht="14.4" x14ac:dyDescent="0.3">
      <c r="B134" s="50"/>
      <c r="C134" s="56"/>
      <c r="D134" s="54"/>
      <c r="E134" s="57"/>
      <c r="F134" s="50"/>
      <c r="G134" s="51"/>
      <c r="H134" s="54"/>
      <c r="I134" s="53"/>
      <c r="J134" s="53"/>
      <c r="L134" s="55"/>
    </row>
    <row r="135" spans="2:12" ht="14.4" x14ac:dyDescent="0.3">
      <c r="B135" s="50"/>
      <c r="C135" s="56"/>
      <c r="D135" s="54"/>
      <c r="E135" s="57"/>
      <c r="F135" s="50"/>
      <c r="G135" s="51"/>
      <c r="H135" s="54"/>
      <c r="I135" s="53"/>
      <c r="J135" s="53"/>
      <c r="L135" s="55"/>
    </row>
    <row r="136" spans="2:12" ht="14.4" x14ac:dyDescent="0.3">
      <c r="B136" s="50"/>
      <c r="C136" s="56"/>
      <c r="D136" s="54"/>
      <c r="E136" s="57"/>
      <c r="F136" s="50"/>
      <c r="G136" s="51"/>
      <c r="H136" s="54"/>
      <c r="I136" s="53"/>
      <c r="J136" s="53"/>
      <c r="L136" s="55"/>
    </row>
    <row r="137" spans="2:12" ht="14.4" x14ac:dyDescent="0.3">
      <c r="B137" s="50"/>
      <c r="C137" s="56"/>
      <c r="D137" s="54"/>
      <c r="E137" s="57"/>
      <c r="F137" s="50"/>
      <c r="G137" s="51"/>
      <c r="H137" s="54"/>
      <c r="I137" s="53"/>
      <c r="J137" s="53"/>
      <c r="L137" s="55"/>
    </row>
    <row r="138" spans="2:12" ht="14.4" x14ac:dyDescent="0.3">
      <c r="B138" s="50"/>
      <c r="C138" s="56"/>
      <c r="D138" s="54"/>
      <c r="E138" s="57"/>
      <c r="F138" s="50"/>
      <c r="G138" s="51"/>
      <c r="H138" s="54"/>
      <c r="I138" s="53"/>
      <c r="J138" s="53"/>
      <c r="L138" s="55"/>
    </row>
    <row r="139" spans="2:12" ht="14.4" x14ac:dyDescent="0.3">
      <c r="B139" s="50"/>
      <c r="C139" s="56"/>
      <c r="D139" s="54"/>
      <c r="E139" s="57"/>
      <c r="F139" s="50"/>
      <c r="G139" s="51"/>
      <c r="H139" s="54"/>
      <c r="I139" s="53"/>
      <c r="J139" s="53"/>
      <c r="L139" s="55"/>
    </row>
    <row r="140" spans="2:12" ht="14.4" x14ac:dyDescent="0.3">
      <c r="B140" s="50"/>
      <c r="C140" s="56"/>
      <c r="D140" s="54"/>
      <c r="E140" s="57"/>
      <c r="F140" s="50"/>
      <c r="G140" s="51"/>
      <c r="H140" s="54"/>
      <c r="I140" s="53"/>
      <c r="J140" s="53"/>
      <c r="L140" s="55"/>
    </row>
    <row r="141" spans="2:12" ht="14.4" x14ac:dyDescent="0.3">
      <c r="B141" s="50"/>
      <c r="C141" s="56"/>
      <c r="D141" s="54"/>
      <c r="E141" s="57"/>
      <c r="F141" s="50"/>
      <c r="G141" s="51"/>
      <c r="H141" s="54"/>
      <c r="I141" s="53"/>
      <c r="J141" s="53"/>
      <c r="L141" s="55"/>
    </row>
    <row r="142" spans="2:12" ht="14.4" x14ac:dyDescent="0.3">
      <c r="B142" s="50"/>
      <c r="C142" s="56"/>
      <c r="D142" s="54"/>
      <c r="E142" s="57"/>
      <c r="F142" s="50"/>
      <c r="G142" s="51"/>
      <c r="H142" s="54"/>
      <c r="I142" s="53"/>
      <c r="J142" s="53"/>
      <c r="L142" s="55"/>
    </row>
    <row r="143" spans="2:12" ht="14.4" x14ac:dyDescent="0.3">
      <c r="B143" s="50"/>
      <c r="C143" s="56"/>
      <c r="D143" s="54"/>
      <c r="E143" s="57"/>
      <c r="F143" s="50"/>
      <c r="G143" s="51"/>
      <c r="H143" s="54"/>
      <c r="I143" s="53"/>
      <c r="J143" s="53"/>
      <c r="L143" s="55"/>
    </row>
    <row r="144" spans="2:12" ht="14.4" x14ac:dyDescent="0.3">
      <c r="B144" s="50"/>
      <c r="C144" s="56"/>
      <c r="D144" s="54"/>
      <c r="E144" s="57"/>
      <c r="F144" s="50"/>
      <c r="G144" s="51"/>
      <c r="H144" s="54"/>
      <c r="I144" s="53"/>
      <c r="J144" s="53"/>
      <c r="L144" s="55"/>
    </row>
    <row r="145" spans="2:12" ht="14.4" x14ac:dyDescent="0.3">
      <c r="B145" s="50"/>
      <c r="C145" s="56"/>
      <c r="D145" s="54"/>
      <c r="E145" s="57"/>
      <c r="F145" s="50"/>
      <c r="G145" s="51"/>
      <c r="H145" s="54"/>
      <c r="I145" s="53"/>
      <c r="J145" s="53"/>
      <c r="L145" s="55"/>
    </row>
    <row r="146" spans="2:12" ht="14.4" x14ac:dyDescent="0.3">
      <c r="B146" s="50"/>
      <c r="C146" s="56"/>
      <c r="D146" s="54"/>
      <c r="E146" s="57"/>
      <c r="F146" s="50"/>
      <c r="G146" s="51"/>
      <c r="H146" s="54"/>
      <c r="I146" s="53"/>
      <c r="J146" s="53"/>
      <c r="L146" s="55"/>
    </row>
    <row r="147" spans="2:12" ht="14.4" x14ac:dyDescent="0.3">
      <c r="B147" s="50"/>
      <c r="C147" s="56"/>
      <c r="D147" s="54"/>
      <c r="E147" s="57"/>
      <c r="F147" s="50"/>
      <c r="G147" s="51"/>
      <c r="H147" s="54"/>
      <c r="I147" s="53"/>
      <c r="J147" s="53"/>
      <c r="L147" s="55"/>
    </row>
    <row r="148" spans="2:12" ht="14.4" x14ac:dyDescent="0.3">
      <c r="B148" s="50"/>
      <c r="C148" s="56"/>
      <c r="D148" s="54"/>
      <c r="E148" s="57"/>
      <c r="F148" s="50"/>
      <c r="G148" s="51"/>
      <c r="H148" s="54"/>
      <c r="I148" s="53"/>
      <c r="J148" s="53"/>
      <c r="L148" s="55"/>
    </row>
    <row r="149" spans="2:12" ht="14.4" x14ac:dyDescent="0.3">
      <c r="B149" s="50"/>
      <c r="C149" s="56"/>
      <c r="D149" s="54"/>
      <c r="E149" s="57"/>
      <c r="F149" s="50"/>
      <c r="G149" s="51"/>
      <c r="H149" s="54"/>
      <c r="I149" s="53"/>
      <c r="J149" s="53"/>
      <c r="L149" s="55"/>
    </row>
    <row r="150" spans="2:12" ht="14.4" x14ac:dyDescent="0.3">
      <c r="B150" s="50"/>
      <c r="C150" s="56"/>
      <c r="D150" s="54"/>
      <c r="E150" s="57"/>
      <c r="F150" s="50"/>
      <c r="G150" s="51"/>
      <c r="H150" s="54"/>
      <c r="I150" s="53"/>
      <c r="J150" s="53"/>
      <c r="L150" s="55"/>
    </row>
    <row r="151" spans="2:12" ht="14.4" x14ac:dyDescent="0.3">
      <c r="B151" s="50"/>
      <c r="C151" s="56"/>
      <c r="D151" s="54"/>
      <c r="E151" s="57"/>
      <c r="F151" s="50"/>
      <c r="G151" s="51"/>
      <c r="H151" s="54"/>
      <c r="I151" s="53"/>
      <c r="J151" s="53"/>
      <c r="L151" s="55"/>
    </row>
    <row r="152" spans="2:12" ht="14.4" x14ac:dyDescent="0.3">
      <c r="B152" s="50"/>
      <c r="C152" s="56"/>
      <c r="D152" s="54"/>
      <c r="E152" s="57"/>
      <c r="F152" s="50"/>
      <c r="G152" s="51"/>
      <c r="H152" s="54"/>
      <c r="I152" s="53"/>
      <c r="J152" s="53"/>
      <c r="L152" s="55"/>
    </row>
    <row r="153" spans="2:12" ht="14.4" x14ac:dyDescent="0.3">
      <c r="B153" s="50"/>
      <c r="C153" s="56"/>
      <c r="D153" s="54"/>
      <c r="E153" s="57"/>
      <c r="F153" s="50"/>
      <c r="G153" s="51"/>
      <c r="H153" s="54"/>
      <c r="I153" s="53"/>
      <c r="J153" s="53"/>
      <c r="L153" s="55"/>
    </row>
    <row r="154" spans="2:12" ht="14.4" x14ac:dyDescent="0.3">
      <c r="B154" s="50"/>
      <c r="C154" s="56"/>
      <c r="D154" s="54"/>
      <c r="E154" s="57"/>
      <c r="F154" s="50"/>
      <c r="G154" s="51"/>
      <c r="H154" s="54"/>
      <c r="I154" s="53"/>
      <c r="J154" s="53"/>
      <c r="L154" s="55"/>
    </row>
    <row r="155" spans="2:12" ht="14.4" x14ac:dyDescent="0.3">
      <c r="B155" s="50"/>
      <c r="C155" s="56"/>
      <c r="D155" s="54"/>
      <c r="E155" s="57"/>
      <c r="F155" s="50"/>
      <c r="G155" s="51"/>
      <c r="H155" s="54"/>
      <c r="I155" s="53"/>
      <c r="J155" s="53"/>
      <c r="L155" s="55"/>
    </row>
    <row r="156" spans="2:12" ht="14.4" x14ac:dyDescent="0.3">
      <c r="B156" s="50"/>
      <c r="C156" s="56"/>
      <c r="D156" s="54"/>
      <c r="E156" s="57"/>
      <c r="F156" s="50"/>
      <c r="G156" s="51"/>
      <c r="H156" s="54"/>
      <c r="I156" s="53"/>
      <c r="J156" s="53"/>
      <c r="L156" s="55"/>
    </row>
    <row r="157" spans="2:12" ht="14.4" x14ac:dyDescent="0.3">
      <c r="B157" s="50"/>
      <c r="C157" s="56"/>
      <c r="D157" s="54"/>
      <c r="E157" s="57"/>
      <c r="F157" s="50"/>
      <c r="G157" s="51"/>
      <c r="H157" s="54"/>
      <c r="I157" s="53"/>
      <c r="J157" s="53"/>
      <c r="L157" s="55"/>
    </row>
    <row r="158" spans="2:12" ht="14.4" x14ac:dyDescent="0.3">
      <c r="B158" s="50"/>
      <c r="C158" s="56"/>
      <c r="D158" s="54"/>
      <c r="E158" s="57"/>
      <c r="F158" s="50"/>
      <c r="G158" s="51"/>
      <c r="H158" s="54"/>
      <c r="I158" s="53"/>
      <c r="J158" s="53"/>
      <c r="L158" s="55"/>
    </row>
    <row r="159" spans="2:12" ht="14.4" x14ac:dyDescent="0.3">
      <c r="B159" s="50"/>
      <c r="C159" s="56"/>
      <c r="D159" s="54"/>
      <c r="E159" s="57"/>
      <c r="F159" s="50"/>
      <c r="G159" s="51"/>
      <c r="H159" s="54"/>
      <c r="I159" s="53"/>
      <c r="J159" s="53"/>
      <c r="L159" s="55"/>
    </row>
    <row r="160" spans="2:12" ht="14.4" x14ac:dyDescent="0.3">
      <c r="B160" s="50"/>
      <c r="C160" s="56"/>
      <c r="D160" s="54"/>
      <c r="E160" s="57"/>
      <c r="F160" s="50"/>
      <c r="G160" s="51"/>
      <c r="H160" s="54"/>
      <c r="I160" s="53"/>
      <c r="J160" s="53"/>
      <c r="L160" s="55"/>
    </row>
    <row r="161" spans="2:12" ht="14.4" x14ac:dyDescent="0.3">
      <c r="B161" s="50"/>
      <c r="C161" s="56"/>
      <c r="D161" s="54"/>
      <c r="E161" s="57"/>
      <c r="F161" s="50"/>
      <c r="G161" s="51"/>
      <c r="H161" s="54"/>
      <c r="I161" s="53"/>
      <c r="J161" s="53"/>
      <c r="L161" s="55"/>
    </row>
    <row r="162" spans="2:12" ht="14.4" x14ac:dyDescent="0.3">
      <c r="B162" s="50"/>
      <c r="C162" s="56"/>
      <c r="D162" s="54"/>
      <c r="E162" s="57"/>
      <c r="F162" s="50"/>
      <c r="G162" s="51"/>
      <c r="H162" s="54"/>
      <c r="I162" s="53"/>
      <c r="J162" s="53"/>
      <c r="L162" s="55"/>
    </row>
    <row r="163" spans="2:12" ht="14.4" x14ac:dyDescent="0.3">
      <c r="B163" s="50"/>
      <c r="C163" s="56"/>
      <c r="D163" s="54"/>
      <c r="E163" s="57"/>
      <c r="F163" s="50"/>
      <c r="G163" s="51"/>
      <c r="H163" s="54"/>
      <c r="I163" s="53"/>
      <c r="J163" s="53"/>
      <c r="L163" s="55"/>
    </row>
    <row r="164" spans="2:12" ht="14.4" x14ac:dyDescent="0.3">
      <c r="B164" s="50"/>
      <c r="C164" s="56"/>
      <c r="D164" s="54"/>
      <c r="E164" s="57"/>
      <c r="F164" s="50"/>
      <c r="G164" s="51"/>
      <c r="H164" s="54"/>
      <c r="I164" s="53"/>
      <c r="J164" s="53"/>
      <c r="L164" s="55"/>
    </row>
    <row r="165" spans="2:12" ht="14.4" x14ac:dyDescent="0.3">
      <c r="B165" s="50"/>
      <c r="C165" s="56"/>
      <c r="D165" s="54"/>
      <c r="E165" s="57"/>
      <c r="F165" s="50"/>
      <c r="G165" s="51"/>
      <c r="H165" s="54"/>
      <c r="I165" s="53"/>
      <c r="J165" s="53"/>
      <c r="L165" s="55"/>
    </row>
    <row r="166" spans="2:12" ht="14.4" x14ac:dyDescent="0.3">
      <c r="B166" s="50"/>
      <c r="C166" s="56"/>
      <c r="D166" s="54"/>
      <c r="E166" s="57"/>
      <c r="F166" s="50"/>
      <c r="G166" s="51"/>
      <c r="H166" s="54"/>
      <c r="I166" s="53"/>
      <c r="J166" s="53"/>
      <c r="L166" s="55"/>
    </row>
    <row r="167" spans="2:12" ht="14.4" x14ac:dyDescent="0.3">
      <c r="B167" s="50"/>
      <c r="C167" s="56"/>
      <c r="D167" s="54"/>
      <c r="E167" s="57"/>
      <c r="F167" s="50"/>
      <c r="G167" s="51"/>
      <c r="H167" s="54"/>
      <c r="I167" s="53"/>
      <c r="J167" s="53"/>
      <c r="L167" s="55"/>
    </row>
    <row r="168" spans="2:12" ht="14.4" x14ac:dyDescent="0.3">
      <c r="B168" s="50"/>
      <c r="C168" s="56"/>
      <c r="D168" s="54"/>
      <c r="E168" s="57"/>
      <c r="F168" s="50"/>
      <c r="G168" s="51"/>
      <c r="H168" s="54"/>
      <c r="I168" s="53"/>
      <c r="J168" s="53"/>
      <c r="L168" s="55"/>
    </row>
    <row r="169" spans="2:12" ht="14.4" x14ac:dyDescent="0.3">
      <c r="B169" s="50"/>
      <c r="C169" s="56"/>
      <c r="D169" s="54"/>
      <c r="E169" s="57"/>
      <c r="F169" s="50"/>
      <c r="G169" s="51"/>
      <c r="H169" s="54"/>
      <c r="I169" s="53"/>
      <c r="J169" s="53"/>
      <c r="L169" s="55"/>
    </row>
    <row r="170" spans="2:12" ht="14.4" x14ac:dyDescent="0.3">
      <c r="B170" s="50"/>
      <c r="C170" s="56"/>
      <c r="D170" s="54"/>
      <c r="E170" s="57"/>
      <c r="F170" s="50"/>
      <c r="G170" s="51"/>
      <c r="H170" s="54"/>
      <c r="I170" s="53"/>
      <c r="J170" s="53"/>
      <c r="L170" s="55"/>
    </row>
    <row r="171" spans="2:12" ht="14.4" x14ac:dyDescent="0.3">
      <c r="B171" s="50"/>
      <c r="C171" s="56"/>
      <c r="D171" s="54"/>
      <c r="E171" s="57"/>
      <c r="F171" s="50"/>
      <c r="G171" s="51"/>
      <c r="H171" s="54"/>
      <c r="I171" s="53"/>
      <c r="J171" s="53"/>
      <c r="L171" s="55"/>
    </row>
    <row r="172" spans="2:12" ht="14.4" x14ac:dyDescent="0.3">
      <c r="B172" s="50"/>
      <c r="C172" s="56"/>
      <c r="D172" s="54"/>
      <c r="E172" s="57"/>
      <c r="F172" s="50"/>
      <c r="G172" s="51"/>
      <c r="H172" s="54"/>
      <c r="I172" s="53"/>
      <c r="J172" s="53"/>
      <c r="L172" s="55"/>
    </row>
    <row r="173" spans="2:12" ht="14.4" x14ac:dyDescent="0.3">
      <c r="B173" s="50"/>
      <c r="C173" s="56"/>
      <c r="D173" s="54"/>
      <c r="E173" s="57"/>
      <c r="F173" s="50"/>
      <c r="G173" s="51"/>
      <c r="H173" s="54"/>
      <c r="I173" s="53"/>
      <c r="J173" s="53"/>
      <c r="L173" s="55"/>
    </row>
    <row r="174" spans="2:12" ht="14.4" x14ac:dyDescent="0.3">
      <c r="B174" s="50"/>
      <c r="C174" s="56"/>
      <c r="D174" s="54"/>
      <c r="E174" s="57"/>
      <c r="F174" s="50"/>
      <c r="G174" s="51"/>
      <c r="H174" s="54"/>
      <c r="I174" s="53"/>
      <c r="J174" s="53"/>
      <c r="L174" s="55"/>
    </row>
    <row r="175" spans="2:12" ht="14.4" x14ac:dyDescent="0.3">
      <c r="B175" s="50"/>
      <c r="C175" s="56"/>
      <c r="D175" s="54"/>
      <c r="E175" s="57"/>
      <c r="F175" s="50"/>
      <c r="G175" s="51"/>
      <c r="H175" s="54"/>
      <c r="I175" s="53"/>
      <c r="J175" s="53"/>
      <c r="L175" s="55"/>
    </row>
    <row r="176" spans="2:12" ht="14.4" x14ac:dyDescent="0.3">
      <c r="B176" s="50"/>
      <c r="C176" s="56"/>
      <c r="D176" s="54"/>
      <c r="E176" s="57"/>
      <c r="F176" s="50"/>
      <c r="G176" s="51"/>
      <c r="H176" s="54"/>
      <c r="I176" s="53"/>
      <c r="J176" s="53"/>
      <c r="L176" s="55"/>
    </row>
    <row r="177" spans="2:12" ht="14.4" x14ac:dyDescent="0.3">
      <c r="B177" s="50"/>
      <c r="C177" s="56"/>
      <c r="D177" s="54"/>
      <c r="E177" s="57"/>
      <c r="F177" s="50"/>
      <c r="G177" s="51"/>
      <c r="H177" s="54"/>
      <c r="I177" s="53"/>
      <c r="J177" s="53"/>
      <c r="L177" s="55"/>
    </row>
    <row r="178" spans="2:12" ht="14.4" x14ac:dyDescent="0.3">
      <c r="B178" s="50"/>
      <c r="C178" s="56"/>
      <c r="D178" s="54"/>
      <c r="E178" s="57"/>
      <c r="F178" s="50"/>
      <c r="G178" s="51"/>
      <c r="H178" s="54"/>
      <c r="I178" s="53"/>
      <c r="J178" s="53"/>
      <c r="L178" s="55"/>
    </row>
    <row r="179" spans="2:12" ht="14.4" x14ac:dyDescent="0.3">
      <c r="B179" s="50"/>
      <c r="C179" s="56"/>
      <c r="D179" s="54"/>
      <c r="E179" s="57"/>
      <c r="F179" s="50"/>
      <c r="G179" s="51"/>
      <c r="H179" s="54"/>
      <c r="I179" s="53"/>
      <c r="J179" s="53"/>
      <c r="L179" s="55"/>
    </row>
    <row r="180" spans="2:12" ht="14.4" x14ac:dyDescent="0.3">
      <c r="B180" s="50"/>
      <c r="C180" s="56"/>
      <c r="D180" s="54"/>
      <c r="E180" s="57"/>
      <c r="F180" s="50"/>
      <c r="G180" s="51"/>
      <c r="H180" s="54"/>
      <c r="I180" s="53"/>
      <c r="J180" s="53"/>
      <c r="L180" s="55"/>
    </row>
    <row r="181" spans="2:12" ht="14.4" x14ac:dyDescent="0.3">
      <c r="B181" s="50"/>
      <c r="C181" s="56"/>
      <c r="D181" s="54"/>
      <c r="E181" s="57"/>
      <c r="F181" s="50"/>
      <c r="G181" s="51"/>
      <c r="H181" s="54"/>
      <c r="I181" s="53"/>
      <c r="J181" s="53"/>
      <c r="L181" s="55"/>
    </row>
    <row r="182" spans="2:12" ht="14.4" x14ac:dyDescent="0.3">
      <c r="B182" s="50"/>
      <c r="C182" s="56"/>
      <c r="D182" s="54"/>
      <c r="E182" s="57"/>
      <c r="F182" s="50"/>
      <c r="G182" s="51"/>
      <c r="H182" s="54"/>
      <c r="I182" s="53"/>
      <c r="J182" s="53"/>
      <c r="L182" s="55"/>
    </row>
    <row r="183" spans="2:12" ht="14.4" x14ac:dyDescent="0.3">
      <c r="B183" s="50"/>
      <c r="C183" s="56"/>
      <c r="D183" s="54"/>
      <c r="E183" s="57"/>
      <c r="F183" s="50"/>
      <c r="G183" s="51"/>
      <c r="H183" s="54"/>
      <c r="I183" s="53"/>
      <c r="J183" s="53"/>
      <c r="L183" s="55"/>
    </row>
    <row r="184" spans="2:12" ht="14.4" x14ac:dyDescent="0.3">
      <c r="B184" s="50"/>
      <c r="C184" s="56"/>
      <c r="D184" s="54"/>
      <c r="E184" s="57"/>
      <c r="F184" s="50"/>
      <c r="G184" s="51"/>
      <c r="H184" s="54"/>
      <c r="I184" s="53"/>
      <c r="J184" s="53"/>
      <c r="L184" s="55"/>
    </row>
    <row r="185" spans="2:12" ht="14.4" x14ac:dyDescent="0.3">
      <c r="B185" s="50"/>
      <c r="C185" s="56"/>
      <c r="D185" s="54"/>
      <c r="E185" s="57"/>
      <c r="F185" s="50"/>
      <c r="G185" s="51"/>
      <c r="H185" s="54"/>
      <c r="I185" s="53"/>
      <c r="J185" s="53"/>
      <c r="L185" s="55"/>
    </row>
    <row r="186" spans="2:12" ht="14.4" x14ac:dyDescent="0.3">
      <c r="B186" s="50"/>
      <c r="C186" s="56"/>
      <c r="D186" s="54"/>
      <c r="E186" s="57"/>
      <c r="F186" s="50"/>
      <c r="G186" s="51"/>
      <c r="H186" s="54"/>
      <c r="I186" s="53"/>
      <c r="J186" s="53"/>
      <c r="L186" s="55"/>
    </row>
    <row r="187" spans="2:12" ht="14.4" x14ac:dyDescent="0.3">
      <c r="B187" s="50"/>
      <c r="C187" s="56"/>
      <c r="D187" s="54"/>
      <c r="E187" s="57"/>
      <c r="F187" s="50"/>
      <c r="G187" s="51"/>
      <c r="H187" s="54"/>
      <c r="I187" s="53"/>
      <c r="J187" s="53"/>
      <c r="L187" s="55"/>
    </row>
    <row r="188" spans="2:12" ht="14.4" x14ac:dyDescent="0.3">
      <c r="B188" s="50"/>
      <c r="C188" s="56"/>
      <c r="D188" s="54"/>
      <c r="E188" s="57"/>
      <c r="F188" s="50"/>
      <c r="G188" s="51"/>
      <c r="H188" s="54"/>
      <c r="I188" s="53"/>
      <c r="J188" s="53"/>
      <c r="L188" s="55"/>
    </row>
    <row r="189" spans="2:12" ht="14.4" x14ac:dyDescent="0.3">
      <c r="B189" s="50"/>
      <c r="C189" s="56"/>
      <c r="D189" s="54"/>
      <c r="E189" s="57"/>
      <c r="F189" s="50"/>
      <c r="G189" s="51"/>
      <c r="H189" s="54"/>
      <c r="I189" s="53"/>
      <c r="J189" s="53"/>
      <c r="L189" s="55"/>
    </row>
    <row r="190" spans="2:12" ht="14.4" x14ac:dyDescent="0.3">
      <c r="B190" s="50"/>
      <c r="C190" s="56"/>
      <c r="D190" s="54"/>
      <c r="E190" s="57"/>
      <c r="F190" s="50"/>
      <c r="G190" s="51"/>
      <c r="H190" s="54"/>
      <c r="I190" s="53"/>
      <c r="J190" s="53"/>
      <c r="L190" s="55"/>
    </row>
    <row r="191" spans="2:12" ht="14.4" x14ac:dyDescent="0.3">
      <c r="B191" s="50"/>
      <c r="C191" s="56"/>
      <c r="D191" s="54"/>
      <c r="E191" s="57"/>
      <c r="F191" s="50"/>
      <c r="G191" s="51"/>
      <c r="H191" s="54"/>
      <c r="I191" s="53"/>
      <c r="J191" s="53"/>
      <c r="L191" s="55"/>
    </row>
    <row r="192" spans="2:12" ht="14.4" x14ac:dyDescent="0.3">
      <c r="B192" s="50"/>
      <c r="C192" s="56"/>
      <c r="D192" s="54"/>
      <c r="E192" s="57"/>
      <c r="F192" s="50"/>
      <c r="G192" s="51"/>
      <c r="H192" s="54"/>
      <c r="I192" s="53"/>
      <c r="J192" s="53"/>
      <c r="L192" s="55"/>
    </row>
    <row r="193" spans="2:12" ht="14.4" x14ac:dyDescent="0.3">
      <c r="B193" s="50"/>
      <c r="C193" s="56"/>
      <c r="D193" s="54"/>
      <c r="E193" s="57"/>
      <c r="F193" s="50"/>
      <c r="G193" s="51"/>
      <c r="H193" s="54"/>
      <c r="I193" s="53"/>
      <c r="J193" s="53"/>
      <c r="L193" s="55"/>
    </row>
    <row r="194" spans="2:12" ht="14.4" x14ac:dyDescent="0.3">
      <c r="B194" s="50"/>
      <c r="C194" s="56"/>
      <c r="D194" s="54"/>
      <c r="E194" s="57"/>
      <c r="F194" s="50"/>
      <c r="G194" s="51"/>
      <c r="H194" s="54"/>
      <c r="I194" s="53"/>
      <c r="J194" s="53"/>
      <c r="L194" s="55"/>
    </row>
    <row r="195" spans="2:12" ht="14.4" x14ac:dyDescent="0.3">
      <c r="B195" s="50"/>
      <c r="C195" s="56"/>
      <c r="D195" s="54"/>
      <c r="E195" s="57"/>
      <c r="F195" s="50"/>
      <c r="G195" s="51"/>
      <c r="H195" s="54"/>
      <c r="I195" s="53"/>
      <c r="J195" s="53"/>
      <c r="L195" s="55"/>
    </row>
    <row r="196" spans="2:12" ht="14.4" x14ac:dyDescent="0.3">
      <c r="B196" s="50"/>
      <c r="C196" s="56"/>
      <c r="D196" s="54"/>
      <c r="E196" s="57"/>
      <c r="F196" s="50"/>
      <c r="G196" s="51"/>
      <c r="H196" s="54"/>
      <c r="I196" s="53"/>
      <c r="J196" s="53"/>
      <c r="L196" s="55"/>
    </row>
    <row r="197" spans="2:12" ht="14.4" x14ac:dyDescent="0.3">
      <c r="B197" s="50"/>
      <c r="C197" s="56"/>
      <c r="D197" s="54"/>
      <c r="E197" s="57"/>
      <c r="F197" s="50"/>
      <c r="G197" s="51"/>
      <c r="H197" s="54"/>
      <c r="I197" s="53"/>
      <c r="J197" s="53"/>
      <c r="L197" s="55"/>
    </row>
    <row r="198" spans="2:12" ht="14.4" x14ac:dyDescent="0.3">
      <c r="B198" s="50"/>
      <c r="C198" s="56"/>
      <c r="D198" s="54"/>
      <c r="E198" s="57"/>
      <c r="F198" s="50"/>
      <c r="G198" s="51"/>
      <c r="H198" s="54"/>
      <c r="I198" s="53"/>
      <c r="J198" s="53"/>
      <c r="L198" s="55"/>
    </row>
    <row r="199" spans="2:12" ht="14.4" x14ac:dyDescent="0.3">
      <c r="B199" s="50"/>
      <c r="C199" s="56"/>
      <c r="D199" s="54"/>
      <c r="E199" s="57"/>
      <c r="F199" s="50"/>
      <c r="G199" s="51"/>
      <c r="H199" s="54"/>
      <c r="I199" s="53"/>
      <c r="J199" s="53"/>
      <c r="L199" s="55"/>
    </row>
    <row r="200" spans="2:12" ht="14.4" x14ac:dyDescent="0.3">
      <c r="B200" s="50"/>
      <c r="C200" s="56"/>
      <c r="D200" s="54"/>
      <c r="E200" s="57"/>
      <c r="F200" s="50"/>
      <c r="G200" s="51"/>
      <c r="H200" s="54"/>
      <c r="I200" s="53"/>
      <c r="J200" s="53"/>
      <c r="L200" s="55"/>
    </row>
    <row r="201" spans="2:12" ht="14.4" x14ac:dyDescent="0.3">
      <c r="B201" s="50"/>
      <c r="C201" s="56"/>
      <c r="D201" s="54"/>
      <c r="E201" s="57"/>
      <c r="F201" s="50"/>
      <c r="G201" s="51"/>
      <c r="H201" s="54"/>
      <c r="I201" s="53"/>
      <c r="J201" s="53"/>
      <c r="L201" s="55"/>
    </row>
    <row r="202" spans="2:12" ht="14.4" x14ac:dyDescent="0.3">
      <c r="B202" s="50"/>
      <c r="C202" s="56"/>
      <c r="D202" s="54"/>
      <c r="E202" s="57"/>
      <c r="F202" s="50"/>
      <c r="G202" s="51"/>
      <c r="H202" s="54"/>
      <c r="I202" s="53"/>
      <c r="J202" s="53"/>
      <c r="L202" s="55"/>
    </row>
    <row r="203" spans="2:12" ht="14.4" x14ac:dyDescent="0.3">
      <c r="B203" s="50"/>
      <c r="C203" s="56"/>
      <c r="D203" s="54"/>
      <c r="E203" s="57"/>
      <c r="F203" s="50"/>
      <c r="G203" s="51"/>
      <c r="H203" s="54"/>
      <c r="I203" s="53"/>
      <c r="J203" s="53"/>
      <c r="L203" s="55"/>
    </row>
    <row r="204" spans="2:12" ht="14.4" x14ac:dyDescent="0.3">
      <c r="B204" s="50"/>
      <c r="C204" s="56"/>
      <c r="D204" s="54"/>
      <c r="E204" s="57"/>
      <c r="F204" s="50"/>
      <c r="G204" s="51"/>
      <c r="H204" s="54"/>
      <c r="I204" s="53"/>
      <c r="J204" s="53"/>
      <c r="L204" s="55"/>
    </row>
    <row r="205" spans="2:12" ht="14.4" x14ac:dyDescent="0.3">
      <c r="B205" s="50"/>
      <c r="C205" s="56"/>
      <c r="D205" s="54"/>
      <c r="E205" s="57"/>
      <c r="F205" s="50"/>
      <c r="G205" s="51"/>
      <c r="H205" s="54"/>
      <c r="I205" s="53"/>
      <c r="J205" s="53"/>
      <c r="L205" s="55"/>
    </row>
    <row r="206" spans="2:12" ht="14.4" x14ac:dyDescent="0.3">
      <c r="B206" s="50"/>
      <c r="C206" s="56"/>
      <c r="D206" s="54"/>
      <c r="E206" s="57"/>
      <c r="F206" s="50"/>
      <c r="G206" s="51"/>
      <c r="H206" s="54"/>
      <c r="I206" s="53"/>
      <c r="J206" s="53"/>
      <c r="L206" s="55"/>
    </row>
    <row r="207" spans="2:12" ht="14.4" x14ac:dyDescent="0.3">
      <c r="B207" s="50"/>
      <c r="C207" s="56"/>
      <c r="D207" s="54"/>
      <c r="E207" s="57"/>
      <c r="F207" s="50"/>
      <c r="G207" s="51"/>
      <c r="H207" s="54"/>
      <c r="I207" s="53"/>
      <c r="J207" s="53"/>
      <c r="L207" s="55"/>
    </row>
    <row r="208" spans="2:12" ht="14.4" x14ac:dyDescent="0.3">
      <c r="B208" s="50"/>
      <c r="C208" s="56"/>
      <c r="D208" s="54"/>
      <c r="E208" s="57"/>
      <c r="F208" s="50"/>
      <c r="G208" s="51"/>
      <c r="H208" s="54"/>
      <c r="I208" s="53"/>
      <c r="J208" s="53"/>
      <c r="L208" s="55"/>
    </row>
    <row r="209" spans="2:12" ht="14.4" x14ac:dyDescent="0.3">
      <c r="B209" s="50"/>
      <c r="C209" s="56"/>
      <c r="D209" s="54"/>
      <c r="E209" s="57"/>
      <c r="F209" s="50"/>
      <c r="G209" s="51"/>
      <c r="H209" s="54"/>
      <c r="I209" s="53"/>
      <c r="J209" s="53"/>
      <c r="L209" s="55"/>
    </row>
    <row r="210" spans="2:12" ht="14.4" x14ac:dyDescent="0.3">
      <c r="B210" s="50"/>
      <c r="C210" s="56"/>
      <c r="D210" s="54"/>
      <c r="E210" s="57"/>
      <c r="F210" s="50"/>
      <c r="G210" s="51"/>
      <c r="H210" s="54"/>
      <c r="I210" s="53"/>
      <c r="J210" s="53"/>
      <c r="L210" s="55"/>
    </row>
    <row r="211" spans="2:12" ht="14.4" x14ac:dyDescent="0.3">
      <c r="B211" s="50"/>
      <c r="C211" s="56"/>
      <c r="D211" s="54"/>
      <c r="E211" s="57"/>
      <c r="F211" s="50"/>
      <c r="G211" s="51"/>
      <c r="H211" s="54"/>
      <c r="I211" s="53"/>
      <c r="J211" s="53"/>
      <c r="L211" s="55"/>
    </row>
    <row r="212" spans="2:12" ht="14.4" x14ac:dyDescent="0.3">
      <c r="B212" s="50"/>
      <c r="C212" s="56"/>
      <c r="D212" s="54"/>
      <c r="E212" s="57"/>
      <c r="F212" s="50"/>
      <c r="G212" s="51"/>
      <c r="H212" s="54"/>
      <c r="I212" s="53"/>
      <c r="J212" s="53"/>
      <c r="L212" s="55"/>
    </row>
    <row r="213" spans="2:12" ht="14.4" x14ac:dyDescent="0.3">
      <c r="B213" s="50"/>
      <c r="C213" s="56"/>
      <c r="D213" s="54"/>
      <c r="E213" s="57"/>
      <c r="F213" s="50"/>
      <c r="G213" s="51"/>
      <c r="H213" s="54"/>
      <c r="I213" s="53"/>
      <c r="J213" s="53"/>
      <c r="L213" s="55"/>
    </row>
    <row r="214" spans="2:12" ht="14.4" x14ac:dyDescent="0.3">
      <c r="B214" s="50"/>
      <c r="C214" s="56"/>
      <c r="D214" s="54"/>
      <c r="E214" s="57"/>
      <c r="F214" s="50"/>
      <c r="G214" s="51"/>
      <c r="H214" s="54"/>
      <c r="I214" s="53"/>
      <c r="J214" s="53"/>
      <c r="L214" s="55"/>
    </row>
    <row r="215" spans="2:12" ht="14.4" x14ac:dyDescent="0.3">
      <c r="B215" s="50"/>
      <c r="C215" s="56"/>
      <c r="D215" s="54"/>
      <c r="E215" s="57"/>
      <c r="F215" s="50"/>
      <c r="G215" s="51"/>
      <c r="H215" s="54"/>
      <c r="I215" s="53"/>
      <c r="J215" s="53"/>
      <c r="L215" s="55"/>
    </row>
    <row r="216" spans="2:12" ht="14.4" x14ac:dyDescent="0.3">
      <c r="B216" s="50"/>
      <c r="C216" s="56"/>
      <c r="D216" s="54"/>
      <c r="E216" s="57"/>
      <c r="F216" s="50"/>
      <c r="G216" s="51"/>
      <c r="H216" s="54"/>
      <c r="I216" s="53"/>
      <c r="J216" s="53"/>
      <c r="L216" s="55"/>
    </row>
    <row r="217" spans="2:12" ht="14.4" x14ac:dyDescent="0.3">
      <c r="B217" s="50"/>
      <c r="C217" s="56"/>
      <c r="D217" s="54"/>
      <c r="E217" s="57"/>
      <c r="F217" s="50"/>
      <c r="G217" s="51"/>
      <c r="H217" s="54"/>
      <c r="I217" s="53"/>
      <c r="J217" s="53"/>
      <c r="L217" s="55"/>
    </row>
    <row r="218" spans="2:12" ht="14.4" x14ac:dyDescent="0.3">
      <c r="B218" s="50"/>
      <c r="C218" s="56"/>
      <c r="D218" s="54"/>
      <c r="E218" s="57"/>
      <c r="F218" s="50"/>
      <c r="G218" s="51"/>
      <c r="H218" s="54"/>
      <c r="I218" s="53"/>
      <c r="J218" s="53"/>
      <c r="L218" s="55"/>
    </row>
    <row r="219" spans="2:12" ht="14.4" x14ac:dyDescent="0.3">
      <c r="B219" s="50"/>
      <c r="C219" s="56"/>
      <c r="D219" s="54"/>
      <c r="E219" s="57"/>
      <c r="F219" s="50"/>
      <c r="G219" s="51"/>
      <c r="H219" s="54"/>
      <c r="I219" s="53"/>
      <c r="J219" s="53"/>
      <c r="L219" s="55"/>
    </row>
    <row r="220" spans="2:12" ht="14.4" x14ac:dyDescent="0.3">
      <c r="B220" s="50"/>
      <c r="C220" s="56"/>
      <c r="D220" s="54"/>
      <c r="E220" s="57"/>
      <c r="F220" s="50"/>
      <c r="G220" s="51"/>
      <c r="H220" s="54"/>
      <c r="I220" s="53"/>
      <c r="J220" s="53"/>
      <c r="L220" s="55"/>
    </row>
    <row r="221" spans="2:12" ht="14.4" x14ac:dyDescent="0.3">
      <c r="B221" s="50"/>
      <c r="C221" s="56"/>
      <c r="D221" s="54"/>
      <c r="E221" s="57"/>
      <c r="F221" s="50"/>
      <c r="G221" s="51"/>
      <c r="H221" s="54"/>
      <c r="I221" s="53"/>
      <c r="J221" s="53"/>
      <c r="L221" s="55"/>
    </row>
    <row r="222" spans="2:12" ht="14.4" x14ac:dyDescent="0.3">
      <c r="B222" s="50"/>
      <c r="C222" s="56"/>
      <c r="D222" s="54"/>
      <c r="E222" s="57"/>
      <c r="F222" s="50"/>
      <c r="G222" s="51"/>
      <c r="H222" s="54"/>
      <c r="I222" s="53"/>
      <c r="J222" s="53"/>
      <c r="L222" s="55"/>
    </row>
    <row r="223" spans="2:12" ht="14.4" x14ac:dyDescent="0.3">
      <c r="B223" s="50"/>
      <c r="C223" s="56"/>
      <c r="D223" s="54"/>
      <c r="E223" s="57"/>
      <c r="F223" s="50"/>
      <c r="G223" s="51"/>
      <c r="H223" s="54"/>
      <c r="I223" s="53"/>
      <c r="J223" s="53"/>
      <c r="L223" s="55"/>
    </row>
    <row r="224" spans="2:12" ht="14.4" x14ac:dyDescent="0.3">
      <c r="B224" s="50"/>
      <c r="C224" s="56"/>
      <c r="D224" s="54"/>
      <c r="E224" s="57"/>
      <c r="F224" s="50"/>
      <c r="G224" s="51"/>
      <c r="H224" s="54"/>
      <c r="I224" s="53"/>
      <c r="J224" s="53"/>
      <c r="L224" s="55"/>
    </row>
    <row r="225" spans="2:12" ht="14.4" x14ac:dyDescent="0.3">
      <c r="B225" s="50"/>
      <c r="C225" s="56"/>
      <c r="D225" s="54"/>
      <c r="E225" s="57"/>
      <c r="F225" s="50"/>
      <c r="G225" s="51"/>
      <c r="H225" s="54"/>
      <c r="I225" s="53"/>
      <c r="J225" s="53"/>
      <c r="L225" s="55"/>
    </row>
    <row r="226" spans="2:12" ht="14.4" x14ac:dyDescent="0.3">
      <c r="B226" s="50"/>
      <c r="C226" s="56"/>
      <c r="D226" s="54"/>
      <c r="E226" s="57"/>
      <c r="F226" s="50"/>
      <c r="G226" s="51"/>
      <c r="H226" s="54"/>
      <c r="I226" s="53"/>
      <c r="J226" s="53"/>
      <c r="L226" s="55"/>
    </row>
    <row r="227" spans="2:12" ht="14.4" x14ac:dyDescent="0.3">
      <c r="B227" s="50"/>
      <c r="C227" s="56"/>
      <c r="D227" s="54"/>
      <c r="E227" s="57"/>
      <c r="F227" s="50"/>
      <c r="G227" s="51"/>
      <c r="H227" s="54"/>
      <c r="I227" s="53"/>
      <c r="J227" s="53"/>
      <c r="L227" s="55"/>
    </row>
    <row r="228" spans="2:12" ht="14.4" x14ac:dyDescent="0.3">
      <c r="B228" s="50"/>
      <c r="C228" s="56"/>
      <c r="D228" s="54"/>
      <c r="E228" s="57"/>
      <c r="F228" s="50"/>
      <c r="G228" s="51"/>
      <c r="H228" s="54"/>
      <c r="I228" s="53"/>
      <c r="J228" s="53"/>
      <c r="L228" s="55"/>
    </row>
    <row r="229" spans="2:12" ht="14.4" x14ac:dyDescent="0.3">
      <c r="B229" s="50"/>
      <c r="C229" s="56"/>
      <c r="D229" s="54"/>
      <c r="E229" s="57"/>
      <c r="F229" s="50"/>
      <c r="G229" s="51"/>
      <c r="H229" s="54"/>
      <c r="I229" s="53"/>
      <c r="J229" s="53"/>
      <c r="L229" s="55"/>
    </row>
    <row r="230" spans="2:12" ht="14.4" x14ac:dyDescent="0.3">
      <c r="B230" s="50"/>
      <c r="C230" s="56"/>
      <c r="D230" s="54"/>
      <c r="E230" s="57"/>
      <c r="F230" s="50"/>
      <c r="G230" s="51"/>
      <c r="H230" s="54"/>
      <c r="I230" s="53"/>
      <c r="J230" s="53"/>
      <c r="L230" s="55"/>
    </row>
    <row r="231" spans="2:12" ht="14.4" x14ac:dyDescent="0.3">
      <c r="B231" s="50"/>
      <c r="C231" s="56"/>
      <c r="D231" s="54"/>
      <c r="E231" s="57"/>
      <c r="F231" s="50"/>
      <c r="G231" s="51"/>
      <c r="H231" s="54"/>
      <c r="I231" s="53"/>
      <c r="J231" s="53"/>
      <c r="L231" s="55"/>
    </row>
    <row r="232" spans="2:12" ht="14.4" x14ac:dyDescent="0.3">
      <c r="B232" s="50"/>
      <c r="C232" s="56"/>
      <c r="D232" s="54"/>
      <c r="E232" s="57"/>
      <c r="F232" s="50"/>
      <c r="G232" s="51"/>
      <c r="H232" s="54"/>
      <c r="I232" s="53"/>
      <c r="J232" s="53"/>
      <c r="L232" s="55"/>
    </row>
    <row r="233" spans="2:12" ht="14.4" x14ac:dyDescent="0.3">
      <c r="B233" s="50"/>
      <c r="C233" s="56"/>
      <c r="D233" s="54"/>
      <c r="E233" s="57"/>
      <c r="F233" s="50"/>
      <c r="G233" s="51"/>
      <c r="H233" s="54"/>
      <c r="I233" s="53"/>
      <c r="J233" s="53"/>
      <c r="L233" s="55"/>
    </row>
    <row r="234" spans="2:12" ht="14.4" x14ac:dyDescent="0.3">
      <c r="B234" s="50"/>
      <c r="C234" s="56"/>
      <c r="D234" s="54"/>
      <c r="E234" s="57"/>
      <c r="F234" s="50"/>
      <c r="G234" s="51"/>
      <c r="H234" s="54"/>
      <c r="I234" s="53"/>
      <c r="J234" s="53"/>
      <c r="L234" s="55"/>
    </row>
    <row r="235" spans="2:12" ht="14.4" x14ac:dyDescent="0.3">
      <c r="B235" s="50"/>
      <c r="C235" s="56"/>
      <c r="D235" s="54"/>
      <c r="E235" s="57"/>
      <c r="F235" s="50"/>
      <c r="G235" s="51"/>
      <c r="H235" s="54"/>
      <c r="I235" s="53"/>
      <c r="J235" s="53"/>
      <c r="L235" s="55"/>
    </row>
    <row r="236" spans="2:12" ht="14.4" x14ac:dyDescent="0.3">
      <c r="B236" s="50"/>
      <c r="C236" s="56"/>
      <c r="D236" s="54"/>
      <c r="E236" s="57"/>
      <c r="F236" s="50"/>
      <c r="G236" s="51"/>
      <c r="H236" s="54"/>
      <c r="I236" s="53"/>
      <c r="J236" s="53"/>
      <c r="L236" s="55"/>
    </row>
    <row r="237" spans="2:12" ht="14.4" x14ac:dyDescent="0.3">
      <c r="B237" s="50"/>
      <c r="C237" s="56"/>
      <c r="D237" s="54"/>
      <c r="E237" s="57"/>
      <c r="F237" s="50"/>
      <c r="G237" s="51"/>
      <c r="H237" s="54"/>
      <c r="I237" s="53"/>
      <c r="J237" s="53"/>
      <c r="L237" s="55"/>
    </row>
    <row r="238" spans="2:12" ht="14.4" x14ac:dyDescent="0.3">
      <c r="B238" s="50"/>
      <c r="C238" s="56"/>
      <c r="D238" s="54"/>
      <c r="E238" s="57"/>
      <c r="F238" s="50"/>
      <c r="G238" s="51"/>
      <c r="H238" s="54"/>
      <c r="I238" s="53"/>
      <c r="J238" s="53"/>
      <c r="L238" s="55"/>
    </row>
    <row r="239" spans="2:12" ht="14.4" x14ac:dyDescent="0.3">
      <c r="B239" s="50"/>
      <c r="C239" s="56"/>
      <c r="D239" s="54"/>
      <c r="E239" s="57"/>
      <c r="F239" s="50"/>
      <c r="G239" s="51"/>
      <c r="H239" s="54"/>
      <c r="I239" s="53"/>
      <c r="J239" s="53"/>
      <c r="L239" s="55"/>
    </row>
    <row r="240" spans="2:12" ht="14.4" x14ac:dyDescent="0.3">
      <c r="B240" s="50"/>
      <c r="C240" s="56"/>
      <c r="D240" s="54"/>
      <c r="E240" s="57"/>
      <c r="F240" s="50"/>
      <c r="G240" s="51"/>
      <c r="H240" s="54"/>
      <c r="I240" s="53"/>
      <c r="J240" s="53"/>
      <c r="L240" s="55"/>
    </row>
    <row r="241" spans="2:12" ht="14.4" x14ac:dyDescent="0.3">
      <c r="B241" s="50"/>
      <c r="C241" s="56"/>
      <c r="D241" s="54"/>
      <c r="E241" s="57"/>
      <c r="F241" s="50"/>
      <c r="G241" s="51"/>
      <c r="H241" s="54"/>
      <c r="I241" s="53"/>
      <c r="J241" s="53"/>
      <c r="L241" s="55"/>
    </row>
    <row r="242" spans="2:12" ht="14.4" x14ac:dyDescent="0.3">
      <c r="B242" s="50"/>
      <c r="C242" s="56"/>
      <c r="D242" s="54"/>
      <c r="E242" s="57"/>
      <c r="F242" s="50"/>
      <c r="G242" s="51"/>
      <c r="H242" s="54"/>
      <c r="I242" s="53"/>
      <c r="J242" s="53"/>
      <c r="L242" s="55"/>
    </row>
    <row r="243" spans="2:12" ht="14.4" x14ac:dyDescent="0.3">
      <c r="B243" s="50"/>
      <c r="C243" s="56"/>
      <c r="D243" s="54"/>
      <c r="E243" s="57"/>
      <c r="F243" s="50"/>
      <c r="G243" s="51"/>
      <c r="H243" s="54"/>
      <c r="I243" s="53"/>
      <c r="J243" s="53"/>
      <c r="L243" s="55"/>
    </row>
    <row r="244" spans="2:12" ht="14.4" x14ac:dyDescent="0.3">
      <c r="B244" s="50"/>
      <c r="C244" s="56"/>
      <c r="D244" s="54"/>
      <c r="E244" s="57"/>
      <c r="F244" s="50"/>
      <c r="G244" s="51"/>
      <c r="H244" s="54"/>
      <c r="I244" s="53"/>
      <c r="J244" s="53"/>
      <c r="L244" s="55"/>
    </row>
    <row r="245" spans="2:12" ht="14.4" x14ac:dyDescent="0.3">
      <c r="B245" s="50"/>
      <c r="C245" s="56"/>
      <c r="D245" s="54"/>
      <c r="E245" s="57"/>
      <c r="F245" s="50"/>
      <c r="G245" s="51"/>
      <c r="H245" s="54"/>
      <c r="I245" s="53"/>
      <c r="J245" s="53"/>
      <c r="L245" s="55"/>
    </row>
    <row r="246" spans="2:12" ht="14.4" x14ac:dyDescent="0.3">
      <c r="B246" s="50"/>
      <c r="C246" s="56"/>
      <c r="D246" s="54"/>
      <c r="E246" s="57"/>
      <c r="F246" s="50"/>
      <c r="G246" s="51"/>
      <c r="H246" s="54"/>
      <c r="I246" s="53"/>
      <c r="J246" s="53"/>
      <c r="L246" s="55"/>
    </row>
    <row r="247" spans="2:12" ht="14.4" x14ac:dyDescent="0.3">
      <c r="B247" s="50"/>
      <c r="C247" s="56"/>
      <c r="D247" s="54"/>
      <c r="E247" s="57"/>
      <c r="F247" s="50"/>
      <c r="G247" s="51"/>
      <c r="H247" s="54"/>
      <c r="I247" s="53"/>
      <c r="J247" s="53"/>
      <c r="L247" s="55"/>
    </row>
    <row r="248" spans="2:12" ht="14.4" x14ac:dyDescent="0.3">
      <c r="B248" s="50"/>
      <c r="C248" s="56"/>
      <c r="D248" s="54"/>
      <c r="E248" s="57"/>
      <c r="F248" s="50"/>
      <c r="G248" s="51"/>
      <c r="H248" s="54"/>
      <c r="I248" s="53"/>
      <c r="J248" s="53"/>
      <c r="L248" s="55"/>
    </row>
    <row r="249" spans="2:12" ht="14.4" x14ac:dyDescent="0.3">
      <c r="B249" s="50"/>
      <c r="C249" s="56"/>
      <c r="D249" s="54"/>
      <c r="E249" s="57"/>
      <c r="F249" s="50"/>
      <c r="G249" s="51"/>
      <c r="H249" s="54"/>
      <c r="I249" s="53"/>
      <c r="J249" s="53"/>
      <c r="L249" s="55"/>
    </row>
    <row r="250" spans="2:12" ht="14.4" x14ac:dyDescent="0.3">
      <c r="B250" s="50"/>
      <c r="C250" s="56"/>
      <c r="D250" s="54"/>
      <c r="E250" s="57"/>
      <c r="F250" s="50"/>
      <c r="G250" s="51"/>
      <c r="H250" s="54"/>
      <c r="I250" s="53"/>
      <c r="J250" s="53"/>
      <c r="L250" s="55"/>
    </row>
    <row r="251" spans="2:12" ht="14.4" x14ac:dyDescent="0.3">
      <c r="B251" s="50"/>
      <c r="C251" s="56"/>
      <c r="D251" s="54"/>
      <c r="E251" s="57"/>
      <c r="F251" s="50"/>
      <c r="G251" s="51"/>
      <c r="H251" s="54"/>
      <c r="I251" s="53"/>
      <c r="J251" s="53"/>
      <c r="L251" s="55"/>
    </row>
    <row r="252" spans="2:12" ht="14.4" x14ac:dyDescent="0.3">
      <c r="B252" s="50"/>
      <c r="C252" s="56"/>
      <c r="D252" s="54"/>
      <c r="E252" s="57"/>
      <c r="F252" s="50"/>
      <c r="G252" s="51"/>
      <c r="H252" s="54"/>
      <c r="I252" s="53"/>
      <c r="J252" s="53"/>
      <c r="L252" s="55"/>
    </row>
    <row r="253" spans="2:12" ht="14.4" x14ac:dyDescent="0.3">
      <c r="B253" s="50"/>
      <c r="C253" s="56"/>
      <c r="D253" s="54"/>
      <c r="E253" s="57"/>
      <c r="F253" s="50"/>
      <c r="G253" s="51"/>
      <c r="H253" s="54"/>
      <c r="I253" s="53"/>
      <c r="J253" s="53"/>
      <c r="L253" s="55"/>
    </row>
    <row r="254" spans="2:12" ht="14.4" x14ac:dyDescent="0.3">
      <c r="B254" s="50"/>
      <c r="C254" s="56"/>
      <c r="D254" s="54"/>
      <c r="E254" s="57"/>
      <c r="F254" s="50"/>
      <c r="G254" s="51"/>
      <c r="H254" s="54"/>
      <c r="I254" s="53"/>
      <c r="J254" s="53"/>
      <c r="L254" s="55"/>
    </row>
    <row r="255" spans="2:12" ht="14.4" x14ac:dyDescent="0.3">
      <c r="B255" s="50"/>
      <c r="C255" s="56"/>
      <c r="D255" s="54"/>
      <c r="E255" s="57"/>
      <c r="F255" s="50"/>
      <c r="G255" s="51"/>
      <c r="H255" s="54"/>
      <c r="I255" s="53"/>
      <c r="J255" s="53"/>
      <c r="L255" s="55"/>
    </row>
    <row r="256" spans="2:12" ht="14.4" x14ac:dyDescent="0.3">
      <c r="B256" s="50"/>
      <c r="C256" s="56"/>
      <c r="D256" s="54"/>
      <c r="E256" s="57"/>
      <c r="F256" s="50"/>
      <c r="G256" s="51"/>
      <c r="H256" s="54"/>
      <c r="I256" s="53"/>
      <c r="J256" s="53"/>
      <c r="L256" s="55"/>
    </row>
    <row r="257" spans="2:12" ht="14.4" x14ac:dyDescent="0.3">
      <c r="B257" s="50"/>
      <c r="C257" s="56"/>
      <c r="D257" s="54"/>
      <c r="E257" s="57"/>
      <c r="F257" s="50"/>
      <c r="G257" s="51"/>
      <c r="H257" s="54"/>
      <c r="I257" s="53"/>
      <c r="J257" s="53"/>
      <c r="L257" s="55"/>
    </row>
    <row r="258" spans="2:12" ht="14.4" x14ac:dyDescent="0.3">
      <c r="B258" s="50"/>
      <c r="C258" s="56"/>
      <c r="D258" s="54"/>
      <c r="E258" s="57"/>
      <c r="F258" s="50"/>
      <c r="G258" s="51"/>
      <c r="H258" s="54"/>
      <c r="I258" s="53"/>
      <c r="J258" s="53"/>
      <c r="L258" s="55"/>
    </row>
    <row r="259" spans="2:12" ht="14.4" x14ac:dyDescent="0.3">
      <c r="B259" s="50"/>
      <c r="C259" s="56"/>
      <c r="D259" s="54"/>
      <c r="E259" s="57"/>
      <c r="F259" s="50"/>
      <c r="G259" s="51"/>
      <c r="H259" s="54"/>
      <c r="I259" s="53"/>
      <c r="J259" s="53"/>
      <c r="L259" s="55"/>
    </row>
    <row r="260" spans="2:12" ht="14.4" x14ac:dyDescent="0.3">
      <c r="B260" s="50"/>
      <c r="C260" s="56"/>
      <c r="D260" s="54"/>
      <c r="E260" s="57"/>
      <c r="F260" s="50"/>
      <c r="G260" s="51"/>
      <c r="H260" s="54"/>
      <c r="I260" s="53"/>
      <c r="J260" s="53"/>
      <c r="L260" s="55"/>
    </row>
    <row r="261" spans="2:12" ht="14.4" x14ac:dyDescent="0.3">
      <c r="B261" s="50"/>
      <c r="C261" s="56"/>
      <c r="D261" s="54"/>
      <c r="E261" s="57"/>
      <c r="F261" s="50"/>
      <c r="G261" s="51"/>
      <c r="H261" s="54"/>
      <c r="I261" s="53"/>
      <c r="J261" s="53"/>
      <c r="L261" s="55"/>
    </row>
    <row r="262" spans="2:12" ht="14.4" x14ac:dyDescent="0.3">
      <c r="B262" s="50"/>
      <c r="C262" s="56"/>
      <c r="D262" s="54"/>
      <c r="E262" s="57"/>
      <c r="F262" s="50"/>
      <c r="G262" s="51"/>
      <c r="H262" s="54"/>
      <c r="I262" s="53"/>
      <c r="J262" s="53"/>
      <c r="L262" s="55"/>
    </row>
    <row r="263" spans="2:12" ht="14.4" x14ac:dyDescent="0.3">
      <c r="B263" s="50"/>
      <c r="C263" s="56"/>
      <c r="D263" s="54"/>
      <c r="E263" s="57"/>
      <c r="F263" s="50"/>
      <c r="G263" s="51"/>
      <c r="H263" s="54"/>
      <c r="I263" s="53"/>
      <c r="J263" s="53"/>
      <c r="L263" s="55"/>
    </row>
    <row r="264" spans="2:12" ht="14.4" x14ac:dyDescent="0.3">
      <c r="B264" s="50"/>
      <c r="C264" s="56"/>
      <c r="D264" s="54"/>
      <c r="E264" s="57"/>
      <c r="F264" s="50"/>
      <c r="G264" s="51"/>
      <c r="H264" s="54"/>
      <c r="I264" s="53"/>
      <c r="J264" s="53"/>
      <c r="L264" s="55"/>
    </row>
    <row r="265" spans="2:12" ht="14.4" x14ac:dyDescent="0.3">
      <c r="B265" s="50"/>
      <c r="C265" s="56"/>
      <c r="D265" s="54"/>
      <c r="E265" s="57"/>
      <c r="F265" s="50"/>
      <c r="G265" s="51"/>
      <c r="H265" s="54"/>
      <c r="I265" s="53"/>
      <c r="J265" s="53"/>
      <c r="L265" s="55"/>
    </row>
    <row r="266" spans="2:12" ht="14.4" x14ac:dyDescent="0.3">
      <c r="B266" s="50"/>
      <c r="C266" s="56"/>
      <c r="D266" s="54"/>
      <c r="E266" s="57"/>
      <c r="F266" s="50"/>
      <c r="G266" s="51"/>
      <c r="H266" s="54"/>
      <c r="I266" s="53"/>
      <c r="J266" s="53"/>
      <c r="L266" s="55"/>
    </row>
    <row r="267" spans="2:12" ht="14.4" x14ac:dyDescent="0.3">
      <c r="B267" s="50"/>
      <c r="C267" s="56"/>
      <c r="D267" s="54"/>
      <c r="E267" s="57"/>
      <c r="F267" s="50"/>
      <c r="G267" s="51"/>
      <c r="H267" s="54"/>
      <c r="I267" s="53"/>
      <c r="J267" s="53"/>
      <c r="L267" s="55"/>
    </row>
    <row r="268" spans="2:12" ht="14.4" x14ac:dyDescent="0.3">
      <c r="B268" s="50"/>
      <c r="C268" s="56"/>
      <c r="D268" s="54"/>
      <c r="E268" s="57"/>
      <c r="F268" s="50"/>
      <c r="G268" s="51"/>
      <c r="H268" s="54"/>
      <c r="I268" s="53"/>
      <c r="J268" s="53"/>
      <c r="L268" s="55"/>
    </row>
    <row r="269" spans="2:12" ht="14.4" x14ac:dyDescent="0.3">
      <c r="B269" s="50"/>
      <c r="C269" s="56"/>
      <c r="D269" s="54"/>
      <c r="E269" s="57"/>
      <c r="F269" s="50"/>
      <c r="G269" s="51"/>
      <c r="H269" s="54"/>
      <c r="I269" s="53"/>
      <c r="J269" s="53"/>
      <c r="L269" s="55"/>
    </row>
    <row r="270" spans="2:12" ht="14.4" x14ac:dyDescent="0.3">
      <c r="B270" s="50"/>
      <c r="C270" s="56"/>
      <c r="D270" s="54"/>
      <c r="E270" s="57"/>
      <c r="F270" s="50"/>
      <c r="G270" s="51"/>
      <c r="H270" s="54"/>
      <c r="I270" s="53"/>
      <c r="J270" s="53"/>
      <c r="L270" s="55"/>
    </row>
    <row r="271" spans="2:12" ht="14.4" x14ac:dyDescent="0.3">
      <c r="B271" s="50"/>
      <c r="C271" s="56"/>
      <c r="D271" s="54"/>
      <c r="E271" s="57"/>
      <c r="F271" s="50"/>
      <c r="G271" s="51"/>
      <c r="H271" s="54"/>
      <c r="I271" s="53"/>
      <c r="J271" s="53"/>
      <c r="L271" s="55"/>
    </row>
    <row r="272" spans="2:12" ht="14.4" x14ac:dyDescent="0.3">
      <c r="B272" s="50"/>
      <c r="C272" s="56"/>
      <c r="D272" s="54"/>
      <c r="E272" s="57"/>
      <c r="F272" s="50"/>
      <c r="G272" s="51"/>
      <c r="H272" s="54"/>
      <c r="I272" s="53"/>
      <c r="L272" s="55"/>
    </row>
    <row r="273" spans="2:12" ht="14.4" x14ac:dyDescent="0.3">
      <c r="B273" s="50"/>
      <c r="C273" s="56"/>
      <c r="D273" s="54"/>
      <c r="E273" s="57"/>
      <c r="F273" s="50"/>
      <c r="G273" s="51"/>
      <c r="H273" s="54"/>
      <c r="I273" s="53"/>
      <c r="L273" s="55"/>
    </row>
    <row r="274" spans="2:12" ht="14.4" x14ac:dyDescent="0.3">
      <c r="B274" s="50"/>
      <c r="C274" s="56"/>
      <c r="D274" s="54"/>
      <c r="E274" s="57"/>
      <c r="F274" s="50"/>
      <c r="G274" s="51"/>
      <c r="H274" s="54"/>
      <c r="I274" s="53"/>
      <c r="L274" s="55"/>
    </row>
    <row r="275" spans="2:12" ht="14.4" x14ac:dyDescent="0.3">
      <c r="B275" s="50"/>
      <c r="C275" s="56"/>
      <c r="D275" s="54"/>
      <c r="E275" s="57"/>
      <c r="F275" s="50"/>
      <c r="G275" s="51"/>
      <c r="H275" s="54"/>
      <c r="I275" s="53"/>
      <c r="J275" s="53"/>
      <c r="L275" s="55"/>
    </row>
    <row r="276" spans="2:12" ht="14.4" x14ac:dyDescent="0.3">
      <c r="B276" s="50"/>
      <c r="C276" s="56"/>
      <c r="D276" s="54"/>
      <c r="E276" s="57"/>
      <c r="F276" s="50"/>
      <c r="G276" s="51"/>
      <c r="H276" s="54"/>
      <c r="I276" s="53"/>
      <c r="J276" s="53"/>
      <c r="L276" s="55"/>
    </row>
    <row r="277" spans="2:12" ht="14.4" x14ac:dyDescent="0.3">
      <c r="B277" s="50"/>
      <c r="C277" s="56"/>
      <c r="D277" s="54"/>
      <c r="E277" s="57"/>
      <c r="F277" s="50"/>
      <c r="G277" s="51"/>
      <c r="H277" s="54"/>
      <c r="I277" s="53"/>
      <c r="J277" s="53"/>
      <c r="L277" s="55"/>
    </row>
    <row r="278" spans="2:12" ht="14.4" x14ac:dyDescent="0.3">
      <c r="B278" s="50"/>
      <c r="C278" s="56"/>
      <c r="D278" s="54"/>
      <c r="E278" s="57"/>
      <c r="F278" s="50"/>
      <c r="G278" s="51"/>
      <c r="H278" s="54"/>
      <c r="I278" s="53"/>
      <c r="L278" s="55"/>
    </row>
    <row r="279" spans="2:12" ht="14.4" x14ac:dyDescent="0.3">
      <c r="B279" s="50"/>
      <c r="C279" s="56"/>
      <c r="D279" s="54"/>
      <c r="E279" s="57"/>
      <c r="F279" s="50"/>
      <c r="G279" s="51"/>
      <c r="H279" s="54"/>
      <c r="L279" s="55"/>
    </row>
    <row r="280" spans="2:12" ht="14.4" x14ac:dyDescent="0.3">
      <c r="B280" s="50"/>
      <c r="C280" s="56"/>
      <c r="D280" s="54"/>
      <c r="E280" s="57"/>
      <c r="F280" s="50"/>
      <c r="G280" s="51"/>
      <c r="H280" s="54"/>
      <c r="I280" s="53"/>
      <c r="L280" s="55"/>
    </row>
    <row r="281" spans="2:12" ht="14.4" x14ac:dyDescent="0.3">
      <c r="B281" s="50"/>
      <c r="C281" s="56"/>
      <c r="D281" s="54"/>
      <c r="E281" s="57"/>
      <c r="F281" s="50"/>
      <c r="G281" s="51"/>
      <c r="H281" s="54"/>
      <c r="I281" s="53"/>
      <c r="L281" s="55"/>
    </row>
    <row r="282" spans="2:12" ht="14.4" x14ac:dyDescent="0.3">
      <c r="B282" s="50"/>
      <c r="C282" s="56"/>
      <c r="D282" s="54"/>
      <c r="E282" s="57"/>
      <c r="F282" s="50"/>
      <c r="G282" s="51"/>
      <c r="H282" s="54"/>
      <c r="I282" s="53"/>
      <c r="L282" s="55"/>
    </row>
    <row r="283" spans="2:12" ht="14.4" x14ac:dyDescent="0.3">
      <c r="B283" s="50"/>
      <c r="C283" s="56"/>
      <c r="D283" s="54"/>
      <c r="E283" s="57"/>
      <c r="F283" s="50"/>
      <c r="G283" s="51"/>
      <c r="H283" s="54"/>
      <c r="I283" s="53"/>
      <c r="J283" s="53"/>
      <c r="L283" s="55"/>
    </row>
    <row r="284" spans="2:12" ht="14.4" x14ac:dyDescent="0.3">
      <c r="B284" s="50"/>
      <c r="C284" s="56"/>
      <c r="D284" s="54"/>
      <c r="E284" s="57"/>
      <c r="F284" s="50"/>
      <c r="G284" s="51"/>
      <c r="H284" s="54"/>
      <c r="I284" s="53"/>
      <c r="J284" s="53"/>
      <c r="L284" s="55"/>
    </row>
    <row r="285" spans="2:12" ht="14.4" x14ac:dyDescent="0.3">
      <c r="B285" s="50"/>
      <c r="C285" s="56"/>
      <c r="D285" s="54"/>
      <c r="E285" s="57"/>
      <c r="F285" s="50"/>
      <c r="G285" s="51"/>
      <c r="H285" s="54"/>
      <c r="I285" s="53"/>
      <c r="J285" s="53"/>
      <c r="L285" s="55"/>
    </row>
    <row r="286" spans="2:12" ht="14.4" x14ac:dyDescent="0.3">
      <c r="B286" s="50"/>
      <c r="C286" s="56"/>
      <c r="D286" s="54"/>
      <c r="E286" s="57"/>
      <c r="F286" s="50"/>
      <c r="G286" s="51"/>
      <c r="H286" s="54"/>
      <c r="I286" s="53"/>
      <c r="J286" s="53"/>
      <c r="L286" s="55"/>
    </row>
    <row r="287" spans="2:12" ht="14.4" x14ac:dyDescent="0.3">
      <c r="B287" s="50"/>
      <c r="C287" s="56"/>
      <c r="D287" s="54"/>
      <c r="E287" s="57"/>
      <c r="F287" s="50"/>
      <c r="G287" s="51"/>
      <c r="H287" s="54"/>
      <c r="I287" s="53"/>
      <c r="J287" s="53"/>
      <c r="L287" s="55"/>
    </row>
    <row r="288" spans="2:12" ht="14.4" x14ac:dyDescent="0.3">
      <c r="B288" s="50"/>
      <c r="C288" s="56"/>
      <c r="D288" s="54"/>
      <c r="E288" s="57"/>
      <c r="F288" s="50"/>
      <c r="G288" s="51"/>
      <c r="H288" s="54"/>
      <c r="I288" s="53"/>
      <c r="J288" s="53"/>
      <c r="L288" s="55"/>
    </row>
    <row r="289" spans="2:12" ht="14.4" x14ac:dyDescent="0.3">
      <c r="B289" s="50"/>
      <c r="C289" s="56"/>
      <c r="D289" s="54"/>
      <c r="E289" s="57"/>
      <c r="F289" s="50"/>
      <c r="G289" s="51"/>
      <c r="H289" s="54"/>
      <c r="I289" s="53"/>
      <c r="J289" s="53"/>
      <c r="L289" s="55"/>
    </row>
    <row r="290" spans="2:12" ht="14.4" x14ac:dyDescent="0.3">
      <c r="B290" s="50"/>
      <c r="C290" s="56"/>
      <c r="D290" s="54"/>
      <c r="E290" s="57"/>
      <c r="F290" s="50"/>
      <c r="G290" s="51"/>
      <c r="H290" s="54"/>
      <c r="I290" s="53"/>
      <c r="L290" s="55"/>
    </row>
    <row r="291" spans="2:12" ht="14.4" x14ac:dyDescent="0.3">
      <c r="B291" s="50"/>
      <c r="C291" s="56"/>
      <c r="D291" s="54"/>
      <c r="E291" s="57"/>
      <c r="F291" s="50"/>
      <c r="G291" s="51"/>
      <c r="H291" s="54"/>
      <c r="I291" s="53"/>
      <c r="L291" s="55"/>
    </row>
    <row r="292" spans="2:12" ht="14.4" x14ac:dyDescent="0.3">
      <c r="B292" s="50"/>
      <c r="C292" s="56"/>
      <c r="D292" s="54"/>
      <c r="E292" s="57"/>
      <c r="F292" s="50"/>
      <c r="G292" s="51"/>
      <c r="H292" s="54"/>
      <c r="I292" s="53"/>
      <c r="L292" s="55"/>
    </row>
    <row r="293" spans="2:12" ht="14.4" x14ac:dyDescent="0.3">
      <c r="B293" s="50"/>
      <c r="C293" s="56"/>
      <c r="D293" s="54"/>
      <c r="E293" s="57"/>
      <c r="F293" s="50"/>
      <c r="G293" s="51"/>
      <c r="H293" s="54"/>
      <c r="I293" s="53"/>
      <c r="J293" s="53"/>
      <c r="L293" s="55"/>
    </row>
    <row r="294" spans="2:12" ht="14.4" x14ac:dyDescent="0.3">
      <c r="B294" s="50"/>
      <c r="C294" s="56"/>
      <c r="D294" s="54"/>
      <c r="E294" s="57"/>
      <c r="F294" s="50"/>
      <c r="G294" s="51"/>
      <c r="H294" s="54"/>
      <c r="I294" s="53"/>
      <c r="J294" s="53"/>
      <c r="L294" s="55"/>
    </row>
    <row r="295" spans="2:12" ht="14.4" x14ac:dyDescent="0.3">
      <c r="B295" s="50"/>
      <c r="C295" s="56"/>
      <c r="D295" s="54"/>
      <c r="E295" s="57"/>
      <c r="F295" s="50"/>
      <c r="G295" s="51"/>
      <c r="H295" s="54"/>
      <c r="I295" s="53"/>
      <c r="J295" s="53"/>
      <c r="L295" s="55"/>
    </row>
    <row r="296" spans="2:12" ht="14.4" x14ac:dyDescent="0.3">
      <c r="B296" s="50"/>
      <c r="C296" s="56"/>
      <c r="D296" s="54"/>
      <c r="E296" s="57"/>
      <c r="F296" s="50"/>
      <c r="G296" s="51"/>
      <c r="H296" s="54"/>
      <c r="I296" s="53"/>
      <c r="J296" s="53"/>
      <c r="L296" s="55"/>
    </row>
    <row r="297" spans="2:12" ht="14.4" x14ac:dyDescent="0.3">
      <c r="B297" s="50"/>
      <c r="C297" s="56"/>
      <c r="D297" s="54"/>
      <c r="E297" s="57"/>
      <c r="F297" s="50"/>
      <c r="G297" s="51"/>
      <c r="H297" s="54"/>
      <c r="I297" s="53"/>
      <c r="J297" s="53"/>
      <c r="L297" s="55"/>
    </row>
    <row r="298" spans="2:12" ht="14.4" x14ac:dyDescent="0.3">
      <c r="B298" s="50"/>
      <c r="C298" s="56"/>
      <c r="D298" s="54"/>
      <c r="E298" s="57"/>
      <c r="F298" s="50"/>
      <c r="G298" s="51"/>
      <c r="H298" s="54"/>
      <c r="I298" s="53"/>
      <c r="J298" s="53"/>
      <c r="L298" s="55"/>
    </row>
    <row r="299" spans="2:12" ht="14.4" x14ac:dyDescent="0.3">
      <c r="B299" s="50"/>
      <c r="C299" s="56"/>
      <c r="D299" s="54"/>
      <c r="E299" s="57"/>
      <c r="F299" s="50"/>
      <c r="G299" s="51"/>
      <c r="H299" s="54"/>
      <c r="I299" s="53"/>
      <c r="J299" s="53"/>
      <c r="L299" s="55"/>
    </row>
    <row r="300" spans="2:12" ht="14.4" x14ac:dyDescent="0.3">
      <c r="B300" s="50"/>
      <c r="C300" s="56"/>
      <c r="D300" s="54"/>
      <c r="E300" s="57"/>
      <c r="F300" s="50"/>
      <c r="G300" s="51"/>
      <c r="H300" s="54"/>
      <c r="I300" s="53"/>
      <c r="J300" s="53"/>
      <c r="L300" s="55"/>
    </row>
    <row r="301" spans="2:12" ht="14.4" x14ac:dyDescent="0.3">
      <c r="B301" s="50"/>
      <c r="C301" s="56"/>
      <c r="D301" s="54"/>
      <c r="E301" s="57"/>
      <c r="F301" s="50"/>
      <c r="G301" s="51"/>
      <c r="H301" s="54"/>
      <c r="I301" s="53"/>
      <c r="J301" s="53"/>
      <c r="L301" s="55"/>
    </row>
    <row r="302" spans="2:12" ht="14.4" x14ac:dyDescent="0.3">
      <c r="B302" s="50"/>
      <c r="C302" s="56"/>
      <c r="D302" s="54"/>
      <c r="E302" s="57"/>
      <c r="F302" s="50"/>
      <c r="G302" s="51"/>
      <c r="H302" s="54"/>
      <c r="I302" s="53"/>
      <c r="J302" s="53"/>
      <c r="L302" s="55"/>
    </row>
    <row r="303" spans="2:12" ht="14.4" x14ac:dyDescent="0.3">
      <c r="B303" s="50"/>
      <c r="C303" s="56"/>
      <c r="D303" s="54"/>
      <c r="E303" s="57"/>
      <c r="F303" s="50"/>
      <c r="G303" s="51"/>
      <c r="H303" s="54"/>
      <c r="I303" s="53"/>
      <c r="J303" s="53"/>
      <c r="L303" s="55"/>
    </row>
    <row r="304" spans="2:12" ht="14.4" x14ac:dyDescent="0.3">
      <c r="B304" s="50"/>
      <c r="C304" s="56"/>
      <c r="D304" s="54"/>
      <c r="E304" s="57"/>
      <c r="F304" s="50"/>
      <c r="G304" s="51"/>
      <c r="H304" s="54"/>
      <c r="I304" s="53"/>
      <c r="J304" s="53"/>
      <c r="L304" s="55"/>
    </row>
    <row r="305" spans="2:12" ht="14.4" x14ac:dyDescent="0.3">
      <c r="B305" s="50"/>
      <c r="C305" s="56"/>
      <c r="D305" s="54"/>
      <c r="E305" s="57"/>
      <c r="F305" s="50"/>
      <c r="G305" s="51"/>
      <c r="H305" s="54"/>
      <c r="I305" s="53"/>
      <c r="J305" s="53"/>
      <c r="L305" s="55"/>
    </row>
    <row r="306" spans="2:12" ht="14.4" x14ac:dyDescent="0.3">
      <c r="B306" s="50"/>
      <c r="C306" s="56"/>
      <c r="D306" s="54"/>
      <c r="E306" s="57"/>
      <c r="F306" s="50"/>
      <c r="G306" s="51"/>
      <c r="H306" s="54"/>
      <c r="I306" s="53"/>
      <c r="J306" s="53"/>
      <c r="L306" s="55"/>
    </row>
    <row r="307" spans="2:12" ht="14.4" x14ac:dyDescent="0.3">
      <c r="B307" s="50"/>
      <c r="C307" s="56"/>
      <c r="D307" s="54"/>
      <c r="E307" s="57"/>
      <c r="F307" s="50"/>
      <c r="G307" s="51"/>
      <c r="H307" s="54"/>
      <c r="I307" s="53"/>
      <c r="J307" s="53"/>
      <c r="L307" s="55"/>
    </row>
    <row r="308" spans="2:12" ht="14.4" x14ac:dyDescent="0.3">
      <c r="B308" s="50"/>
      <c r="C308" s="56"/>
      <c r="D308" s="54"/>
      <c r="E308" s="57"/>
      <c r="F308" s="50"/>
      <c r="G308" s="51"/>
      <c r="H308" s="54"/>
      <c r="I308" s="53"/>
      <c r="J308" s="53"/>
      <c r="L308" s="55"/>
    </row>
    <row r="309" spans="2:12" ht="14.4" x14ac:dyDescent="0.3">
      <c r="B309" s="50"/>
      <c r="C309" s="56"/>
      <c r="D309" s="54"/>
      <c r="E309" s="57"/>
      <c r="F309" s="50"/>
      <c r="G309" s="51"/>
      <c r="H309" s="54"/>
      <c r="I309" s="53"/>
      <c r="J309" s="53"/>
      <c r="L309" s="55"/>
    </row>
    <row r="310" spans="2:12" ht="14.4" x14ac:dyDescent="0.3">
      <c r="B310" s="50"/>
      <c r="C310" s="56"/>
      <c r="D310" s="54"/>
      <c r="E310" s="57"/>
      <c r="F310" s="50"/>
      <c r="G310" s="51"/>
      <c r="H310" s="54"/>
      <c r="I310" s="53"/>
      <c r="J310" s="53"/>
      <c r="L310" s="55"/>
    </row>
    <row r="311" spans="2:12" ht="14.4" x14ac:dyDescent="0.3">
      <c r="B311" s="50"/>
      <c r="C311" s="56"/>
      <c r="D311" s="54"/>
      <c r="E311" s="57"/>
      <c r="F311" s="50"/>
      <c r="G311" s="51"/>
      <c r="H311" s="54"/>
      <c r="I311" s="53"/>
      <c r="J311" s="53"/>
      <c r="L311" s="55"/>
    </row>
    <row r="312" spans="2:12" ht="14.4" x14ac:dyDescent="0.3">
      <c r="B312" s="50"/>
      <c r="C312" s="56"/>
      <c r="D312" s="54"/>
      <c r="E312" s="57"/>
      <c r="F312" s="50"/>
      <c r="G312" s="51"/>
      <c r="H312" s="54"/>
      <c r="I312" s="53"/>
      <c r="J312" s="53"/>
      <c r="L312" s="55"/>
    </row>
    <row r="313" spans="2:12" ht="14.4" x14ac:dyDescent="0.3">
      <c r="B313" s="50"/>
      <c r="C313" s="56"/>
      <c r="D313" s="54"/>
      <c r="E313" s="57"/>
      <c r="F313" s="50"/>
      <c r="G313" s="51"/>
      <c r="H313" s="54"/>
      <c r="I313" s="53"/>
      <c r="J313" s="53"/>
      <c r="L313" s="55"/>
    </row>
    <row r="314" spans="2:12" ht="14.4" x14ac:dyDescent="0.3">
      <c r="B314" s="50"/>
      <c r="C314" s="56"/>
      <c r="D314" s="54"/>
      <c r="E314" s="57"/>
      <c r="F314" s="50"/>
      <c r="G314" s="51"/>
      <c r="H314" s="54"/>
      <c r="I314" s="53"/>
      <c r="J314" s="53"/>
      <c r="L314" s="55"/>
    </row>
    <row r="315" spans="2:12" ht="14.4" x14ac:dyDescent="0.3">
      <c r="B315" s="50"/>
      <c r="C315" s="56"/>
      <c r="D315" s="54"/>
      <c r="E315" s="57"/>
      <c r="F315" s="50"/>
      <c r="G315" s="51"/>
      <c r="H315" s="54"/>
      <c r="I315" s="53"/>
      <c r="J315" s="53"/>
      <c r="L315" s="55"/>
    </row>
    <row r="316" spans="2:12" ht="14.4" x14ac:dyDescent="0.3">
      <c r="B316" s="50"/>
      <c r="C316" s="56"/>
      <c r="D316" s="54"/>
      <c r="E316" s="57"/>
      <c r="F316" s="50"/>
      <c r="G316" s="51"/>
      <c r="H316" s="54"/>
      <c r="I316" s="53"/>
      <c r="J316" s="53"/>
      <c r="L316" s="55"/>
    </row>
    <row r="317" spans="2:12" ht="14.4" x14ac:dyDescent="0.3">
      <c r="B317" s="50"/>
      <c r="C317" s="56"/>
      <c r="D317" s="54"/>
      <c r="E317" s="57"/>
      <c r="F317" s="50"/>
      <c r="G317" s="51"/>
      <c r="H317" s="54"/>
      <c r="I317" s="53"/>
      <c r="J317" s="53"/>
      <c r="L317" s="55"/>
    </row>
    <row r="318" spans="2:12" ht="14.4" x14ac:dyDescent="0.3">
      <c r="B318" s="50"/>
      <c r="C318" s="56"/>
      <c r="D318" s="54"/>
      <c r="E318" s="57"/>
      <c r="F318" s="50"/>
      <c r="G318" s="51"/>
      <c r="H318" s="54"/>
      <c r="I318" s="53"/>
      <c r="J318" s="53"/>
      <c r="L318" s="55"/>
    </row>
    <row r="319" spans="2:12" ht="14.4" x14ac:dyDescent="0.3">
      <c r="B319" s="50"/>
      <c r="C319" s="56"/>
      <c r="D319" s="54"/>
      <c r="E319" s="57"/>
      <c r="F319" s="50"/>
      <c r="G319" s="51"/>
      <c r="H319" s="54"/>
      <c r="I319" s="53"/>
      <c r="J319" s="53"/>
      <c r="L319" s="55"/>
    </row>
    <row r="320" spans="2:12" ht="14.4" x14ac:dyDescent="0.3">
      <c r="B320" s="50"/>
      <c r="C320" s="56"/>
      <c r="D320" s="54"/>
      <c r="E320" s="57"/>
      <c r="F320" s="50"/>
      <c r="G320" s="51"/>
      <c r="H320" s="54"/>
      <c r="I320" s="53"/>
      <c r="L320" s="55"/>
    </row>
    <row r="321" spans="2:12" ht="14.4" x14ac:dyDescent="0.3">
      <c r="B321" s="50"/>
      <c r="C321" s="56"/>
      <c r="D321" s="54"/>
      <c r="E321" s="57"/>
      <c r="F321" s="50"/>
      <c r="G321" s="51"/>
      <c r="H321" s="54"/>
      <c r="I321" s="53"/>
      <c r="L321" s="55"/>
    </row>
    <row r="322" spans="2:12" ht="14.4" x14ac:dyDescent="0.3">
      <c r="B322" s="50"/>
      <c r="C322" s="56"/>
      <c r="D322" s="54"/>
      <c r="E322" s="57"/>
      <c r="F322" s="50"/>
      <c r="G322" s="51"/>
      <c r="H322" s="54"/>
      <c r="I322" s="53"/>
      <c r="L322" s="55"/>
    </row>
    <row r="323" spans="2:12" ht="14.4" x14ac:dyDescent="0.3">
      <c r="B323" s="50"/>
      <c r="C323" s="56"/>
      <c r="D323" s="54"/>
      <c r="E323" s="57"/>
      <c r="F323" s="50"/>
      <c r="G323" s="51"/>
      <c r="H323" s="54"/>
      <c r="L323" s="55"/>
    </row>
    <row r="324" spans="2:12" ht="14.4" x14ac:dyDescent="0.3">
      <c r="B324" s="50"/>
      <c r="C324" s="56"/>
      <c r="D324" s="54"/>
      <c r="E324" s="57"/>
      <c r="F324" s="50"/>
      <c r="G324" s="51"/>
      <c r="H324" s="54"/>
      <c r="I324" s="53"/>
      <c r="L324" s="55"/>
    </row>
    <row r="325" spans="2:12" ht="14.4" x14ac:dyDescent="0.3">
      <c r="B325" s="50"/>
      <c r="C325" s="56"/>
      <c r="D325" s="54"/>
      <c r="E325" s="57"/>
      <c r="F325" s="50"/>
      <c r="G325" s="51"/>
      <c r="H325" s="54"/>
      <c r="L325" s="55"/>
    </row>
    <row r="326" spans="2:12" ht="14.4" x14ac:dyDescent="0.3">
      <c r="B326" s="50"/>
      <c r="C326" s="56"/>
      <c r="D326" s="54"/>
      <c r="E326" s="57"/>
      <c r="F326" s="50"/>
      <c r="G326" s="51"/>
      <c r="H326" s="54"/>
      <c r="L326" s="55"/>
    </row>
    <row r="327" spans="2:12" ht="14.4" x14ac:dyDescent="0.3">
      <c r="B327" s="50"/>
      <c r="C327" s="56"/>
      <c r="D327" s="54"/>
      <c r="E327" s="57"/>
      <c r="F327" s="50"/>
      <c r="G327" s="51"/>
      <c r="H327" s="54"/>
      <c r="L327" s="55"/>
    </row>
    <row r="328" spans="2:12" ht="14.4" x14ac:dyDescent="0.3">
      <c r="B328" s="50"/>
      <c r="C328" s="56"/>
      <c r="D328" s="54"/>
      <c r="E328" s="57"/>
      <c r="F328" s="50"/>
      <c r="G328" s="51"/>
      <c r="H328" s="54"/>
      <c r="L328" s="55"/>
    </row>
    <row r="329" spans="2:12" ht="14.4" x14ac:dyDescent="0.3">
      <c r="B329" s="50"/>
      <c r="C329" s="56"/>
      <c r="D329" s="54"/>
      <c r="E329" s="57"/>
      <c r="F329" s="50"/>
      <c r="G329" s="51"/>
      <c r="H329" s="54"/>
      <c r="L329" s="55"/>
    </row>
    <row r="330" spans="2:12" ht="14.4" x14ac:dyDescent="0.3">
      <c r="B330" s="50"/>
      <c r="C330" s="56"/>
      <c r="D330" s="54"/>
      <c r="E330" s="57"/>
      <c r="F330" s="50"/>
      <c r="G330" s="51"/>
      <c r="H330" s="54"/>
      <c r="I330" s="53"/>
      <c r="L330" s="55"/>
    </row>
    <row r="331" spans="2:12" ht="14.4" x14ac:dyDescent="0.3">
      <c r="B331" s="50"/>
      <c r="C331" s="56"/>
      <c r="D331" s="54"/>
      <c r="E331" s="57"/>
      <c r="F331" s="50"/>
      <c r="G331" s="51"/>
      <c r="H331" s="54"/>
      <c r="I331" s="53"/>
      <c r="L331" s="55"/>
    </row>
    <row r="332" spans="2:12" ht="14.4" x14ac:dyDescent="0.3">
      <c r="B332" s="50"/>
      <c r="C332" s="56"/>
      <c r="D332" s="54"/>
      <c r="E332" s="57"/>
      <c r="F332" s="50"/>
      <c r="G332" s="51"/>
      <c r="H332" s="54"/>
      <c r="I332" s="53"/>
      <c r="J332" s="53"/>
      <c r="L332" s="55"/>
    </row>
    <row r="333" spans="2:12" ht="14.4" x14ac:dyDescent="0.3">
      <c r="B333" s="50"/>
      <c r="C333" s="56"/>
      <c r="D333" s="54"/>
      <c r="E333" s="57"/>
      <c r="F333" s="50"/>
      <c r="G333" s="51"/>
      <c r="H333" s="54"/>
      <c r="I333" s="53"/>
      <c r="J333" s="53"/>
      <c r="L333" s="55"/>
    </row>
    <row r="334" spans="2:12" ht="14.4" x14ac:dyDescent="0.3">
      <c r="B334" s="50"/>
      <c r="C334" s="56"/>
      <c r="D334" s="54"/>
      <c r="E334" s="57"/>
      <c r="F334" s="50"/>
      <c r="G334" s="51"/>
      <c r="H334" s="54"/>
      <c r="I334" s="53"/>
      <c r="J334" s="53"/>
      <c r="L334" s="55"/>
    </row>
    <row r="335" spans="2:12" ht="14.4" x14ac:dyDescent="0.3">
      <c r="B335" s="50"/>
      <c r="C335" s="56"/>
      <c r="D335" s="54"/>
      <c r="E335" s="57"/>
      <c r="F335" s="50"/>
      <c r="G335" s="51"/>
      <c r="H335" s="54"/>
      <c r="I335" s="53"/>
      <c r="L335" s="55"/>
    </row>
    <row r="336" spans="2:12" ht="14.4" x14ac:dyDescent="0.3">
      <c r="B336" s="50"/>
      <c r="C336" s="56"/>
      <c r="D336" s="54"/>
      <c r="E336" s="57"/>
      <c r="F336" s="50"/>
      <c r="G336" s="51"/>
      <c r="H336" s="54"/>
      <c r="I336" s="53"/>
      <c r="L336" s="55"/>
    </row>
    <row r="337" spans="2:12" ht="14.4" x14ac:dyDescent="0.3">
      <c r="B337" s="50"/>
      <c r="C337" s="56"/>
      <c r="D337" s="54"/>
      <c r="E337" s="57"/>
      <c r="F337" s="50"/>
      <c r="G337" s="51"/>
      <c r="H337" s="54"/>
      <c r="I337" s="53"/>
      <c r="L337" s="55"/>
    </row>
    <row r="338" spans="2:12" ht="14.4" x14ac:dyDescent="0.3">
      <c r="B338" s="50"/>
      <c r="C338" s="56"/>
      <c r="D338" s="54"/>
      <c r="E338" s="57"/>
      <c r="F338" s="50"/>
      <c r="G338" s="51"/>
      <c r="H338" s="54"/>
      <c r="I338" s="53"/>
      <c r="L338" s="55"/>
    </row>
    <row r="339" spans="2:12" ht="14.4" x14ac:dyDescent="0.3">
      <c r="B339" s="50"/>
      <c r="C339" s="56"/>
      <c r="D339" s="54"/>
      <c r="E339" s="57"/>
      <c r="F339" s="50"/>
      <c r="G339" s="51"/>
      <c r="H339" s="54"/>
      <c r="I339" s="53"/>
      <c r="J339" s="53"/>
      <c r="L339" s="55"/>
    </row>
    <row r="340" spans="2:12" ht="14.4" x14ac:dyDescent="0.3">
      <c r="B340" s="50"/>
      <c r="C340" s="56"/>
      <c r="D340" s="54"/>
      <c r="E340" s="57"/>
      <c r="F340" s="50"/>
      <c r="G340" s="51"/>
      <c r="H340" s="54"/>
      <c r="I340" s="53"/>
      <c r="J340" s="53"/>
      <c r="L340" s="55"/>
    </row>
    <row r="341" spans="2:12" ht="14.4" x14ac:dyDescent="0.3">
      <c r="B341" s="50"/>
      <c r="C341" s="56"/>
      <c r="D341" s="54"/>
      <c r="E341" s="57"/>
      <c r="F341" s="50"/>
      <c r="G341" s="51"/>
      <c r="H341" s="54"/>
      <c r="I341" s="53"/>
      <c r="J341" s="53"/>
      <c r="L341" s="55"/>
    </row>
    <row r="342" spans="2:12" ht="14.4" x14ac:dyDescent="0.3">
      <c r="B342" s="50"/>
      <c r="C342" s="56"/>
      <c r="D342" s="54"/>
      <c r="E342" s="57"/>
      <c r="F342" s="50"/>
      <c r="G342" s="51"/>
      <c r="H342" s="54"/>
      <c r="I342" s="53"/>
      <c r="J342" s="53"/>
      <c r="L342" s="55"/>
    </row>
    <row r="343" spans="2:12" ht="14.4" x14ac:dyDescent="0.3">
      <c r="B343" s="50"/>
      <c r="C343" s="56"/>
      <c r="D343" s="54"/>
      <c r="E343" s="57"/>
      <c r="F343" s="50"/>
      <c r="G343" s="51"/>
      <c r="H343" s="54"/>
      <c r="I343" s="53"/>
      <c r="J343" s="53"/>
      <c r="L343" s="55"/>
    </row>
    <row r="344" spans="2:12" ht="14.4" x14ac:dyDescent="0.3">
      <c r="B344" s="50"/>
      <c r="C344" s="56"/>
      <c r="D344" s="54"/>
      <c r="E344" s="57"/>
      <c r="F344" s="50"/>
      <c r="G344" s="51"/>
      <c r="H344" s="54"/>
      <c r="I344" s="53"/>
      <c r="J344" s="53"/>
      <c r="L344" s="55"/>
    </row>
    <row r="345" spans="2:12" ht="14.4" x14ac:dyDescent="0.3">
      <c r="B345" s="50"/>
      <c r="C345" s="56"/>
      <c r="D345" s="54"/>
      <c r="E345" s="57"/>
      <c r="F345" s="50"/>
      <c r="G345" s="51"/>
      <c r="H345" s="54"/>
      <c r="I345" s="53"/>
      <c r="L345" s="55"/>
    </row>
    <row r="346" spans="2:12" ht="14.4" x14ac:dyDescent="0.3">
      <c r="B346" s="50"/>
      <c r="C346" s="56"/>
      <c r="D346" s="54"/>
      <c r="E346" s="57"/>
      <c r="F346" s="50"/>
      <c r="G346" s="51"/>
      <c r="H346" s="54"/>
      <c r="I346" s="53"/>
      <c r="L346" s="55"/>
    </row>
    <row r="347" spans="2:12" ht="14.4" x14ac:dyDescent="0.3">
      <c r="B347" s="50"/>
      <c r="C347" s="56"/>
      <c r="D347" s="54"/>
      <c r="E347" s="57"/>
      <c r="F347" s="50"/>
      <c r="G347" s="51"/>
      <c r="H347" s="54"/>
      <c r="I347" s="53"/>
      <c r="L347" s="55"/>
    </row>
    <row r="348" spans="2:12" ht="14.4" x14ac:dyDescent="0.3">
      <c r="B348" s="50"/>
      <c r="C348" s="56"/>
      <c r="D348" s="54"/>
      <c r="E348" s="57"/>
      <c r="F348" s="50"/>
      <c r="G348" s="51"/>
      <c r="H348" s="54"/>
      <c r="I348" s="53"/>
      <c r="L348" s="55"/>
    </row>
    <row r="349" spans="2:12" ht="14.4" x14ac:dyDescent="0.3">
      <c r="B349" s="50"/>
      <c r="C349" s="56"/>
      <c r="D349" s="54"/>
      <c r="E349" s="57"/>
      <c r="F349" s="50"/>
      <c r="G349" s="51"/>
      <c r="H349" s="54"/>
      <c r="L349" s="55"/>
    </row>
    <row r="350" spans="2:12" ht="14.4" x14ac:dyDescent="0.3">
      <c r="B350" s="50"/>
      <c r="C350" s="56"/>
      <c r="D350" s="54"/>
      <c r="E350" s="57"/>
      <c r="F350" s="50"/>
      <c r="G350" s="51"/>
      <c r="H350" s="54"/>
      <c r="L350" s="55"/>
    </row>
    <row r="351" spans="2:12" ht="14.4" x14ac:dyDescent="0.3">
      <c r="B351" s="50"/>
      <c r="C351" s="56"/>
      <c r="D351" s="54"/>
      <c r="E351" s="57"/>
      <c r="F351" s="50"/>
      <c r="G351" s="51"/>
      <c r="H351" s="54"/>
      <c r="L351" s="55"/>
    </row>
    <row r="352" spans="2:12" ht="14.4" x14ac:dyDescent="0.3">
      <c r="B352" s="50"/>
      <c r="C352" s="56"/>
      <c r="D352" s="54"/>
      <c r="E352" s="57"/>
      <c r="F352" s="50"/>
      <c r="G352" s="51"/>
      <c r="H352" s="54"/>
      <c r="I352" s="53"/>
      <c r="L352" s="55"/>
    </row>
    <row r="353" spans="2:12" ht="14.4" x14ac:dyDescent="0.3">
      <c r="B353" s="50"/>
      <c r="C353" s="56"/>
      <c r="D353" s="54"/>
      <c r="E353" s="57"/>
      <c r="F353" s="50"/>
      <c r="G353" s="51"/>
      <c r="H353" s="54"/>
      <c r="I353" s="53"/>
      <c r="L353" s="55"/>
    </row>
    <row r="354" spans="2:12" ht="14.4" x14ac:dyDescent="0.3">
      <c r="B354" s="50"/>
      <c r="C354" s="56"/>
      <c r="D354" s="54"/>
      <c r="E354" s="57"/>
      <c r="F354" s="50"/>
      <c r="G354" s="51"/>
      <c r="H354" s="54"/>
      <c r="I354" s="53"/>
      <c r="L354" s="55"/>
    </row>
    <row r="355" spans="2:12" ht="14.4" x14ac:dyDescent="0.3">
      <c r="B355" s="50"/>
      <c r="C355" s="56"/>
      <c r="D355" s="54"/>
      <c r="E355" s="57"/>
      <c r="F355" s="50"/>
      <c r="G355" s="51"/>
      <c r="H355" s="54"/>
      <c r="I355" s="53"/>
      <c r="J355" s="53"/>
      <c r="L355" s="55"/>
    </row>
    <row r="356" spans="2:12" ht="14.4" x14ac:dyDescent="0.3">
      <c r="B356" s="50"/>
      <c r="C356" s="56"/>
      <c r="D356" s="54"/>
      <c r="E356" s="57"/>
      <c r="F356" s="50"/>
      <c r="G356" s="51"/>
      <c r="H356" s="54"/>
      <c r="I356" s="53"/>
      <c r="J356" s="53"/>
      <c r="L356" s="55"/>
    </row>
    <row r="357" spans="2:12" ht="14.4" x14ac:dyDescent="0.3">
      <c r="B357" s="50"/>
      <c r="C357" s="56"/>
      <c r="D357" s="54"/>
      <c r="E357" s="57"/>
      <c r="F357" s="50"/>
      <c r="G357" s="51"/>
      <c r="H357" s="54"/>
      <c r="I357" s="53"/>
      <c r="L357" s="55"/>
    </row>
    <row r="358" spans="2:12" ht="14.4" x14ac:dyDescent="0.3">
      <c r="B358" s="50"/>
      <c r="C358" s="56"/>
      <c r="D358" s="54"/>
      <c r="E358" s="57"/>
      <c r="F358" s="50"/>
      <c r="G358" s="51"/>
      <c r="H358" s="54"/>
      <c r="I358" s="53"/>
      <c r="L358" s="55"/>
    </row>
    <row r="359" spans="2:12" ht="14.4" x14ac:dyDescent="0.3">
      <c r="B359" s="50"/>
      <c r="C359" s="56"/>
      <c r="D359" s="54"/>
      <c r="E359" s="57"/>
      <c r="F359" s="50"/>
      <c r="G359" s="51"/>
      <c r="H359" s="54"/>
      <c r="I359" s="53"/>
      <c r="L359" s="55"/>
    </row>
    <row r="360" spans="2:12" ht="14.4" x14ac:dyDescent="0.3">
      <c r="B360" s="50"/>
      <c r="C360" s="56"/>
      <c r="D360" s="54"/>
      <c r="E360" s="57"/>
      <c r="F360" s="50"/>
      <c r="G360" s="51"/>
      <c r="H360" s="54"/>
      <c r="L360" s="55"/>
    </row>
    <row r="361" spans="2:12" ht="14.4" x14ac:dyDescent="0.3">
      <c r="B361" s="50"/>
      <c r="C361" s="56"/>
      <c r="D361" s="54"/>
      <c r="E361" s="57"/>
      <c r="F361" s="50"/>
      <c r="G361" s="51"/>
      <c r="H361" s="54"/>
      <c r="L361" s="55"/>
    </row>
    <row r="362" spans="2:12" ht="14.4" x14ac:dyDescent="0.3">
      <c r="B362" s="50"/>
      <c r="C362" s="56"/>
      <c r="D362" s="54"/>
      <c r="E362" s="57"/>
      <c r="F362" s="57"/>
      <c r="G362" s="57"/>
      <c r="H362" s="58"/>
    </row>
    <row r="363" spans="2:12" ht="14.4" x14ac:dyDescent="0.3">
      <c r="B363" s="50"/>
      <c r="C363" s="56"/>
      <c r="D363" s="54"/>
      <c r="E363" s="57"/>
      <c r="F363" s="57"/>
      <c r="G363" s="57"/>
      <c r="H363" s="58"/>
    </row>
    <row r="364" spans="2:12" ht="14.4" x14ac:dyDescent="0.3">
      <c r="B364" s="50"/>
      <c r="C364" s="56"/>
      <c r="D364" s="54"/>
      <c r="E364" s="57"/>
      <c r="F364" s="57"/>
      <c r="G364" s="57"/>
      <c r="H364" s="58"/>
    </row>
    <row r="365" spans="2:12" ht="14.4" x14ac:dyDescent="0.3">
      <c r="B365" s="50"/>
      <c r="C365" s="56"/>
      <c r="D365" s="54"/>
      <c r="E365" s="57"/>
      <c r="F365" s="57"/>
      <c r="G365" s="57"/>
      <c r="H365" s="59"/>
    </row>
    <row r="366" spans="2:12" ht="14.4" x14ac:dyDescent="0.3">
      <c r="B366" s="50"/>
      <c r="C366" s="56"/>
      <c r="D366" s="54"/>
      <c r="E366" s="57"/>
      <c r="F366" s="57"/>
      <c r="G366" s="57"/>
      <c r="H366" s="58"/>
    </row>
    <row r="367" spans="2:12" ht="14.4" x14ac:dyDescent="0.3">
      <c r="B367" s="50"/>
      <c r="C367" s="56"/>
      <c r="D367" s="54"/>
      <c r="E367" s="57"/>
      <c r="F367" s="57"/>
      <c r="G367" s="57"/>
      <c r="H367" s="58"/>
    </row>
    <row r="368" spans="2:12" ht="14.4" x14ac:dyDescent="0.3">
      <c r="B368" s="50"/>
      <c r="C368" s="56"/>
      <c r="D368" s="54"/>
      <c r="E368" s="57"/>
      <c r="F368" s="57"/>
      <c r="G368" s="57"/>
      <c r="H368" s="59"/>
    </row>
    <row r="369" spans="2:8" ht="14.4" x14ac:dyDescent="0.3">
      <c r="B369" s="50"/>
      <c r="C369" s="56"/>
      <c r="D369" s="54"/>
      <c r="E369" s="57"/>
      <c r="F369" s="57"/>
      <c r="G369" s="57"/>
      <c r="H369" s="58"/>
    </row>
    <row r="370" spans="2:8" ht="14.4" x14ac:dyDescent="0.3">
      <c r="B370" s="50"/>
      <c r="C370" s="56"/>
      <c r="D370" s="54"/>
      <c r="E370" s="57"/>
      <c r="F370" s="57"/>
      <c r="G370" s="57"/>
      <c r="H370" s="59"/>
    </row>
    <row r="371" spans="2:8" ht="14.4" x14ac:dyDescent="0.3">
      <c r="B371" s="50"/>
      <c r="C371" s="56"/>
      <c r="D371" s="54"/>
      <c r="E371" s="57"/>
      <c r="F371" s="57"/>
      <c r="G371" s="57"/>
      <c r="H371" s="59"/>
    </row>
    <row r="372" spans="2:8" ht="14.4" x14ac:dyDescent="0.3">
      <c r="B372" s="50"/>
      <c r="C372" s="56"/>
      <c r="D372" s="54"/>
      <c r="E372" s="57"/>
      <c r="F372" s="57"/>
      <c r="G372" s="57"/>
      <c r="H372" s="58"/>
    </row>
    <row r="373" spans="2:8" ht="14.4" x14ac:dyDescent="0.3">
      <c r="B373" s="50"/>
      <c r="C373" s="56"/>
      <c r="D373" s="54"/>
      <c r="E373" s="57"/>
      <c r="F373" s="57"/>
      <c r="G373" s="57"/>
      <c r="H373" s="58"/>
    </row>
  </sheetData>
  <hyperlinks>
    <hyperlink ref="B8" location="Dashboard!A1" display="&lt;-Back to dashboard" xr:uid="{B4CAAB1B-CA15-40FD-B4A5-1531F055AD2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799F9-B230-4756-966C-30D72BA1C5DB}">
  <dimension ref="B2:O27"/>
  <sheetViews>
    <sheetView showGridLines="0" zoomScale="85" zoomScaleNormal="85" workbookViewId="0">
      <selection activeCell="E25" sqref="E25"/>
    </sheetView>
  </sheetViews>
  <sheetFormatPr defaultRowHeight="13.8" x14ac:dyDescent="0.3"/>
  <cols>
    <col min="1" max="1" width="1.88671875" style="14" customWidth="1"/>
    <col min="2" max="2" width="31.88671875" style="14" customWidth="1"/>
    <col min="3" max="3" width="8.77734375" style="14" customWidth="1"/>
    <col min="4" max="4" width="10.44140625" style="14" customWidth="1"/>
    <col min="5" max="5" width="13.6640625" style="14" customWidth="1"/>
    <col min="6" max="6" width="17.109375" style="14" customWidth="1"/>
    <col min="7" max="7" width="12.77734375" style="14" customWidth="1"/>
    <col min="8" max="8" width="12.33203125" style="14" customWidth="1"/>
    <col min="9" max="15" width="15.6640625" style="14" customWidth="1"/>
    <col min="16" max="16384" width="8.88671875" style="14"/>
  </cols>
  <sheetData>
    <row r="2" spans="2:15" s="22" customFormat="1" ht="15.6" x14ac:dyDescent="0.3">
      <c r="B2" s="24" t="str">
        <f>Dashboard!B2</f>
        <v>Denny's Diner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spans="2:15" s="22" customFormat="1" ht="14.4" x14ac:dyDescent="0.3">
      <c r="B3" s="60" t="s">
        <v>348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</row>
    <row r="4" spans="2:15" s="22" customFormat="1" ht="14.4" x14ac:dyDescent="0.3">
      <c r="B4" s="75" t="s">
        <v>327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</row>
    <row r="5" spans="2:15" s="22" customFormat="1" ht="14.4" x14ac:dyDescent="0.3">
      <c r="B5" s="11" t="s">
        <v>38</v>
      </c>
      <c r="C5" s="28"/>
      <c r="D5" s="11" t="str">
        <f>Dashboard!G13</f>
        <v>Street</v>
      </c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2:15" s="22" customFormat="1" ht="14.4" x14ac:dyDescent="0.3">
      <c r="B6" s="26"/>
      <c r="C6" s="49"/>
      <c r="D6" s="49"/>
      <c r="E6" s="11"/>
      <c r="F6" s="28"/>
      <c r="G6" s="28"/>
      <c r="H6" s="28"/>
      <c r="I6" s="28"/>
      <c r="J6" s="25"/>
      <c r="K6" s="25"/>
      <c r="L6" s="25"/>
      <c r="M6" s="25"/>
      <c r="N6" s="25"/>
      <c r="O6" s="25"/>
    </row>
    <row r="8" spans="2:15" ht="14.4" x14ac:dyDescent="0.3">
      <c r="B8" s="38" t="s">
        <v>47</v>
      </c>
    </row>
    <row r="10" spans="2:15" x14ac:dyDescent="0.3">
      <c r="B10" s="41" t="s">
        <v>328</v>
      </c>
    </row>
    <row r="12" spans="2:15" x14ac:dyDescent="0.3">
      <c r="B12" s="41" t="s">
        <v>347</v>
      </c>
    </row>
    <row r="13" spans="2:15" ht="14.4" customHeight="1" x14ac:dyDescent="0.3"/>
    <row r="14" spans="2:15" x14ac:dyDescent="0.3">
      <c r="B14" s="172" t="s">
        <v>313</v>
      </c>
      <c r="C14" s="173" t="s">
        <v>5</v>
      </c>
      <c r="D14" s="173" t="s">
        <v>314</v>
      </c>
      <c r="E14" s="173" t="s">
        <v>315</v>
      </c>
      <c r="F14" s="173" t="s">
        <v>316</v>
      </c>
      <c r="G14" s="173" t="s">
        <v>317</v>
      </c>
      <c r="H14" s="173" t="s">
        <v>318</v>
      </c>
      <c r="I14" s="173" t="s">
        <v>319</v>
      </c>
      <c r="J14" s="173" t="s">
        <v>320</v>
      </c>
      <c r="K14" s="173" t="s">
        <v>76</v>
      </c>
      <c r="L14" s="173" t="s">
        <v>321</v>
      </c>
      <c r="M14" s="173" t="s">
        <v>322</v>
      </c>
      <c r="N14" s="173" t="s">
        <v>323</v>
      </c>
      <c r="O14" s="174" t="s">
        <v>324</v>
      </c>
    </row>
    <row r="15" spans="2:15" x14ac:dyDescent="0.3">
      <c r="B15" s="77" t="s">
        <v>325</v>
      </c>
      <c r="C15" s="14" t="s">
        <v>326</v>
      </c>
      <c r="D15" s="166">
        <v>25.2</v>
      </c>
      <c r="E15" s="166">
        <v>14.57</v>
      </c>
      <c r="F15" s="166">
        <f t="shared" ref="F15:F20" si="0">D15*E15</f>
        <v>367.16399999999999</v>
      </c>
      <c r="G15" s="166">
        <v>1600</v>
      </c>
      <c r="H15" s="166">
        <v>128.19999999999999</v>
      </c>
      <c r="I15" s="166">
        <f t="shared" ref="I15:I20" si="1">F15+G15-H15</f>
        <v>1838.9639999999999</v>
      </c>
      <c r="J15" s="166">
        <v>879.3</v>
      </c>
      <c r="K15" s="166">
        <v>186.5</v>
      </c>
      <c r="L15" s="166">
        <v>16</v>
      </c>
      <c r="M15" s="166">
        <f>I15/J15</f>
        <v>2.0913954281815079</v>
      </c>
      <c r="N15" s="166">
        <f>I15/K15</f>
        <v>9.8603967828418231</v>
      </c>
      <c r="O15" s="167">
        <f>D15/(L15/E15)</f>
        <v>22.947749999999999</v>
      </c>
    </row>
    <row r="16" spans="2:15" x14ac:dyDescent="0.3">
      <c r="B16" s="77" t="s">
        <v>329</v>
      </c>
      <c r="C16" s="14" t="s">
        <v>330</v>
      </c>
      <c r="D16" s="166">
        <v>27.63</v>
      </c>
      <c r="E16" s="166">
        <v>22.35</v>
      </c>
      <c r="F16" s="166">
        <f t="shared" si="0"/>
        <v>617.53049999999996</v>
      </c>
      <c r="G16" s="166">
        <v>1210</v>
      </c>
      <c r="H16" s="166">
        <v>8.57</v>
      </c>
      <c r="I16" s="166">
        <f t="shared" si="1"/>
        <v>1818.9604999999999</v>
      </c>
      <c r="J16" s="166">
        <v>3360</v>
      </c>
      <c r="K16" s="166">
        <v>130.87</v>
      </c>
      <c r="L16" s="166">
        <v>-4.01</v>
      </c>
      <c r="M16" s="166">
        <f t="shared" ref="M16:M20" si="2">I16/J16</f>
        <v>0.54135729166666668</v>
      </c>
      <c r="N16" s="166">
        <f t="shared" ref="N16:N20" si="3">I16/K16</f>
        <v>13.898987544891876</v>
      </c>
      <c r="O16" s="167">
        <f t="shared" ref="O16:O20" si="4">D16/(L16/E16)</f>
        <v>-153.99763092269328</v>
      </c>
    </row>
    <row r="17" spans="2:15" x14ac:dyDescent="0.3">
      <c r="B17" s="77" t="s">
        <v>331</v>
      </c>
      <c r="C17" s="14" t="s">
        <v>332</v>
      </c>
      <c r="D17" s="166">
        <v>170.9</v>
      </c>
      <c r="E17" s="166">
        <v>66.150000000000006</v>
      </c>
      <c r="F17" s="166">
        <f t="shared" si="0"/>
        <v>11305.035000000002</v>
      </c>
      <c r="G17" s="166">
        <v>976.76</v>
      </c>
      <c r="H17" s="166">
        <v>134.71</v>
      </c>
      <c r="I17" s="166">
        <f t="shared" si="1"/>
        <v>12147.085000000003</v>
      </c>
      <c r="J17" s="166">
        <v>5880</v>
      </c>
      <c r="K17" s="166">
        <v>681.73</v>
      </c>
      <c r="L17" s="166">
        <v>405.55</v>
      </c>
      <c r="M17" s="166">
        <f t="shared" si="2"/>
        <v>2.0658307823129256</v>
      </c>
      <c r="N17" s="166">
        <f t="shared" si="3"/>
        <v>17.818029131767712</v>
      </c>
      <c r="O17" s="167">
        <f t="shared" si="4"/>
        <v>27.875810627542844</v>
      </c>
    </row>
    <row r="18" spans="2:15" x14ac:dyDescent="0.3">
      <c r="B18" s="77" t="s">
        <v>333</v>
      </c>
      <c r="C18" s="14" t="s">
        <v>334</v>
      </c>
      <c r="D18" s="166">
        <v>141.25</v>
      </c>
      <c r="E18" s="166">
        <v>44.43</v>
      </c>
      <c r="F18" s="166">
        <f t="shared" si="0"/>
        <v>6275.7375000000002</v>
      </c>
      <c r="G18" s="166">
        <v>1760</v>
      </c>
      <c r="H18" s="166">
        <v>15</v>
      </c>
      <c r="I18" s="166">
        <f t="shared" si="1"/>
        <v>8020.7375000000002</v>
      </c>
      <c r="J18" s="166">
        <v>5690</v>
      </c>
      <c r="K18" s="166">
        <v>809.9</v>
      </c>
      <c r="L18" s="166">
        <v>454.1</v>
      </c>
      <c r="M18" s="166">
        <f t="shared" si="2"/>
        <v>1.4096199472759228</v>
      </c>
      <c r="N18" s="166">
        <f t="shared" si="3"/>
        <v>9.9033676997160143</v>
      </c>
      <c r="O18" s="167">
        <f t="shared" si="4"/>
        <v>13.820166262937677</v>
      </c>
    </row>
    <row r="19" spans="2:15" x14ac:dyDescent="0.3">
      <c r="B19" s="77" t="s">
        <v>335</v>
      </c>
      <c r="C19" s="14" t="s">
        <v>336</v>
      </c>
      <c r="D19" s="166">
        <v>198.43</v>
      </c>
      <c r="E19" s="166">
        <v>116.31</v>
      </c>
      <c r="F19" s="166">
        <f t="shared" si="0"/>
        <v>23079.3933</v>
      </c>
      <c r="G19" s="166">
        <v>8350</v>
      </c>
      <c r="H19" s="166">
        <v>224.1</v>
      </c>
      <c r="I19" s="166">
        <f t="shared" si="1"/>
        <v>31205.293300000001</v>
      </c>
      <c r="J19" s="166">
        <v>12580</v>
      </c>
      <c r="K19" s="166">
        <v>1990</v>
      </c>
      <c r="L19" s="166">
        <v>1120</v>
      </c>
      <c r="M19" s="166">
        <f t="shared" si="2"/>
        <v>2.4805479570747218</v>
      </c>
      <c r="N19" s="166">
        <f t="shared" si="3"/>
        <v>15.681051909547739</v>
      </c>
      <c r="O19" s="167">
        <f t="shared" si="4"/>
        <v>20.606601160714288</v>
      </c>
    </row>
    <row r="20" spans="2:15" x14ac:dyDescent="0.3">
      <c r="B20" s="168" t="s">
        <v>337</v>
      </c>
      <c r="C20" s="169" t="s">
        <v>338</v>
      </c>
      <c r="D20" s="170">
        <v>36.119999999999997</v>
      </c>
      <c r="E20" s="170">
        <v>32.81</v>
      </c>
      <c r="F20" s="170">
        <f t="shared" si="0"/>
        <v>1185.0971999999999</v>
      </c>
      <c r="G20" s="170">
        <v>937.1</v>
      </c>
      <c r="H20" s="170">
        <v>36.950000000000003</v>
      </c>
      <c r="I20" s="170">
        <f t="shared" si="1"/>
        <v>2085.2472000000002</v>
      </c>
      <c r="J20" s="170">
        <v>2050</v>
      </c>
      <c r="K20" s="170">
        <v>201.79</v>
      </c>
      <c r="L20" s="170">
        <v>29.57</v>
      </c>
      <c r="M20" s="170">
        <f t="shared" si="2"/>
        <v>1.017193756097561</v>
      </c>
      <c r="N20" s="170">
        <f t="shared" si="3"/>
        <v>10.333748946925022</v>
      </c>
      <c r="O20" s="171">
        <f t="shared" si="4"/>
        <v>40.077686844775108</v>
      </c>
    </row>
    <row r="22" spans="2:15" x14ac:dyDescent="0.3">
      <c r="B22" s="187" t="s">
        <v>361</v>
      </c>
      <c r="C22" s="188" t="s">
        <v>104</v>
      </c>
      <c r="D22" s="189">
        <v>6.25</v>
      </c>
      <c r="E22" s="189">
        <f>Statements!J53/1000</f>
        <v>52.613999999999997</v>
      </c>
      <c r="F22" s="189">
        <f t="shared" ref="F22" si="5">D22*E22</f>
        <v>328.83749999999998</v>
      </c>
      <c r="G22" s="189">
        <f>Statements!J83/1000</f>
        <v>211.3</v>
      </c>
      <c r="H22" s="189">
        <f ca="1">Statements!J59/1000</f>
        <v>2.2655068459356551</v>
      </c>
      <c r="I22" s="189">
        <f ca="1">F22+G22-H22</f>
        <v>537.8719931540644</v>
      </c>
      <c r="J22" s="189">
        <f ca="1">Statements!J25/1000</f>
        <v>454.70226587773493</v>
      </c>
      <c r="K22" s="189">
        <f ca="1">(Statements!J40+Statements!J35)/1000</f>
        <v>70.334464301244793</v>
      </c>
      <c r="L22" s="189">
        <f ca="1">Statements!J45/1000</f>
        <v>30.03567325626835</v>
      </c>
      <c r="M22" s="189">
        <f t="shared" ref="M22" ca="1" si="6">I22/J22</f>
        <v>1.1829102987111417</v>
      </c>
      <c r="N22" s="189">
        <f t="shared" ref="N22" ca="1" si="7">I22/K22</f>
        <v>7.6473461267912866</v>
      </c>
      <c r="O22" s="190">
        <f t="shared" ref="O22" ca="1" si="8">D22/(L22/E22)</f>
        <v>10.948231364561559</v>
      </c>
    </row>
    <row r="23" spans="2:15" x14ac:dyDescent="0.3">
      <c r="L23" s="175" t="s">
        <v>342</v>
      </c>
      <c r="M23" s="176">
        <f>MAX(M15:M20)</f>
        <v>2.4805479570747218</v>
      </c>
      <c r="N23" s="176">
        <f t="shared" ref="N23:O23" si="9">MAX(N15:N20)</f>
        <v>17.818029131767712</v>
      </c>
      <c r="O23" s="177">
        <f t="shared" si="9"/>
        <v>40.077686844775108</v>
      </c>
    </row>
    <row r="24" spans="2:15" x14ac:dyDescent="0.3">
      <c r="L24" s="178" t="s">
        <v>346</v>
      </c>
      <c r="M24" s="179">
        <f>QUARTILE(M15:M20,3)</f>
        <v>2.0850042667143622</v>
      </c>
      <c r="N24" s="179">
        <f t="shared" ref="N24:O24" si="10">QUARTILE(N15:N20,3)</f>
        <v>15.235535818383774</v>
      </c>
      <c r="O24" s="180">
        <f t="shared" si="10"/>
        <v>26.643795470657132</v>
      </c>
    </row>
    <row r="25" spans="2:15" x14ac:dyDescent="0.3">
      <c r="L25" s="184" t="s">
        <v>343</v>
      </c>
      <c r="M25" s="185">
        <f>MEDIAN(M15:M20)</f>
        <v>1.7377253647944242</v>
      </c>
      <c r="N25" s="185">
        <f t="shared" ref="N25:O25" si="11">MEDIAN(N15:N20)</f>
        <v>12.116368245908449</v>
      </c>
      <c r="O25" s="186">
        <f t="shared" si="11"/>
        <v>21.777175580357145</v>
      </c>
    </row>
    <row r="26" spans="2:15" x14ac:dyDescent="0.3">
      <c r="L26" s="178" t="s">
        <v>344</v>
      </c>
      <c r="M26" s="179">
        <f>QUARTILE(M15:M20,1)</f>
        <v>1.1153003038921514</v>
      </c>
      <c r="N26" s="179">
        <f t="shared" ref="N26:O26" si="12">QUARTILE(N15:N20,1)</f>
        <v>10.010963011518266</v>
      </c>
      <c r="O26" s="180">
        <f t="shared" si="12"/>
        <v>15.516774987381829</v>
      </c>
    </row>
    <row r="27" spans="2:15" x14ac:dyDescent="0.3">
      <c r="L27" s="181" t="s">
        <v>345</v>
      </c>
      <c r="M27" s="182">
        <f>MIN(M15:M20)</f>
        <v>0.54135729166666668</v>
      </c>
      <c r="N27" s="182">
        <f t="shared" ref="N27:O27" si="13">MIN(N15:N20)</f>
        <v>9.8603967828418231</v>
      </c>
      <c r="O27" s="183">
        <f t="shared" si="13"/>
        <v>-153.99763092269328</v>
      </c>
    </row>
  </sheetData>
  <hyperlinks>
    <hyperlink ref="B8" location="Dashboard!A1" display="&lt;-Back to dashboard" xr:uid="{8A726ABA-FF8B-4FCE-A982-76721E345442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DE337-656A-46C9-8BDE-DC1FB398E8E9}">
  <dimension ref="B2:O40"/>
  <sheetViews>
    <sheetView showGridLines="0" topLeftCell="A7" zoomScaleNormal="100" workbookViewId="0">
      <selection activeCell="E14" sqref="E14"/>
    </sheetView>
  </sheetViews>
  <sheetFormatPr defaultRowHeight="13.8" x14ac:dyDescent="0.3"/>
  <cols>
    <col min="1" max="1" width="1.88671875" style="14" customWidth="1"/>
    <col min="2" max="4" width="8.88671875" style="14"/>
    <col min="5" max="5" width="12.33203125" style="14" customWidth="1"/>
    <col min="6" max="6" width="4" style="14" customWidth="1"/>
    <col min="7" max="11" width="11.109375" style="14" customWidth="1"/>
    <col min="12" max="16384" width="8.88671875" style="14"/>
  </cols>
  <sheetData>
    <row r="2" spans="2:15" x14ac:dyDescent="0.3">
      <c r="B2" s="11" t="str">
        <f>Dashboard!B2</f>
        <v>Denny's Diner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2:15" x14ac:dyDescent="0.3">
      <c r="B3" s="11" t="s">
        <v>49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2:15" x14ac:dyDescent="0.3">
      <c r="B4" s="75" t="str">
        <f>Dashboard!B4</f>
        <v>(In $ thousands, except per share amounts)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5" spans="2:15" x14ac:dyDescent="0.3">
      <c r="B5" s="11" t="s">
        <v>38</v>
      </c>
      <c r="C5" s="28"/>
      <c r="D5" s="11" t="str">
        <f>Dashboard!G13</f>
        <v>Street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</row>
    <row r="6" spans="2:15" x14ac:dyDescent="0.3">
      <c r="B6" s="11"/>
      <c r="C6" s="28"/>
      <c r="D6" s="28"/>
      <c r="E6" s="11"/>
      <c r="F6" s="28"/>
      <c r="G6" s="28"/>
      <c r="H6" s="28"/>
      <c r="I6" s="28"/>
      <c r="J6" s="28"/>
      <c r="K6" s="28"/>
      <c r="L6" s="28"/>
      <c r="M6" s="28"/>
      <c r="N6" s="28"/>
      <c r="O6" s="28"/>
    </row>
    <row r="8" spans="2:15" x14ac:dyDescent="0.3">
      <c r="B8" s="76" t="s">
        <v>47</v>
      </c>
    </row>
    <row r="9" spans="2:15" x14ac:dyDescent="0.3">
      <c r="B9" s="76"/>
    </row>
    <row r="10" spans="2:15" x14ac:dyDescent="0.3">
      <c r="B10" s="17" t="s">
        <v>67</v>
      </c>
    </row>
    <row r="11" spans="2:15" ht="7.2" customHeight="1" x14ac:dyDescent="0.3">
      <c r="B11" s="17"/>
    </row>
    <row r="12" spans="2:15" x14ac:dyDescent="0.3">
      <c r="B12" s="337" t="s">
        <v>68</v>
      </c>
      <c r="C12" s="338"/>
      <c r="D12" s="339"/>
      <c r="E12" s="68">
        <v>46016</v>
      </c>
      <c r="G12" s="14" t="s">
        <v>507</v>
      </c>
      <c r="I12" s="430">
        <f ca="1">G40</f>
        <v>8.7223596857049337</v>
      </c>
    </row>
    <row r="13" spans="2:15" x14ac:dyDescent="0.3">
      <c r="B13" s="337" t="s">
        <v>69</v>
      </c>
      <c r="C13" s="338"/>
      <c r="D13" s="339"/>
      <c r="E13" s="68">
        <v>46022</v>
      </c>
      <c r="G13" s="14" t="s">
        <v>505</v>
      </c>
      <c r="I13" s="430">
        <f>Comp_Comps!D22</f>
        <v>6.25</v>
      </c>
    </row>
    <row r="14" spans="2:15" x14ac:dyDescent="0.3">
      <c r="B14" s="65" t="s">
        <v>100</v>
      </c>
      <c r="C14" s="66"/>
      <c r="D14" s="67"/>
      <c r="E14" s="69">
        <f>WACC!E21</f>
        <v>0.25</v>
      </c>
      <c r="G14" s="14" t="s">
        <v>506</v>
      </c>
      <c r="I14" s="137">
        <f ca="1">I13/I12-1</f>
        <v>-0.28345078336506591</v>
      </c>
    </row>
    <row r="15" spans="2:15" x14ac:dyDescent="0.3">
      <c r="B15" s="337" t="s">
        <v>101</v>
      </c>
      <c r="C15" s="338"/>
      <c r="D15" s="339"/>
      <c r="E15" s="69">
        <f ca="1">WACC!G31</f>
        <v>8.2402991923352834E-2</v>
      </c>
    </row>
    <row r="16" spans="2:15" x14ac:dyDescent="0.3">
      <c r="B16" s="337" t="s">
        <v>102</v>
      </c>
      <c r="C16" s="338"/>
      <c r="D16" s="339"/>
      <c r="E16" s="69">
        <v>0.02</v>
      </c>
    </row>
    <row r="18" spans="2:11" x14ac:dyDescent="0.3">
      <c r="B18" s="70" t="s">
        <v>66</v>
      </c>
      <c r="C18" s="70"/>
      <c r="D18" s="70"/>
      <c r="E18" s="70"/>
      <c r="F18" s="70"/>
      <c r="G18" s="422">
        <f>Statements!J7</f>
        <v>46016</v>
      </c>
      <c r="H18" s="422">
        <f t="shared" ref="H18:K18" si="0">EDATE(G18,12)</f>
        <v>46381</v>
      </c>
      <c r="I18" s="422">
        <f t="shared" si="0"/>
        <v>46746</v>
      </c>
      <c r="J18" s="422">
        <f t="shared" si="0"/>
        <v>47112</v>
      </c>
      <c r="K18" s="422">
        <f t="shared" si="0"/>
        <v>47477</v>
      </c>
    </row>
    <row r="19" spans="2:11" ht="5.4" customHeight="1" x14ac:dyDescent="0.3"/>
    <row r="20" spans="2:11" x14ac:dyDescent="0.3">
      <c r="B20" s="149" t="s">
        <v>60</v>
      </c>
      <c r="G20" s="48">
        <f ca="1">Statements!J40</f>
        <v>56609.887643605878</v>
      </c>
      <c r="H20" s="48">
        <f ca="1">Statements!K40</f>
        <v>54749.777189851797</v>
      </c>
      <c r="I20" s="48">
        <f ca="1">Statements!L40</f>
        <v>50837.643427786184</v>
      </c>
      <c r="J20" s="48">
        <f ca="1">Statements!M40</f>
        <v>50578.488253976975</v>
      </c>
      <c r="K20" s="48">
        <f ca="1">Statements!N40</f>
        <v>47530.660455846111</v>
      </c>
    </row>
    <row r="21" spans="2:11" x14ac:dyDescent="0.3">
      <c r="B21" s="149" t="s">
        <v>99</v>
      </c>
      <c r="G21" s="71">
        <f>$E$14</f>
        <v>0.25</v>
      </c>
      <c r="H21" s="71">
        <f t="shared" ref="H21:K21" si="1">$E$14</f>
        <v>0.25</v>
      </c>
      <c r="I21" s="71">
        <f t="shared" si="1"/>
        <v>0.25</v>
      </c>
      <c r="J21" s="71">
        <f t="shared" si="1"/>
        <v>0.25</v>
      </c>
      <c r="K21" s="71">
        <f t="shared" si="1"/>
        <v>0.25</v>
      </c>
    </row>
    <row r="22" spans="2:11" x14ac:dyDescent="0.3">
      <c r="B22" s="149" t="s">
        <v>61</v>
      </c>
      <c r="G22" s="48">
        <f ca="1">G20*G21</f>
        <v>14152.47191090147</v>
      </c>
      <c r="H22" s="48">
        <f t="shared" ref="H22:K22" ca="1" si="2">H20*H21</f>
        <v>13687.444297462949</v>
      </c>
      <c r="I22" s="48">
        <f t="shared" ca="1" si="2"/>
        <v>12709.410856946546</v>
      </c>
      <c r="J22" s="48">
        <f t="shared" ca="1" si="2"/>
        <v>12644.622063494244</v>
      </c>
      <c r="K22" s="48">
        <f t="shared" ca="1" si="2"/>
        <v>11882.665113961528</v>
      </c>
    </row>
    <row r="23" spans="2:11" x14ac:dyDescent="0.3">
      <c r="B23" s="131" t="s">
        <v>62</v>
      </c>
      <c r="G23" s="161">
        <f ca="1">G20-G22</f>
        <v>42457.415732704409</v>
      </c>
      <c r="H23" s="161">
        <f t="shared" ref="H23:K23" ca="1" si="3">H20-H22</f>
        <v>41062.332892388848</v>
      </c>
      <c r="I23" s="161">
        <f t="shared" ca="1" si="3"/>
        <v>38128.232570839638</v>
      </c>
      <c r="J23" s="161">
        <f t="shared" ca="1" si="3"/>
        <v>37933.866190482731</v>
      </c>
      <c r="K23" s="161">
        <f t="shared" ca="1" si="3"/>
        <v>35647.995341884583</v>
      </c>
    </row>
    <row r="24" spans="2:11" x14ac:dyDescent="0.3">
      <c r="B24" s="41"/>
      <c r="G24" s="73"/>
      <c r="H24" s="73"/>
      <c r="I24" s="73"/>
      <c r="J24" s="73"/>
      <c r="K24" s="73"/>
    </row>
    <row r="25" spans="2:11" x14ac:dyDescent="0.3">
      <c r="B25" s="14" t="s">
        <v>63</v>
      </c>
      <c r="G25" s="48">
        <f ca="1">Statements!J107</f>
        <v>13724.576657638916</v>
      </c>
      <c r="H25" s="48">
        <f ca="1">Statements!K107</f>
        <v>13914.684419788182</v>
      </c>
      <c r="I25" s="48">
        <f ca="1">Statements!L107</f>
        <v>14602.521047936578</v>
      </c>
      <c r="J25" s="48">
        <f ca="1">Statements!M107</f>
        <v>15365.381207057684</v>
      </c>
      <c r="K25" s="48">
        <f ca="1">Statements!N107</f>
        <v>16163.077366366026</v>
      </c>
    </row>
    <row r="26" spans="2:11" x14ac:dyDescent="0.3">
      <c r="B26" s="14" t="s">
        <v>362</v>
      </c>
      <c r="G26" s="48">
        <f ca="1">Statements!J108</f>
        <v>7699.8803616067371</v>
      </c>
      <c r="H26" s="48">
        <f ca="1">Statements!K108</f>
        <v>9677.7861783957069</v>
      </c>
      <c r="I26" s="48">
        <f ca="1">Statements!L108</f>
        <v>9816.0015309019054</v>
      </c>
      <c r="J26" s="48">
        <f ca="1">Statements!M108</f>
        <v>9548.1705196975872</v>
      </c>
      <c r="K26" s="48">
        <f ca="1">Statements!N108</f>
        <v>9903.2566338306951</v>
      </c>
    </row>
    <row r="27" spans="2:11" x14ac:dyDescent="0.3">
      <c r="B27" s="14" t="s">
        <v>64</v>
      </c>
      <c r="G27" s="48">
        <f ca="1">SUM(Statements!J111,Statements!J112,Statements!J114)</f>
        <v>-340.66133519551545</v>
      </c>
      <c r="H27" s="48">
        <f ca="1">SUM(Statements!K111,Statements!K112,Statements!K114)</f>
        <v>129.63285156335996</v>
      </c>
      <c r="I27" s="48">
        <f ca="1">SUM(Statements!L111,Statements!L112,Statements!L114)</f>
        <v>225.44901842352351</v>
      </c>
      <c r="J27" s="48">
        <f ca="1">SUM(Statements!M111,Statements!M112,Statements!M114)</f>
        <v>85.482171006407043</v>
      </c>
      <c r="K27" s="48">
        <f ca="1">SUM(Statements!N111,Statements!N112,Statements!N114)</f>
        <v>251.29206165019195</v>
      </c>
    </row>
    <row r="28" spans="2:11" x14ac:dyDescent="0.3">
      <c r="B28" s="14" t="s">
        <v>65</v>
      </c>
      <c r="G28" s="48">
        <f ca="1">(Statements!J119+Statements!J121+Statements!J122)</f>
        <v>-5483.868542010332</v>
      </c>
      <c r="H28" s="48">
        <f ca="1">(Statements!K119+Statements!K121+Statements!K122)</f>
        <v>-12291.533444561122</v>
      </c>
      <c r="I28" s="48">
        <f ca="1">(Statements!L119+Statements!L121+Statements!L122)</f>
        <v>-17627.567635210347</v>
      </c>
      <c r="J28" s="48">
        <f ca="1">(Statements!M119+Statements!M121+Statements!M122)</f>
        <v>-15755.101468561941</v>
      </c>
      <c r="K28" s="48">
        <f ca="1">(Statements!N119+Statements!N121+Statements!N122)</f>
        <v>-19470.125889216637</v>
      </c>
    </row>
    <row r="29" spans="2:11" x14ac:dyDescent="0.3">
      <c r="B29" s="425" t="s">
        <v>49</v>
      </c>
      <c r="C29" s="423"/>
      <c r="D29" s="423"/>
      <c r="E29" s="423"/>
      <c r="F29" s="423"/>
      <c r="G29" s="424">
        <f ca="1">SUM(G23:G28)</f>
        <v>58057.342874744209</v>
      </c>
      <c r="H29" s="424">
        <f ca="1">SUM(H23:H28)</f>
        <v>52492.902897574968</v>
      </c>
      <c r="I29" s="424">
        <f ca="1">SUM(I23:I28)</f>
        <v>45144.636532891302</v>
      </c>
      <c r="J29" s="424">
        <f ca="1">SUM(J23:J28)</f>
        <v>47177.798619682464</v>
      </c>
      <c r="K29" s="424">
        <f ca="1">SUM(K23:K28)</f>
        <v>42495.495514514856</v>
      </c>
    </row>
    <row r="31" spans="2:11" x14ac:dyDescent="0.3">
      <c r="B31" s="14" t="s">
        <v>499</v>
      </c>
      <c r="G31" s="416">
        <f>(E13-E12)/(365/2)</f>
        <v>3.287671232876712E-2</v>
      </c>
      <c r="H31" s="416">
        <f>G31+1</f>
        <v>1.0328767123287672</v>
      </c>
      <c r="I31" s="416">
        <f t="shared" ref="I31:K31" si="4">H31+1</f>
        <v>2.0328767123287674</v>
      </c>
      <c r="J31" s="416">
        <f t="shared" si="4"/>
        <v>3.0328767123287674</v>
      </c>
      <c r="K31" s="416">
        <f t="shared" si="4"/>
        <v>4.0328767123287674</v>
      </c>
    </row>
    <row r="32" spans="2:11" x14ac:dyDescent="0.3">
      <c r="B32" s="14" t="s">
        <v>500</v>
      </c>
      <c r="G32" s="426"/>
      <c r="H32" s="426"/>
      <c r="I32" s="426"/>
      <c r="J32" s="426"/>
      <c r="K32" s="427">
        <f ca="1">K29*(1+terminal_growth)/(wacc-terminal_growth)</f>
        <v>694604.60290180694</v>
      </c>
    </row>
    <row r="33" spans="2:11" x14ac:dyDescent="0.3">
      <c r="B33" s="14" t="s">
        <v>501</v>
      </c>
      <c r="G33" s="428">
        <f ca="1">G29/(1+wacc)^G31</f>
        <v>57906.399034231814</v>
      </c>
      <c r="H33" s="428">
        <f ca="1">H29/(1+wacc)^H31</f>
        <v>48370.548204691404</v>
      </c>
      <c r="I33" s="428">
        <f ca="1">I29/(1+wacc)^I31</f>
        <v>38432.407976300514</v>
      </c>
      <c r="J33" s="428">
        <f ca="1">J29/(1+wacc)^J31</f>
        <v>37105.656801871206</v>
      </c>
      <c r="K33" s="428">
        <f ca="1">(K29+K32)/(1+wacc)^K31</f>
        <v>535599.22048658435</v>
      </c>
    </row>
    <row r="34" spans="2:11" x14ac:dyDescent="0.3">
      <c r="B34" s="41" t="s">
        <v>319</v>
      </c>
      <c r="C34" s="41"/>
      <c r="D34" s="41"/>
      <c r="E34" s="41"/>
      <c r="F34" s="41"/>
      <c r="G34" s="73">
        <f ca="1">SUM(G33:K33)</f>
        <v>717414.23250367935</v>
      </c>
    </row>
    <row r="35" spans="2:11" x14ac:dyDescent="0.3">
      <c r="B35" s="14" t="s">
        <v>72</v>
      </c>
      <c r="G35" s="48">
        <f>Statements!I59</f>
        <v>1698</v>
      </c>
    </row>
    <row r="36" spans="2:11" ht="14.4" customHeight="1" x14ac:dyDescent="0.3">
      <c r="B36" s="14" t="s">
        <v>502</v>
      </c>
      <c r="G36" s="48">
        <f>Statements!I60</f>
        <v>1106</v>
      </c>
    </row>
    <row r="37" spans="2:11" x14ac:dyDescent="0.3">
      <c r="B37" s="14" t="s">
        <v>71</v>
      </c>
      <c r="G37" s="48">
        <f>-Statements!I83</f>
        <v>-261300</v>
      </c>
    </row>
    <row r="38" spans="2:11" x14ac:dyDescent="0.3">
      <c r="B38" s="41" t="s">
        <v>316</v>
      </c>
      <c r="C38" s="41"/>
      <c r="D38" s="41"/>
      <c r="E38" s="41"/>
      <c r="F38" s="41"/>
      <c r="G38" s="161">
        <f ca="1">SUM(G34:G37)</f>
        <v>458918.23250367935</v>
      </c>
    </row>
    <row r="39" spans="2:11" x14ac:dyDescent="0.3">
      <c r="B39" s="14" t="s">
        <v>503</v>
      </c>
      <c r="G39" s="431">
        <f>Statements!I53</f>
        <v>52614</v>
      </c>
    </row>
    <row r="40" spans="2:11" x14ac:dyDescent="0.3">
      <c r="B40" s="41" t="s">
        <v>504</v>
      </c>
      <c r="C40" s="41"/>
      <c r="D40" s="41"/>
      <c r="E40" s="41"/>
      <c r="F40" s="41"/>
      <c r="G40" s="429">
        <f ca="1">G38/G39</f>
        <v>8.7223596857049337</v>
      </c>
    </row>
  </sheetData>
  <mergeCells count="4">
    <mergeCell ref="B12:D12"/>
    <mergeCell ref="B13:D13"/>
    <mergeCell ref="B15:D15"/>
    <mergeCell ref="B16:D16"/>
  </mergeCells>
  <hyperlinks>
    <hyperlink ref="B8" location="Dashboard!A1" display="&lt;-Back to dashboard" xr:uid="{F062D85C-EB45-4F30-96FC-9A66AA255C6E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A1361-FA02-4A62-B221-08144689E8B7}">
  <dimension ref="B1:Q55"/>
  <sheetViews>
    <sheetView showGridLines="0" workbookViewId="0">
      <selection activeCell="B2" sqref="B2:N4"/>
    </sheetView>
  </sheetViews>
  <sheetFormatPr defaultRowHeight="13.8" x14ac:dyDescent="0.3"/>
  <cols>
    <col min="1" max="1" width="1.88671875" style="14" customWidth="1"/>
    <col min="2" max="6" width="8.88671875" style="14"/>
    <col min="7" max="14" width="12.109375" style="14" customWidth="1"/>
    <col min="15" max="16384" width="8.88671875" style="14"/>
  </cols>
  <sheetData>
    <row r="1" spans="2:17" s="22" customFormat="1" ht="14.4" x14ac:dyDescent="0.3">
      <c r="O1" s="14"/>
      <c r="P1" s="14"/>
      <c r="Q1" s="14"/>
    </row>
    <row r="2" spans="2:17" s="22" customFormat="1" ht="15.6" x14ac:dyDescent="0.3">
      <c r="B2" s="24" t="str">
        <f>Dashboard!B2</f>
        <v>Denny's Diner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14"/>
      <c r="P2" s="14"/>
      <c r="Q2" s="14"/>
    </row>
    <row r="3" spans="2:17" s="22" customFormat="1" ht="14.4" x14ac:dyDescent="0.3">
      <c r="B3" s="60" t="s">
        <v>75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14"/>
      <c r="P3" s="14"/>
      <c r="Q3" s="14"/>
    </row>
    <row r="4" spans="2:17" s="22" customFormat="1" ht="14.4" x14ac:dyDescent="0.3">
      <c r="B4" s="75" t="str">
        <f>Dashboard!B4</f>
        <v>(In $ thousands, except per share amounts)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14"/>
      <c r="P4" s="14"/>
      <c r="Q4" s="14"/>
    </row>
    <row r="5" spans="2:17" s="22" customFormat="1" ht="14.4" x14ac:dyDescent="0.3">
      <c r="B5" s="11" t="s">
        <v>38</v>
      </c>
      <c r="C5" s="25"/>
      <c r="D5" s="11" t="str">
        <f>Dashboard!G13</f>
        <v>Street</v>
      </c>
      <c r="E5" s="25"/>
      <c r="F5" s="25"/>
      <c r="G5" s="25"/>
      <c r="H5" s="25"/>
      <c r="I5" s="25"/>
      <c r="J5" s="25"/>
      <c r="K5" s="25"/>
      <c r="L5" s="25"/>
      <c r="M5" s="25"/>
      <c r="N5" s="25"/>
      <c r="O5" s="14"/>
      <c r="P5" s="14"/>
      <c r="Q5" s="14"/>
    </row>
    <row r="6" spans="2:17" s="22" customFormat="1" ht="14.4" x14ac:dyDescent="0.3">
      <c r="B6" s="11" t="s">
        <v>172</v>
      </c>
      <c r="C6" s="28"/>
      <c r="D6" s="28"/>
      <c r="E6" s="28"/>
      <c r="F6" s="28"/>
      <c r="G6" s="334" t="s">
        <v>171</v>
      </c>
      <c r="H6" s="335"/>
      <c r="I6" s="336"/>
      <c r="J6" s="340" t="s">
        <v>2</v>
      </c>
      <c r="K6" s="341"/>
      <c r="L6" s="341"/>
      <c r="M6" s="341"/>
      <c r="N6" s="342"/>
      <c r="O6" s="14"/>
      <c r="P6" s="14"/>
      <c r="Q6" s="14"/>
    </row>
    <row r="7" spans="2:17" x14ac:dyDescent="0.3">
      <c r="B7" s="11" t="s">
        <v>173</v>
      </c>
      <c r="C7" s="28"/>
      <c r="D7" s="28"/>
      <c r="E7" s="28"/>
      <c r="F7" s="28"/>
      <c r="G7" s="30">
        <f>Statements!G7</f>
        <v>44920</v>
      </c>
      <c r="H7" s="30">
        <f t="shared" ref="H7:N7" si="0">EDATE(G7,12)</f>
        <v>45285</v>
      </c>
      <c r="I7" s="32">
        <f t="shared" si="0"/>
        <v>45651</v>
      </c>
      <c r="J7" s="32">
        <f t="shared" si="0"/>
        <v>46016</v>
      </c>
      <c r="K7" s="32">
        <f t="shared" si="0"/>
        <v>46381</v>
      </c>
      <c r="L7" s="33">
        <f t="shared" si="0"/>
        <v>46746</v>
      </c>
      <c r="M7" s="32">
        <f t="shared" si="0"/>
        <v>47112</v>
      </c>
      <c r="N7" s="33">
        <f t="shared" si="0"/>
        <v>47477</v>
      </c>
    </row>
    <row r="9" spans="2:17" x14ac:dyDescent="0.3">
      <c r="B9" s="76" t="s">
        <v>47</v>
      </c>
    </row>
    <row r="11" spans="2:17" x14ac:dyDescent="0.3">
      <c r="B11" s="42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</row>
    <row r="13" spans="2:17" x14ac:dyDescent="0.3">
      <c r="G13" s="43"/>
      <c r="H13" s="43"/>
      <c r="I13" s="43"/>
      <c r="J13" s="43"/>
      <c r="K13" s="43"/>
      <c r="L13" s="43"/>
      <c r="M13" s="43"/>
      <c r="N13" s="43"/>
    </row>
    <row r="14" spans="2:17" x14ac:dyDescent="0.3">
      <c r="G14" s="43"/>
      <c r="H14" s="43"/>
      <c r="I14" s="43"/>
      <c r="J14" s="43"/>
      <c r="K14" s="43"/>
      <c r="L14" s="43"/>
      <c r="M14" s="43"/>
      <c r="N14" s="43"/>
    </row>
    <row r="15" spans="2:17" x14ac:dyDescent="0.3">
      <c r="G15" s="43"/>
      <c r="H15" s="43"/>
      <c r="I15" s="43"/>
      <c r="J15" s="43"/>
      <c r="K15" s="43"/>
      <c r="L15" s="43"/>
      <c r="M15" s="43"/>
      <c r="N15" s="43"/>
    </row>
    <row r="16" spans="2:17" x14ac:dyDescent="0.3">
      <c r="G16" s="43"/>
      <c r="H16" s="43"/>
      <c r="I16" s="43"/>
      <c r="J16" s="43"/>
      <c r="K16" s="43"/>
      <c r="L16" s="43"/>
      <c r="M16" s="43"/>
      <c r="N16" s="43"/>
    </row>
    <row r="17" spans="3:14" x14ac:dyDescent="0.3">
      <c r="G17" s="43"/>
      <c r="H17" s="43"/>
      <c r="I17" s="43"/>
      <c r="J17" s="43"/>
      <c r="K17" s="43"/>
      <c r="L17" s="43"/>
      <c r="M17" s="43"/>
      <c r="N17" s="43"/>
    </row>
    <row r="18" spans="3:14" x14ac:dyDescent="0.3">
      <c r="C18" s="17"/>
      <c r="G18" s="43"/>
      <c r="H18" s="43"/>
      <c r="I18" s="43"/>
      <c r="J18" s="43"/>
      <c r="K18" s="43"/>
      <c r="L18" s="43"/>
      <c r="M18" s="43"/>
      <c r="N18" s="43"/>
    </row>
    <row r="19" spans="3:14" ht="6.45" customHeight="1" x14ac:dyDescent="0.3">
      <c r="C19" s="17"/>
      <c r="G19" s="43"/>
      <c r="H19" s="43"/>
      <c r="I19" s="43"/>
      <c r="J19" s="43"/>
      <c r="K19" s="43"/>
      <c r="L19" s="43"/>
      <c r="M19" s="43"/>
      <c r="N19" s="43"/>
    </row>
    <row r="20" spans="3:14" x14ac:dyDescent="0.3">
      <c r="G20" s="43"/>
      <c r="H20" s="43"/>
      <c r="I20" s="43"/>
      <c r="J20" s="43"/>
      <c r="K20" s="43"/>
      <c r="L20" s="43"/>
      <c r="M20" s="43"/>
      <c r="N20" s="43"/>
    </row>
    <row r="21" spans="3:14" x14ac:dyDescent="0.3">
      <c r="G21" s="43"/>
      <c r="H21" s="43"/>
      <c r="I21" s="43"/>
      <c r="J21" s="43"/>
      <c r="K21" s="43"/>
      <c r="L21" s="43"/>
      <c r="M21" s="43"/>
      <c r="N21" s="43"/>
    </row>
    <row r="22" spans="3:14" x14ac:dyDescent="0.3">
      <c r="G22" s="43"/>
      <c r="H22" s="43"/>
      <c r="I22" s="43"/>
      <c r="J22" s="43"/>
      <c r="K22" s="43"/>
      <c r="L22" s="43"/>
      <c r="M22" s="43"/>
      <c r="N22" s="43"/>
    </row>
    <row r="23" spans="3:14" x14ac:dyDescent="0.3">
      <c r="G23" s="43"/>
      <c r="H23" s="43"/>
      <c r="I23" s="43"/>
      <c r="J23" s="43"/>
      <c r="K23" s="43"/>
      <c r="L23" s="43"/>
      <c r="M23" s="43"/>
      <c r="N23" s="43"/>
    </row>
    <row r="24" spans="3:14" x14ac:dyDescent="0.3">
      <c r="G24" s="43"/>
      <c r="H24" s="43"/>
      <c r="I24" s="43"/>
      <c r="J24" s="43"/>
      <c r="K24" s="43"/>
      <c r="L24" s="43"/>
      <c r="M24" s="43"/>
      <c r="N24" s="43"/>
    </row>
    <row r="25" spans="3:14" x14ac:dyDescent="0.3">
      <c r="G25" s="43"/>
      <c r="H25" s="43"/>
      <c r="I25" s="43"/>
      <c r="J25" s="43"/>
      <c r="K25" s="43"/>
      <c r="L25" s="43"/>
      <c r="M25" s="43"/>
      <c r="N25" s="43"/>
    </row>
    <row r="26" spans="3:14" x14ac:dyDescent="0.3">
      <c r="G26" s="43"/>
      <c r="H26" s="43"/>
      <c r="I26" s="43"/>
      <c r="J26" s="43"/>
      <c r="K26" s="43"/>
      <c r="L26" s="43"/>
      <c r="M26" s="43"/>
      <c r="N26" s="43"/>
    </row>
    <row r="27" spans="3:14" x14ac:dyDescent="0.3">
      <c r="G27" s="43"/>
      <c r="H27" s="43"/>
      <c r="I27" s="43"/>
      <c r="J27" s="43"/>
      <c r="K27" s="43"/>
      <c r="L27" s="43"/>
      <c r="M27" s="43"/>
      <c r="N27" s="43"/>
    </row>
    <row r="28" spans="3:14" x14ac:dyDescent="0.3">
      <c r="G28" s="43"/>
      <c r="H28" s="43"/>
      <c r="I28" s="43"/>
      <c r="J28" s="43"/>
      <c r="K28" s="43"/>
      <c r="L28" s="43"/>
      <c r="M28" s="43"/>
      <c r="N28" s="43"/>
    </row>
    <row r="29" spans="3:14" x14ac:dyDescent="0.3">
      <c r="C29" s="17"/>
      <c r="G29" s="43"/>
      <c r="H29" s="43"/>
      <c r="I29" s="43"/>
      <c r="J29" s="43"/>
      <c r="K29" s="43"/>
      <c r="L29" s="43"/>
      <c r="M29" s="43"/>
      <c r="N29" s="43"/>
    </row>
    <row r="30" spans="3:14" ht="6" customHeight="1" x14ac:dyDescent="0.3">
      <c r="G30" s="43"/>
      <c r="H30" s="43"/>
      <c r="I30" s="43"/>
      <c r="J30" s="43"/>
      <c r="K30" s="43"/>
      <c r="L30" s="43"/>
      <c r="M30" s="43"/>
      <c r="N30" s="43"/>
    </row>
    <row r="31" spans="3:14" x14ac:dyDescent="0.3">
      <c r="G31" s="43"/>
      <c r="H31" s="43"/>
      <c r="I31" s="43"/>
      <c r="J31" s="43"/>
      <c r="K31" s="43"/>
      <c r="L31" s="43"/>
      <c r="M31" s="43"/>
      <c r="N31" s="43"/>
    </row>
    <row r="32" spans="3:14" x14ac:dyDescent="0.3">
      <c r="G32" s="43"/>
      <c r="H32" s="43"/>
      <c r="I32" s="43"/>
      <c r="J32" s="43"/>
      <c r="K32" s="43"/>
      <c r="L32" s="43"/>
      <c r="M32" s="43"/>
      <c r="N32" s="43"/>
    </row>
    <row r="33" spans="3:15" x14ac:dyDescent="0.3">
      <c r="G33" s="43"/>
      <c r="H33" s="43"/>
      <c r="I33" s="43"/>
      <c r="J33" s="43"/>
      <c r="K33" s="43"/>
      <c r="L33" s="43"/>
      <c r="M33" s="43"/>
      <c r="N33" s="43"/>
    </row>
    <row r="34" spans="3:15" x14ac:dyDescent="0.3">
      <c r="G34" s="43"/>
      <c r="H34" s="43"/>
      <c r="I34" s="43"/>
      <c r="J34" s="43"/>
      <c r="K34" s="43"/>
      <c r="L34" s="43"/>
      <c r="M34" s="43"/>
      <c r="N34" s="43"/>
    </row>
    <row r="35" spans="3:15" x14ac:dyDescent="0.3">
      <c r="G35" s="43"/>
      <c r="H35" s="43"/>
      <c r="I35" s="43"/>
      <c r="J35" s="43"/>
      <c r="K35" s="43"/>
      <c r="L35" s="43"/>
      <c r="M35" s="43"/>
      <c r="N35" s="43"/>
    </row>
    <row r="36" spans="3:15" x14ac:dyDescent="0.3">
      <c r="G36" s="43"/>
      <c r="H36" s="43"/>
      <c r="I36" s="43"/>
      <c r="J36" s="43"/>
      <c r="K36" s="43"/>
      <c r="L36" s="43"/>
      <c r="M36" s="43"/>
      <c r="N36" s="43"/>
    </row>
    <row r="37" spans="3:15" x14ac:dyDescent="0.3">
      <c r="C37" s="17"/>
      <c r="G37" s="43"/>
      <c r="H37" s="43"/>
      <c r="I37" s="43"/>
      <c r="J37" s="43"/>
      <c r="K37" s="43"/>
      <c r="L37" s="43"/>
      <c r="M37" s="43"/>
      <c r="N37" s="43"/>
    </row>
    <row r="38" spans="3:15" ht="6.45" customHeight="1" x14ac:dyDescent="0.3">
      <c r="G38" s="43"/>
      <c r="H38" s="43"/>
      <c r="I38" s="43"/>
      <c r="J38" s="43"/>
      <c r="K38" s="43"/>
      <c r="L38" s="43"/>
      <c r="M38" s="43"/>
      <c r="N38" s="43"/>
    </row>
    <row r="39" spans="3:15" x14ac:dyDescent="0.3">
      <c r="G39" s="43"/>
      <c r="H39" s="43"/>
      <c r="I39" s="43"/>
      <c r="J39" s="43"/>
      <c r="K39" s="43"/>
      <c r="L39" s="43"/>
      <c r="M39" s="43"/>
      <c r="N39" s="43"/>
    </row>
    <row r="40" spans="3:15" x14ac:dyDescent="0.3">
      <c r="G40" s="43"/>
      <c r="H40" s="43"/>
      <c r="I40" s="43"/>
      <c r="J40" s="43"/>
      <c r="K40" s="43"/>
      <c r="L40" s="43"/>
      <c r="M40" s="43"/>
      <c r="N40" s="43"/>
    </row>
    <row r="42" spans="3:15" x14ac:dyDescent="0.3">
      <c r="C42" s="17"/>
      <c r="G42" s="43"/>
      <c r="H42" s="43"/>
      <c r="I42" s="43"/>
      <c r="J42" s="43"/>
      <c r="K42" s="43"/>
      <c r="L42" s="43"/>
      <c r="M42" s="43"/>
      <c r="N42" s="43"/>
      <c r="O42" s="43"/>
    </row>
    <row r="43" spans="3:15" ht="5.4" customHeight="1" x14ac:dyDescent="0.3">
      <c r="G43" s="43"/>
      <c r="H43" s="43"/>
      <c r="I43" s="43"/>
      <c r="J43" s="43"/>
      <c r="K43" s="43"/>
      <c r="L43" s="43"/>
      <c r="M43" s="43"/>
      <c r="N43" s="43"/>
      <c r="O43" s="43"/>
    </row>
    <row r="44" spans="3:15" x14ac:dyDescent="0.3">
      <c r="G44" s="43"/>
      <c r="H44" s="43"/>
      <c r="I44" s="43"/>
      <c r="J44" s="43"/>
      <c r="K44" s="43"/>
      <c r="L44" s="43"/>
      <c r="M44" s="43"/>
      <c r="N44" s="43"/>
      <c r="O44" s="43"/>
    </row>
    <row r="45" spans="3:15" x14ac:dyDescent="0.3">
      <c r="G45" s="43"/>
      <c r="H45" s="43"/>
      <c r="I45" s="43"/>
      <c r="J45" s="43"/>
      <c r="K45" s="43"/>
      <c r="L45" s="43"/>
      <c r="M45" s="43"/>
      <c r="N45" s="43"/>
      <c r="O45" s="43"/>
    </row>
    <row r="46" spans="3:15" x14ac:dyDescent="0.3">
      <c r="G46" s="43"/>
      <c r="H46" s="43"/>
      <c r="I46" s="43"/>
      <c r="J46" s="43"/>
      <c r="K46" s="43"/>
      <c r="L46" s="43"/>
      <c r="M46" s="43"/>
      <c r="N46" s="43"/>
      <c r="O46" s="43"/>
    </row>
    <row r="47" spans="3:15" x14ac:dyDescent="0.3">
      <c r="G47" s="43"/>
      <c r="H47" s="43"/>
      <c r="I47" s="43"/>
      <c r="J47" s="43"/>
      <c r="K47" s="43"/>
      <c r="L47" s="43"/>
      <c r="M47" s="43"/>
      <c r="N47" s="43"/>
      <c r="O47" s="43"/>
    </row>
    <row r="48" spans="3:15" x14ac:dyDescent="0.3">
      <c r="C48" s="17"/>
      <c r="G48" s="43"/>
      <c r="H48" s="43"/>
      <c r="I48" s="43"/>
      <c r="J48" s="43"/>
      <c r="K48" s="43"/>
      <c r="L48" s="43"/>
      <c r="M48" s="43"/>
      <c r="N48" s="43"/>
      <c r="O48" s="43"/>
    </row>
    <row r="49" spans="3:15" ht="4.95" customHeight="1" x14ac:dyDescent="0.3">
      <c r="G49" s="43"/>
      <c r="H49" s="43"/>
      <c r="I49" s="43"/>
      <c r="J49" s="43"/>
      <c r="K49" s="43"/>
      <c r="L49" s="43"/>
      <c r="M49" s="43"/>
      <c r="N49" s="43"/>
      <c r="O49" s="43"/>
    </row>
    <row r="50" spans="3:15" x14ac:dyDescent="0.3">
      <c r="G50" s="43"/>
      <c r="H50" s="43"/>
      <c r="I50" s="43"/>
      <c r="J50" s="43"/>
      <c r="K50" s="43"/>
      <c r="L50" s="43"/>
      <c r="M50" s="43"/>
      <c r="N50" s="43"/>
      <c r="O50" s="43"/>
    </row>
    <row r="51" spans="3:15" x14ac:dyDescent="0.3">
      <c r="G51" s="43"/>
      <c r="H51" s="43"/>
      <c r="I51" s="43"/>
      <c r="J51" s="43"/>
      <c r="K51" s="43"/>
      <c r="L51" s="43"/>
      <c r="M51" s="43"/>
      <c r="N51" s="43"/>
      <c r="O51" s="43"/>
    </row>
    <row r="52" spans="3:15" x14ac:dyDescent="0.3">
      <c r="G52" s="43"/>
      <c r="H52" s="43"/>
      <c r="I52" s="43"/>
      <c r="J52" s="43"/>
      <c r="K52" s="43"/>
      <c r="L52" s="43"/>
      <c r="M52" s="43"/>
      <c r="N52" s="43"/>
      <c r="O52" s="43"/>
    </row>
    <row r="53" spans="3:15" x14ac:dyDescent="0.3">
      <c r="C53" s="41"/>
      <c r="G53" s="43"/>
      <c r="H53" s="43"/>
      <c r="I53" s="43"/>
      <c r="J53" s="43"/>
      <c r="K53" s="43"/>
      <c r="L53" s="43"/>
      <c r="M53" s="43"/>
      <c r="N53" s="43"/>
      <c r="O53" s="43"/>
    </row>
    <row r="54" spans="3:15" x14ac:dyDescent="0.3">
      <c r="G54" s="43"/>
      <c r="H54" s="43"/>
      <c r="I54" s="43"/>
      <c r="J54" s="43"/>
      <c r="K54" s="43"/>
      <c r="L54" s="43"/>
      <c r="M54" s="43"/>
      <c r="N54" s="43"/>
      <c r="O54" s="43"/>
    </row>
    <row r="55" spans="3:15" x14ac:dyDescent="0.3">
      <c r="G55" s="43"/>
      <c r="H55" s="43"/>
      <c r="I55" s="43"/>
      <c r="J55" s="43"/>
      <c r="K55" s="43"/>
      <c r="L55" s="43"/>
      <c r="M55" s="43"/>
      <c r="N55" s="43"/>
      <c r="O55" s="43"/>
    </row>
  </sheetData>
  <mergeCells count="2">
    <mergeCell ref="G6:I6"/>
    <mergeCell ref="J6:N6"/>
  </mergeCells>
  <hyperlinks>
    <hyperlink ref="B9" location="Dashboard!A1" display="&lt;-Back to dashboard" xr:uid="{FE2960E9-D482-4CEC-A8E9-322A3F6BA0C8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2FE36-D8AB-488B-9FCF-1086F7F0960C}">
  <sheetPr>
    <tabColor rgb="FF00004D"/>
  </sheetPr>
  <dimension ref="A1"/>
  <sheetViews>
    <sheetView showGridLines="0" workbookViewId="0"/>
  </sheetViews>
  <sheetFormatPr defaultRowHeight="14.4" x14ac:dyDescent="0.3"/>
  <sheetData>
    <row r="1" spans="1:1" x14ac:dyDescent="0.3">
      <c r="A1" t="s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7A9B7-66C3-42AF-9350-0FEF495C7C06}">
  <dimension ref="A2:AG179"/>
  <sheetViews>
    <sheetView showGridLines="0" zoomScale="85" zoomScaleNormal="85" workbookViewId="0">
      <selection activeCell="AB117" sqref="AB117"/>
    </sheetView>
  </sheetViews>
  <sheetFormatPr defaultRowHeight="14.4" x14ac:dyDescent="0.3"/>
  <cols>
    <col min="1" max="1" width="1.88671875" customWidth="1"/>
    <col min="6" max="6" width="11" customWidth="1"/>
    <col min="8" max="8" width="11.109375" bestFit="1" customWidth="1"/>
    <col min="12" max="12" width="11.109375" bestFit="1" customWidth="1"/>
    <col min="22" max="32" width="12.109375" customWidth="1"/>
  </cols>
  <sheetData>
    <row r="2" spans="2:32" ht="15.6" x14ac:dyDescent="0.3">
      <c r="B2" s="24" t="str">
        <f>Dashboard!B2</f>
        <v>Denny's Diner</v>
      </c>
      <c r="C2" s="25"/>
      <c r="D2" s="25"/>
      <c r="E2" s="25"/>
      <c r="F2" s="25"/>
      <c r="G2" s="25"/>
      <c r="H2" s="25"/>
      <c r="I2" s="25"/>
      <c r="J2" s="25"/>
      <c r="K2" s="25"/>
      <c r="L2" s="25"/>
      <c r="Q2" s="219"/>
      <c r="T2" s="221"/>
    </row>
    <row r="3" spans="2:32" x14ac:dyDescent="0.3">
      <c r="B3" s="60" t="s">
        <v>364</v>
      </c>
      <c r="C3" s="25"/>
      <c r="D3" s="25"/>
      <c r="E3" s="25"/>
      <c r="F3" s="25"/>
      <c r="G3" s="25"/>
      <c r="H3" s="25"/>
      <c r="I3" s="25"/>
      <c r="J3" s="25"/>
      <c r="K3" s="25"/>
      <c r="L3" s="25"/>
      <c r="Q3" s="219"/>
      <c r="T3" s="221"/>
    </row>
    <row r="4" spans="2:32" x14ac:dyDescent="0.3">
      <c r="B4" s="75" t="str">
        <f>Dashboard!B4</f>
        <v>(In $ thousands, except per share amounts)</v>
      </c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2:32" x14ac:dyDescent="0.3">
      <c r="Q5" s="219" t="s">
        <v>424</v>
      </c>
      <c r="T5" s="311">
        <f ca="1">Y38</f>
        <v>2265.5068459356553</v>
      </c>
    </row>
    <row r="6" spans="2:32" x14ac:dyDescent="0.3">
      <c r="B6" s="244" t="s">
        <v>450</v>
      </c>
      <c r="Q6" s="219" t="s">
        <v>423</v>
      </c>
      <c r="T6" s="311">
        <v>-2000</v>
      </c>
    </row>
    <row r="8" spans="2:32" x14ac:dyDescent="0.3">
      <c r="B8" s="223" t="s">
        <v>365</v>
      </c>
      <c r="C8" s="224"/>
      <c r="D8" s="224"/>
      <c r="E8" s="224"/>
      <c r="F8" s="224"/>
      <c r="G8" s="224"/>
      <c r="H8" s="224"/>
      <c r="I8" s="224"/>
      <c r="J8" s="224"/>
      <c r="K8" s="224"/>
      <c r="L8" s="225"/>
      <c r="Q8" s="347" t="s">
        <v>447</v>
      </c>
      <c r="R8" s="348"/>
      <c r="S8" s="348"/>
      <c r="T8" s="232"/>
      <c r="U8" s="233"/>
      <c r="V8" s="345" t="s">
        <v>421</v>
      </c>
      <c r="W8" s="345"/>
      <c r="X8" s="345"/>
      <c r="Y8" s="346"/>
      <c r="Z8" s="345" t="s">
        <v>422</v>
      </c>
      <c r="AA8" s="345"/>
      <c r="AB8" s="345"/>
      <c r="AC8" s="343" t="s">
        <v>2</v>
      </c>
      <c r="AD8" s="344"/>
      <c r="AE8" s="344"/>
      <c r="AF8" s="344"/>
    </row>
    <row r="9" spans="2:32" x14ac:dyDescent="0.3">
      <c r="Q9" s="349"/>
      <c r="R9" s="350"/>
      <c r="S9" s="350"/>
      <c r="T9" s="234"/>
      <c r="U9" s="235"/>
      <c r="V9" s="228">
        <v>44920</v>
      </c>
      <c r="W9" s="228">
        <v>45285</v>
      </c>
      <c r="X9" s="228">
        <v>45651</v>
      </c>
      <c r="Y9" s="237">
        <v>46016</v>
      </c>
      <c r="Z9" s="228" t="s">
        <v>417</v>
      </c>
      <c r="AA9" s="228" t="s">
        <v>418</v>
      </c>
      <c r="AB9" s="228">
        <v>46016</v>
      </c>
      <c r="AC9" s="238">
        <v>46381</v>
      </c>
      <c r="AD9" s="229">
        <v>46746</v>
      </c>
      <c r="AE9" s="229">
        <v>47112</v>
      </c>
      <c r="AF9" s="229">
        <v>47477</v>
      </c>
    </row>
    <row r="10" spans="2:32" x14ac:dyDescent="0.3">
      <c r="B10" s="219" t="s">
        <v>366</v>
      </c>
      <c r="C10" s="219"/>
      <c r="D10" s="219"/>
      <c r="E10" s="219"/>
      <c r="F10" s="355">
        <v>4.1100000000000003</v>
      </c>
      <c r="H10" t="s">
        <v>370</v>
      </c>
      <c r="L10" s="220">
        <f>F23</f>
        <v>328690.18080000003</v>
      </c>
      <c r="Z10" s="239"/>
      <c r="AB10" s="240"/>
    </row>
    <row r="11" spans="2:32" x14ac:dyDescent="0.3">
      <c r="B11" t="s">
        <v>367</v>
      </c>
      <c r="F11" s="356">
        <v>0.52</v>
      </c>
      <c r="H11" t="s">
        <v>371</v>
      </c>
      <c r="L11" s="220">
        <f ca="1">F29</f>
        <v>617931.21036988636</v>
      </c>
      <c r="Q11" s="113" t="s">
        <v>419</v>
      </c>
      <c r="R11" s="219"/>
      <c r="S11" s="219"/>
      <c r="T11" s="219"/>
      <c r="U11" s="219"/>
      <c r="V11" s="379">
        <f>Statements!G25</f>
        <v>456429</v>
      </c>
      <c r="W11" s="379">
        <f>Statements!H25</f>
        <v>463922</v>
      </c>
      <c r="X11" s="379">
        <f>Statements!I25</f>
        <v>452334</v>
      </c>
      <c r="Y11" s="379">
        <f ca="1">Statements!J25</f>
        <v>454702.26587773493</v>
      </c>
      <c r="Z11" s="363"/>
      <c r="AA11" s="362"/>
      <c r="AB11" s="364"/>
      <c r="AC11" s="379">
        <f ca="1">Statements!K25</f>
        <v>464274.23977337551</v>
      </c>
      <c r="AD11" s="379">
        <f ca="1">Statements!L25</f>
        <v>482759.03709719528</v>
      </c>
      <c r="AE11" s="379">
        <f ca="1">Statements!M25</f>
        <v>503402.59001653286</v>
      </c>
      <c r="AF11" s="379">
        <f ca="1">Statements!N25</f>
        <v>527996.40775009431</v>
      </c>
    </row>
    <row r="12" spans="2:32" x14ac:dyDescent="0.3">
      <c r="B12" s="219" t="s">
        <v>368</v>
      </c>
      <c r="C12" s="219"/>
      <c r="D12" s="219"/>
      <c r="E12" s="219"/>
      <c r="F12" s="248">
        <f>F10*(1+F11)</f>
        <v>6.2472000000000003</v>
      </c>
      <c r="H12" t="s">
        <v>372</v>
      </c>
      <c r="L12" s="222">
        <f ca="1">L11/(Comp_Comps!K22*1000)</f>
        <v>8.7856105326013001</v>
      </c>
      <c r="Q12" s="113" t="s">
        <v>420</v>
      </c>
      <c r="R12" s="219"/>
      <c r="S12" s="219"/>
      <c r="T12" s="219"/>
      <c r="U12" s="219"/>
      <c r="V12" s="379">
        <f>Statements!G31</f>
        <v>179458</v>
      </c>
      <c r="W12" s="379">
        <f>Statements!H31</f>
        <v>187599</v>
      </c>
      <c r="X12" s="379">
        <f>Statements!I31</f>
        <v>189744</v>
      </c>
      <c r="Y12" s="379">
        <f ca="1">Statements!J31</f>
        <v>187530.71690378312</v>
      </c>
      <c r="Z12" s="363"/>
      <c r="AA12" s="362"/>
      <c r="AB12" s="364"/>
      <c r="AC12" s="379">
        <f ca="1">Statements!K31</f>
        <v>194258.49116873796</v>
      </c>
      <c r="AD12" s="379">
        <f ca="1">Statements!L31</f>
        <v>206991.79985542782</v>
      </c>
      <c r="AE12" s="379">
        <f ca="1">Statements!M31</f>
        <v>219482.06799625268</v>
      </c>
      <c r="AF12" s="379">
        <f ca="1">Statements!N31</f>
        <v>235917.29063341176</v>
      </c>
    </row>
    <row r="13" spans="2:32" x14ac:dyDescent="0.3">
      <c r="B13" t="s">
        <v>369</v>
      </c>
      <c r="F13" s="357">
        <v>3</v>
      </c>
      <c r="H13" t="s">
        <v>373</v>
      </c>
      <c r="L13" s="220">
        <f ca="1">F13*(Comp_Comps!K22*1000)</f>
        <v>211003.39290373438</v>
      </c>
      <c r="Q13" s="110"/>
      <c r="V13" s="367"/>
      <c r="W13" s="367"/>
      <c r="X13" s="367"/>
      <c r="Y13" s="367"/>
      <c r="Z13" s="363"/>
      <c r="AA13" s="362"/>
      <c r="AB13" s="364"/>
      <c r="AC13" s="367"/>
      <c r="AD13" s="367"/>
      <c r="AE13" s="367"/>
      <c r="AF13" s="367"/>
    </row>
    <row r="14" spans="2:32" x14ac:dyDescent="0.3">
      <c r="B14" t="s">
        <v>449</v>
      </c>
      <c r="F14" s="258">
        <v>0.26</v>
      </c>
      <c r="H14" t="s">
        <v>374</v>
      </c>
      <c r="L14" s="220">
        <f ca="1">L10-L13</f>
        <v>117686.78789626565</v>
      </c>
      <c r="Q14" s="110" t="s">
        <v>125</v>
      </c>
      <c r="V14" s="367">
        <f>Statements!G33</f>
        <v>135327</v>
      </c>
      <c r="W14" s="367">
        <f>Statements!H33</f>
        <v>122452</v>
      </c>
      <c r="X14" s="367">
        <f>Statements!I33</f>
        <v>120226</v>
      </c>
      <c r="Y14" s="367">
        <f ca="1">Statements!J33</f>
        <v>122250.35118166066</v>
      </c>
      <c r="Z14" s="363"/>
      <c r="AA14" s="362"/>
      <c r="AB14" s="364"/>
      <c r="AC14" s="367">
        <f ca="1">Statements!K33</f>
        <v>122584.66387285219</v>
      </c>
      <c r="AD14" s="367">
        <f ca="1">Statements!L33</f>
        <v>128099.43628776954</v>
      </c>
      <c r="AE14" s="367">
        <f ca="1">Statements!M33</f>
        <v>133401.97450684439</v>
      </c>
      <c r="AF14" s="367">
        <f ca="1">Statements!N33</f>
        <v>138979.75556920064</v>
      </c>
    </row>
    <row r="15" spans="2:32" x14ac:dyDescent="0.3">
      <c r="H15" t="s">
        <v>375</v>
      </c>
      <c r="L15" s="357">
        <v>10</v>
      </c>
      <c r="Q15" s="110" t="s">
        <v>113</v>
      </c>
      <c r="V15" s="367">
        <f>Statements!G34</f>
        <v>67173</v>
      </c>
      <c r="W15" s="367">
        <f>Statements!H34</f>
        <v>77770</v>
      </c>
      <c r="X15" s="367">
        <f>Statements!I34</f>
        <v>80197</v>
      </c>
      <c r="Y15" s="367">
        <f ca="1">Statements!J34</f>
        <v>74586.733491046325</v>
      </c>
      <c r="Z15" s="363"/>
      <c r="AA15" s="362"/>
      <c r="AB15" s="364"/>
      <c r="AC15" s="367">
        <f ca="1">Statements!K34</f>
        <v>78766.623122145349</v>
      </c>
      <c r="AD15" s="367">
        <f ca="1">Statements!L34</f>
        <v>82227.636478275163</v>
      </c>
      <c r="AE15" s="367">
        <f ca="1">Statements!M34</f>
        <v>84574.67805240117</v>
      </c>
      <c r="AF15" s="367">
        <f ca="1">Statements!N34</f>
        <v>89405.623725269776</v>
      </c>
    </row>
    <row r="16" spans="2:32" x14ac:dyDescent="0.3">
      <c r="B16" s="246" t="s">
        <v>376</v>
      </c>
      <c r="C16" s="241"/>
      <c r="D16" s="241"/>
      <c r="E16" s="241"/>
      <c r="F16" s="241"/>
      <c r="Q16" s="110" t="s">
        <v>114</v>
      </c>
      <c r="V16" s="367">
        <f>Statements!G35</f>
        <v>14862</v>
      </c>
      <c r="W16" s="367">
        <f>Statements!H35</f>
        <v>14385</v>
      </c>
      <c r="X16" s="367">
        <f>Statements!I35</f>
        <v>14857</v>
      </c>
      <c r="Y16" s="367">
        <f ca="1">Statements!J35</f>
        <v>13724.576657638916</v>
      </c>
      <c r="Z16" s="363"/>
      <c r="AA16" s="362"/>
      <c r="AB16" s="364"/>
      <c r="AC16" s="367">
        <f ca="1">Statements!K35</f>
        <v>13914.684419788182</v>
      </c>
      <c r="AD16" s="367">
        <f ca="1">Statements!L35</f>
        <v>14602.521047936578</v>
      </c>
      <c r="AE16" s="367">
        <f ca="1">Statements!M35</f>
        <v>15365.381207057684</v>
      </c>
      <c r="AF16" s="367">
        <f ca="1">Statements!N35</f>
        <v>16163.077366366026</v>
      </c>
    </row>
    <row r="17" spans="2:33" x14ac:dyDescent="0.3">
      <c r="B17" s="219"/>
      <c r="Q17" s="250" t="s">
        <v>455</v>
      </c>
      <c r="R17" s="227"/>
      <c r="S17" s="227"/>
      <c r="T17" s="227"/>
      <c r="U17" s="227"/>
      <c r="V17" s="371"/>
      <c r="W17" s="371"/>
      <c r="X17" s="371"/>
      <c r="Y17" s="371"/>
      <c r="Z17" s="395"/>
      <c r="AA17" s="396"/>
      <c r="AB17" s="397"/>
      <c r="AC17" s="371">
        <f ca="1">$L$65/$L$66</f>
        <v>1561.5650402467022</v>
      </c>
      <c r="AD17" s="371">
        <f t="shared" ref="AD17:AF17" ca="1" si="0">$L$65/$L$66</f>
        <v>1561.5650402467022</v>
      </c>
      <c r="AE17" s="371">
        <f t="shared" ca="1" si="0"/>
        <v>1561.5650402467022</v>
      </c>
      <c r="AF17" s="371">
        <f t="shared" ca="1" si="0"/>
        <v>1561.5650402467022</v>
      </c>
    </row>
    <row r="18" spans="2:33" x14ac:dyDescent="0.3">
      <c r="B18" s="219"/>
      <c r="Q18" s="110" t="s">
        <v>456</v>
      </c>
      <c r="V18" s="367"/>
      <c r="W18" s="367"/>
      <c r="X18" s="367"/>
      <c r="Y18" s="367"/>
      <c r="Z18" s="363"/>
      <c r="AA18" s="362"/>
      <c r="AB18" s="364"/>
      <c r="AC18" s="367">
        <f ca="1">$L$72/$L$73</f>
        <v>15713.465087284998</v>
      </c>
      <c r="AD18" s="367">
        <f t="shared" ref="AD18:AF18" ca="1" si="1">$L$72/$L$73</f>
        <v>15713.465087284998</v>
      </c>
      <c r="AE18" s="367">
        <f t="shared" ca="1" si="1"/>
        <v>15713.465087284998</v>
      </c>
      <c r="AF18" s="367">
        <f t="shared" ca="1" si="1"/>
        <v>15713.465087284998</v>
      </c>
    </row>
    <row r="19" spans="2:33" x14ac:dyDescent="0.3">
      <c r="B19" s="219"/>
      <c r="Q19" s="252" t="s">
        <v>457</v>
      </c>
      <c r="R19" s="241"/>
      <c r="S19" s="241"/>
      <c r="T19" s="241"/>
      <c r="U19" s="241"/>
      <c r="V19" s="375"/>
      <c r="W19" s="375"/>
      <c r="X19" s="375"/>
      <c r="Y19" s="375"/>
      <c r="Z19" s="398"/>
      <c r="AA19" s="399"/>
      <c r="AB19" s="400"/>
      <c r="AC19" s="375">
        <f ca="1">$L$54/$F$76</f>
        <v>331.50508935560157</v>
      </c>
      <c r="AD19" s="375">
        <f t="shared" ref="AD19:AF19" ca="1" si="2">$L$54/$F$76</f>
        <v>331.50508935560157</v>
      </c>
      <c r="AE19" s="375">
        <f t="shared" ca="1" si="2"/>
        <v>331.50508935560157</v>
      </c>
      <c r="AF19" s="375">
        <f t="shared" ca="1" si="2"/>
        <v>331.50508935560157</v>
      </c>
    </row>
    <row r="20" spans="2:33" x14ac:dyDescent="0.3">
      <c r="B20" t="s">
        <v>378</v>
      </c>
      <c r="F20" s="243">
        <f>Statements!J52</f>
        <v>52499</v>
      </c>
      <c r="H20" t="s">
        <v>387</v>
      </c>
      <c r="L20" s="258">
        <v>2.5000000000000001E-3</v>
      </c>
      <c r="Q20" s="110" t="s">
        <v>115</v>
      </c>
      <c r="V20" s="367">
        <f>Statements!G36</f>
        <v>0</v>
      </c>
      <c r="W20" s="367">
        <f>Statements!H36</f>
        <v>6363</v>
      </c>
      <c r="X20" s="367">
        <f>Statements!I36</f>
        <v>20</v>
      </c>
      <c r="Y20" s="367">
        <f>Statements!J36</f>
        <v>0</v>
      </c>
      <c r="Z20" s="363"/>
      <c r="AA20" s="362"/>
      <c r="AB20" s="364"/>
      <c r="AC20" s="367">
        <f>Statements!K36</f>
        <v>0</v>
      </c>
      <c r="AD20" s="367">
        <f>Statements!L36</f>
        <v>0</v>
      </c>
      <c r="AE20" s="367">
        <f>Statements!M36</f>
        <v>0</v>
      </c>
      <c r="AF20" s="367">
        <f>Statements!N36</f>
        <v>0</v>
      </c>
    </row>
    <row r="21" spans="2:33" x14ac:dyDescent="0.3">
      <c r="B21" t="s">
        <v>377</v>
      </c>
      <c r="F21" s="220">
        <f>F20*F12</f>
        <v>327971.75280000002</v>
      </c>
      <c r="H21" t="s">
        <v>386</v>
      </c>
      <c r="L21" s="258">
        <v>7.4999999999999997E-3</v>
      </c>
      <c r="Q21" s="110" t="s">
        <v>126</v>
      </c>
      <c r="V21" s="367">
        <f>Statements!G37</f>
        <v>-1005</v>
      </c>
      <c r="W21" s="367">
        <f>Statements!H37</f>
        <v>2530</v>
      </c>
      <c r="X21" s="367">
        <f>Statements!I37</f>
        <v>1974</v>
      </c>
      <c r="Y21" s="367">
        <f>Statements!J37</f>
        <v>0</v>
      </c>
      <c r="Z21" s="363"/>
      <c r="AA21" s="362"/>
      <c r="AB21" s="364"/>
      <c r="AC21" s="367">
        <f>Statements!K37</f>
        <v>0</v>
      </c>
      <c r="AD21" s="367">
        <f>Statements!L37</f>
        <v>0</v>
      </c>
      <c r="AE21" s="367">
        <f>Statements!M37</f>
        <v>0</v>
      </c>
      <c r="AF21" s="367">
        <f>Statements!N37</f>
        <v>0</v>
      </c>
    </row>
    <row r="22" spans="2:33" x14ac:dyDescent="0.3">
      <c r="B22" t="s">
        <v>379</v>
      </c>
      <c r="F22" s="243">
        <f>Statements!J53</f>
        <v>52614</v>
      </c>
      <c r="H22" t="s">
        <v>388</v>
      </c>
      <c r="L22" s="258">
        <v>5.0000000000000001E-3</v>
      </c>
      <c r="Q22" s="113" t="s">
        <v>116</v>
      </c>
      <c r="V22" s="379">
        <f>Statements!G38</f>
        <v>395815</v>
      </c>
      <c r="W22" s="379">
        <f>Statements!H38</f>
        <v>411099</v>
      </c>
      <c r="X22" s="379">
        <f>Statements!I38</f>
        <v>407018</v>
      </c>
      <c r="Y22" s="379">
        <f ca="1">Statements!J38</f>
        <v>398092.37823412905</v>
      </c>
      <c r="Z22" s="363"/>
      <c r="AA22" s="362"/>
      <c r="AB22" s="364"/>
      <c r="AC22" s="379">
        <f ca="1">SUM(AC14:AC21)+AC12</f>
        <v>427130.99780041096</v>
      </c>
      <c r="AD22" s="379">
        <f t="shared" ref="AD22:AF22" ca="1" si="3">SUM(AD14:AD21)+AD12</f>
        <v>449527.9288862964</v>
      </c>
      <c r="AE22" s="379">
        <f t="shared" ca="1" si="3"/>
        <v>470430.63697944325</v>
      </c>
      <c r="AF22" s="379">
        <f t="shared" ca="1" si="3"/>
        <v>498072.28251113545</v>
      </c>
      <c r="AG22" s="219"/>
    </row>
    <row r="23" spans="2:33" x14ac:dyDescent="0.3">
      <c r="B23" t="s">
        <v>380</v>
      </c>
      <c r="F23" s="220">
        <f>F22*F12</f>
        <v>328690.18080000003</v>
      </c>
      <c r="Q23" s="124"/>
      <c r="V23" s="367"/>
      <c r="W23" s="367"/>
      <c r="X23" s="367"/>
      <c r="Y23" s="367"/>
      <c r="Z23" s="363"/>
      <c r="AA23" s="362"/>
      <c r="AB23" s="364"/>
      <c r="AC23" s="367"/>
      <c r="AD23" s="367"/>
      <c r="AE23" s="367"/>
      <c r="AF23" s="367"/>
    </row>
    <row r="24" spans="2:33" x14ac:dyDescent="0.3">
      <c r="B24" t="s">
        <v>381</v>
      </c>
      <c r="F24" s="242">
        <f ca="1">-Statements!J59</f>
        <v>-2265.5068459356553</v>
      </c>
      <c r="Q24" s="113" t="s">
        <v>117</v>
      </c>
      <c r="V24" s="379">
        <f>Statements!G40</f>
        <v>60614</v>
      </c>
      <c r="W24" s="379">
        <f>Statements!H40</f>
        <v>52823</v>
      </c>
      <c r="X24" s="379">
        <f>Statements!I40</f>
        <v>45316</v>
      </c>
      <c r="Y24" s="379">
        <f ca="1">Statements!J40</f>
        <v>56609.887643605878</v>
      </c>
      <c r="Z24" s="363"/>
      <c r="AA24" s="362"/>
      <c r="AB24" s="364"/>
      <c r="AC24" s="379">
        <f ca="1">AC11-AC22</f>
        <v>37143.241972964548</v>
      </c>
      <c r="AD24" s="379">
        <f t="shared" ref="AD24:AF24" ca="1" si="4">AD11-AD22</f>
        <v>33231.108210898878</v>
      </c>
      <c r="AE24" s="379">
        <f t="shared" ca="1" si="4"/>
        <v>32971.95303708961</v>
      </c>
      <c r="AF24" s="379">
        <f t="shared" ca="1" si="4"/>
        <v>29924.125238958863</v>
      </c>
    </row>
    <row r="25" spans="2:33" x14ac:dyDescent="0.3">
      <c r="B25" t="s">
        <v>385</v>
      </c>
      <c r="F25" s="243">
        <f>Statements!J83</f>
        <v>211300</v>
      </c>
      <c r="Q25" s="236"/>
      <c r="V25" s="367"/>
      <c r="W25" s="367"/>
      <c r="X25" s="367"/>
      <c r="Y25" s="367"/>
      <c r="Z25" s="363"/>
      <c r="AA25" s="362"/>
      <c r="AB25" s="364"/>
      <c r="AC25" s="367"/>
      <c r="AD25" s="367"/>
      <c r="AE25" s="367"/>
      <c r="AF25" s="367"/>
    </row>
    <row r="26" spans="2:33" x14ac:dyDescent="0.3">
      <c r="B26" t="s">
        <v>384</v>
      </c>
      <c r="F26" s="358">
        <v>0</v>
      </c>
      <c r="Q26" s="110" t="s">
        <v>118</v>
      </c>
      <c r="V26" s="367">
        <f>Statements!G41</f>
        <v>13769</v>
      </c>
      <c r="W26" s="367">
        <f>Statements!H41</f>
        <v>17597</v>
      </c>
      <c r="X26" s="367">
        <f>Statements!I41</f>
        <v>17974</v>
      </c>
      <c r="Y26" s="367">
        <f ca="1">Statements!J41</f>
        <v>16021.14</v>
      </c>
      <c r="Z26" s="363"/>
      <c r="AA26" s="362"/>
      <c r="AB26" s="364"/>
      <c r="AC26" s="367">
        <f ca="1">Statements!K41+(-AC150)</f>
        <v>31630.399738023105</v>
      </c>
      <c r="AD26" s="367">
        <f ca="1">Statements!L41+(-AD150)</f>
        <v>26970.465083885814</v>
      </c>
      <c r="AE26" s="367">
        <f ca="1">Statements!M41+(-AE150)</f>
        <v>22975.305740496966</v>
      </c>
      <c r="AF26" s="367">
        <f ca="1">Statements!N41+(-AF150)</f>
        <v>19355.877674336014</v>
      </c>
    </row>
    <row r="27" spans="2:33" x14ac:dyDescent="0.3">
      <c r="B27" t="s">
        <v>383</v>
      </c>
      <c r="F27" s="358">
        <v>0</v>
      </c>
      <c r="Q27" s="110" t="s">
        <v>119</v>
      </c>
      <c r="V27" s="367">
        <f>Statements!G42</f>
        <v>-52585</v>
      </c>
      <c r="W27" s="367">
        <f>Statements!H42</f>
        <v>8288</v>
      </c>
      <c r="X27" s="367">
        <f>Statements!I42</f>
        <v>-1907</v>
      </c>
      <c r="Y27" s="367">
        <f>Statements!J42</f>
        <v>0</v>
      </c>
      <c r="Z27" s="363"/>
      <c r="AA27" s="362"/>
      <c r="AB27" s="364"/>
      <c r="AC27" s="367">
        <f>Statements!K42</f>
        <v>0</v>
      </c>
      <c r="AD27" s="367">
        <f>Statements!L42</f>
        <v>0</v>
      </c>
      <c r="AE27" s="367">
        <f>Statements!M42</f>
        <v>0</v>
      </c>
      <c r="AF27" s="367">
        <f>Statements!N42</f>
        <v>0</v>
      </c>
    </row>
    <row r="28" spans="2:33" x14ac:dyDescent="0.3">
      <c r="B28" t="s">
        <v>382</v>
      </c>
      <c r="F28" s="243">
        <f ca="1">Statements!J80+Statements!J79+Statements!J77</f>
        <v>80206.536415821945</v>
      </c>
      <c r="Q28" s="113" t="s">
        <v>120</v>
      </c>
      <c r="V28" s="379">
        <f>Statements!G43</f>
        <v>99430</v>
      </c>
      <c r="W28" s="379">
        <f>Statements!H43</f>
        <v>26938</v>
      </c>
      <c r="X28" s="379">
        <f>Statements!I43</f>
        <v>29249</v>
      </c>
      <c r="Y28" s="379">
        <f ca="1">Statements!J43</f>
        <v>40588.747643605879</v>
      </c>
      <c r="Z28" s="363"/>
      <c r="AA28" s="362"/>
      <c r="AB28" s="364"/>
      <c r="AC28" s="379">
        <f ca="1">AC24-AC26-AC27</f>
        <v>5512.8422349414432</v>
      </c>
      <c r="AD28" s="379">
        <f t="shared" ref="AD28:AF28" ca="1" si="5">AD24-AD26-AD27</f>
        <v>6260.6431270130633</v>
      </c>
      <c r="AE28" s="379">
        <f t="shared" ca="1" si="5"/>
        <v>9996.6472965926441</v>
      </c>
      <c r="AF28" s="379">
        <f t="shared" ca="1" si="5"/>
        <v>10568.247564622849</v>
      </c>
      <c r="AG28" s="219"/>
    </row>
    <row r="29" spans="2:33" x14ac:dyDescent="0.3">
      <c r="B29" s="226" t="s">
        <v>371</v>
      </c>
      <c r="C29" s="227"/>
      <c r="D29" s="227"/>
      <c r="E29" s="227"/>
      <c r="F29" s="230">
        <f ca="1">SUM(F23:F28)</f>
        <v>617931.21036988636</v>
      </c>
      <c r="Q29" s="110" t="s">
        <v>121</v>
      </c>
      <c r="V29" s="367">
        <f>Statements!G44</f>
        <v>24718</v>
      </c>
      <c r="W29" s="367">
        <f>Statements!H44</f>
        <v>6993</v>
      </c>
      <c r="X29" s="367">
        <f>Statements!I44</f>
        <v>7678</v>
      </c>
      <c r="Y29" s="367">
        <f ca="1">Statements!J44</f>
        <v>10553.074387337529</v>
      </c>
      <c r="Z29" s="363"/>
      <c r="AA29" s="362"/>
      <c r="AB29" s="364"/>
      <c r="AC29" s="367">
        <f ca="1">AC28*26%</f>
        <v>1433.3389810847752</v>
      </c>
      <c r="AD29" s="367">
        <f t="shared" ref="AD29:AF29" ca="1" si="6">AD28*26%</f>
        <v>1627.7672130233966</v>
      </c>
      <c r="AE29" s="367">
        <f t="shared" ca="1" si="6"/>
        <v>2599.1282971140877</v>
      </c>
      <c r="AF29" s="367">
        <f t="shared" ca="1" si="6"/>
        <v>2747.7443668019409</v>
      </c>
    </row>
    <row r="30" spans="2:33" x14ac:dyDescent="0.3">
      <c r="Q30" s="113" t="s">
        <v>122</v>
      </c>
      <c r="V30" s="379">
        <f>Statements!G45</f>
        <v>74712</v>
      </c>
      <c r="W30" s="379">
        <f>Statements!H45</f>
        <v>19945</v>
      </c>
      <c r="X30" s="379">
        <f>Statements!I45</f>
        <v>21571</v>
      </c>
      <c r="Y30" s="379">
        <f ca="1">Statements!J45</f>
        <v>30035.67325626835</v>
      </c>
      <c r="Z30" s="401"/>
      <c r="AA30" s="399"/>
      <c r="AB30" s="400"/>
      <c r="AC30" s="379">
        <f ca="1">AC28-AC29</f>
        <v>4079.5032538566679</v>
      </c>
      <c r="AD30" s="379">
        <f t="shared" ref="AD30:AF30" ca="1" si="7">AD28-AD29</f>
        <v>4632.8759139896665</v>
      </c>
      <c r="AE30" s="379">
        <f t="shared" ca="1" si="7"/>
        <v>7397.518999478556</v>
      </c>
      <c r="AF30" s="379">
        <f t="shared" ca="1" si="7"/>
        <v>7820.5031978209081</v>
      </c>
      <c r="AG30" s="219"/>
    </row>
    <row r="31" spans="2:33" x14ac:dyDescent="0.3">
      <c r="Q31" s="43"/>
    </row>
    <row r="32" spans="2:33" x14ac:dyDescent="0.3">
      <c r="B32" s="223" t="s">
        <v>389</v>
      </c>
      <c r="C32" s="224"/>
      <c r="D32" s="224"/>
      <c r="E32" s="224"/>
      <c r="F32" s="224"/>
      <c r="G32" s="224"/>
      <c r="H32" s="224"/>
      <c r="I32" s="224"/>
      <c r="J32" s="224"/>
      <c r="K32" s="224"/>
      <c r="L32" s="225"/>
    </row>
    <row r="33" spans="2:32" x14ac:dyDescent="0.3">
      <c r="Q33" s="347" t="s">
        <v>448</v>
      </c>
      <c r="R33" s="348"/>
      <c r="S33" s="348"/>
      <c r="T33" s="232"/>
      <c r="U33" s="233"/>
      <c r="V33" s="345" t="s">
        <v>421</v>
      </c>
      <c r="W33" s="345"/>
      <c r="X33" s="345"/>
      <c r="Y33" s="346"/>
      <c r="Z33" s="345" t="s">
        <v>422</v>
      </c>
      <c r="AA33" s="345"/>
      <c r="AB33" s="345"/>
      <c r="AC33" s="343" t="s">
        <v>2</v>
      </c>
      <c r="AD33" s="344"/>
      <c r="AE33" s="344"/>
      <c r="AF33" s="344"/>
    </row>
    <row r="34" spans="2:32" x14ac:dyDescent="0.3">
      <c r="B34" t="s">
        <v>369</v>
      </c>
      <c r="F34" s="222">
        <f>F13</f>
        <v>3</v>
      </c>
      <c r="H34" t="s">
        <v>394</v>
      </c>
      <c r="L34" s="220">
        <f ca="1">L13</f>
        <v>211003.39290373438</v>
      </c>
      <c r="Q34" s="349"/>
      <c r="R34" s="350"/>
      <c r="S34" s="350"/>
      <c r="T34" s="234"/>
      <c r="U34" s="235"/>
      <c r="V34" s="228">
        <v>44920</v>
      </c>
      <c r="W34" s="228">
        <v>45285</v>
      </c>
      <c r="X34" s="228">
        <v>45651</v>
      </c>
      <c r="Y34" s="237">
        <v>46016</v>
      </c>
      <c r="Z34" s="228" t="s">
        <v>417</v>
      </c>
      <c r="AA34" s="228" t="s">
        <v>418</v>
      </c>
      <c r="AB34" s="228">
        <v>46016</v>
      </c>
      <c r="AC34" s="238">
        <v>46381</v>
      </c>
      <c r="AD34" s="229">
        <v>46746</v>
      </c>
      <c r="AE34" s="229">
        <v>47112</v>
      </c>
      <c r="AF34" s="229">
        <v>47477</v>
      </c>
    </row>
    <row r="35" spans="2:32" x14ac:dyDescent="0.3">
      <c r="B35" t="s">
        <v>390</v>
      </c>
      <c r="F35" s="356">
        <v>0.5</v>
      </c>
      <c r="H35" t="s">
        <v>395</v>
      </c>
      <c r="L35" s="359">
        <v>10000</v>
      </c>
      <c r="Z35" s="239"/>
      <c r="AB35" s="240"/>
    </row>
    <row r="36" spans="2:32" x14ac:dyDescent="0.3">
      <c r="B36" t="s">
        <v>391</v>
      </c>
      <c r="F36" s="356">
        <v>0.25</v>
      </c>
      <c r="H36" t="s">
        <v>396</v>
      </c>
      <c r="L36" s="220">
        <f ca="1">$L$34*F35</f>
        <v>105501.69645186719</v>
      </c>
      <c r="Q36" s="113" t="s">
        <v>131</v>
      </c>
      <c r="R36" s="43"/>
      <c r="Z36" s="239"/>
      <c r="AB36" s="240"/>
    </row>
    <row r="37" spans="2:32" x14ac:dyDescent="0.3">
      <c r="B37" t="s">
        <v>392</v>
      </c>
      <c r="F37" s="356">
        <v>0.15</v>
      </c>
      <c r="H37" t="s">
        <v>397</v>
      </c>
      <c r="L37" s="220">
        <f t="shared" ref="L37:L39" ca="1" si="8">$L$34*F36</f>
        <v>52750.848225933594</v>
      </c>
      <c r="Q37" s="113" t="s">
        <v>132</v>
      </c>
      <c r="R37" s="43"/>
      <c r="V37" s="362"/>
      <c r="W37" s="362"/>
      <c r="X37" s="362"/>
      <c r="Y37" s="362"/>
      <c r="Z37" s="363"/>
      <c r="AA37" s="362"/>
      <c r="AB37" s="364"/>
      <c r="AC37" s="362"/>
      <c r="AD37" s="362"/>
      <c r="AE37" s="362"/>
      <c r="AF37" s="362"/>
    </row>
    <row r="38" spans="2:32" x14ac:dyDescent="0.3">
      <c r="B38" t="s">
        <v>393</v>
      </c>
      <c r="F38" s="356">
        <v>0.1</v>
      </c>
      <c r="H38" t="s">
        <v>398</v>
      </c>
      <c r="L38" s="220">
        <f t="shared" ca="1" si="8"/>
        <v>31650.508935560156</v>
      </c>
      <c r="P38" s="231" t="s">
        <v>454</v>
      </c>
      <c r="Q38" s="110" t="s">
        <v>133</v>
      </c>
      <c r="R38" s="43"/>
      <c r="V38" s="365">
        <f>Statements!G59</f>
        <v>3523</v>
      </c>
      <c r="W38" s="365">
        <f>Statements!H59</f>
        <v>4893</v>
      </c>
      <c r="X38" s="365">
        <f>Statements!I59</f>
        <v>1698</v>
      </c>
      <c r="Y38" s="365">
        <f ca="1">Statements!J59</f>
        <v>2265.5068459356553</v>
      </c>
      <c r="Z38" s="366">
        <v>0</v>
      </c>
      <c r="AA38" s="367">
        <f ca="1">F52</f>
        <v>265.50684593565529</v>
      </c>
      <c r="AB38" s="368">
        <f ca="1">Y38+Z38-AA38</f>
        <v>2000</v>
      </c>
      <c r="AC38" s="365">
        <f ca="1">AC127</f>
        <v>-29630.399738022854</v>
      </c>
      <c r="AD38" s="365">
        <f t="shared" ref="AD38:AF38" ca="1" si="9">AD127</f>
        <v>-24970.465083889343</v>
      </c>
      <c r="AE38" s="365">
        <f t="shared" ca="1" si="9"/>
        <v>-20975.305742353004</v>
      </c>
      <c r="AF38" s="365">
        <f t="shared" ca="1" si="9"/>
        <v>-17355.877782603246</v>
      </c>
    </row>
    <row r="39" spans="2:32" x14ac:dyDescent="0.3">
      <c r="H39" t="s">
        <v>399</v>
      </c>
      <c r="L39" s="220">
        <f t="shared" ca="1" si="8"/>
        <v>21100.339290373438</v>
      </c>
      <c r="Q39" s="250" t="s">
        <v>134</v>
      </c>
      <c r="R39" s="253"/>
      <c r="S39" s="227"/>
      <c r="T39" s="227"/>
      <c r="U39" s="227"/>
      <c r="V39" s="369">
        <f>Statements!G60</f>
        <v>1746</v>
      </c>
      <c r="W39" s="369">
        <f>Statements!H60</f>
        <v>1281</v>
      </c>
      <c r="X39" s="369">
        <f>Statements!I60</f>
        <v>1106</v>
      </c>
      <c r="Y39" s="369">
        <f>Statements!J60</f>
        <v>1106</v>
      </c>
      <c r="Z39" s="370">
        <v>0</v>
      </c>
      <c r="AA39" s="371">
        <v>0</v>
      </c>
      <c r="AB39" s="372">
        <f t="shared" ref="AB39:AB52" si="10">Y39+Z39-AA39</f>
        <v>1106</v>
      </c>
      <c r="AC39" s="369">
        <f>Statements!K60</f>
        <v>1106</v>
      </c>
      <c r="AD39" s="369">
        <f>Statements!L60</f>
        <v>1106</v>
      </c>
      <c r="AE39" s="369">
        <f>Statements!M60</f>
        <v>1106</v>
      </c>
      <c r="AF39" s="369">
        <f>Statements!N60</f>
        <v>1106</v>
      </c>
    </row>
    <row r="40" spans="2:32" x14ac:dyDescent="0.3">
      <c r="Q40" s="110" t="s">
        <v>135</v>
      </c>
      <c r="R40" s="43"/>
      <c r="V40" s="365">
        <f>Statements!G61</f>
        <v>25576</v>
      </c>
      <c r="W40" s="365">
        <f>Statements!H61</f>
        <v>21391</v>
      </c>
      <c r="X40" s="365">
        <f>Statements!I61</f>
        <v>24433</v>
      </c>
      <c r="Y40" s="365">
        <f ca="1">Statements!J61</f>
        <v>24560.922818516181</v>
      </c>
      <c r="Z40" s="366">
        <v>0</v>
      </c>
      <c r="AA40" s="367">
        <v>0</v>
      </c>
      <c r="AB40" s="368">
        <f t="shared" ca="1" si="10"/>
        <v>24560.922818516181</v>
      </c>
      <c r="AC40" s="365">
        <f ca="1">Statements!K61</f>
        <v>25077.956776149669</v>
      </c>
      <c r="AD40" s="365">
        <f ca="1">Statements!L61</f>
        <v>26076.420418088786</v>
      </c>
      <c r="AE40" s="365">
        <f ca="1">Statements!M61</f>
        <v>27191.490097746242</v>
      </c>
      <c r="AF40" s="365">
        <f ca="1">Statements!N61</f>
        <v>28519.934894476326</v>
      </c>
    </row>
    <row r="41" spans="2:32" x14ac:dyDescent="0.3">
      <c r="B41" s="219" t="s">
        <v>401</v>
      </c>
      <c r="H41" s="219" t="s">
        <v>400</v>
      </c>
      <c r="Q41" s="110" t="s">
        <v>136</v>
      </c>
      <c r="R41" s="43"/>
      <c r="V41" s="365">
        <f>Statements!G62</f>
        <v>5538</v>
      </c>
      <c r="W41" s="365">
        <f>Statements!H62</f>
        <v>2175</v>
      </c>
      <c r="X41" s="365">
        <f>Statements!I62</f>
        <v>1747</v>
      </c>
      <c r="Y41" s="365">
        <f ca="1">Statements!J62</f>
        <v>1726.6219876829261</v>
      </c>
      <c r="Z41" s="366">
        <v>0</v>
      </c>
      <c r="AA41" s="367">
        <v>0</v>
      </c>
      <c r="AB41" s="368">
        <f t="shared" ca="1" si="10"/>
        <v>1726.6219876829261</v>
      </c>
      <c r="AC41" s="365">
        <f ca="1">Statements!K62</f>
        <v>1788.5655623987334</v>
      </c>
      <c r="AD41" s="365">
        <f ca="1">Statements!L62</f>
        <v>1905.8029468517184</v>
      </c>
      <c r="AE41" s="365">
        <f ca="1">Statements!M62</f>
        <v>2020.802622425233</v>
      </c>
      <c r="AF41" s="365">
        <f ca="1">Statements!N62</f>
        <v>2172.1240552353192</v>
      </c>
    </row>
    <row r="42" spans="2:32" x14ac:dyDescent="0.3">
      <c r="B42" t="s">
        <v>395</v>
      </c>
      <c r="F42" s="231" t="s">
        <v>404</v>
      </c>
      <c r="H42" t="s">
        <v>395</v>
      </c>
      <c r="L42" t="s">
        <v>405</v>
      </c>
      <c r="Q42" s="110" t="s">
        <v>137</v>
      </c>
      <c r="R42" s="43"/>
      <c r="V42" s="365">
        <f>Statements!G63</f>
        <v>1403</v>
      </c>
      <c r="W42" s="365">
        <f>Statements!H63</f>
        <v>1455</v>
      </c>
      <c r="X42" s="365">
        <f>Statements!I63</f>
        <v>381</v>
      </c>
      <c r="Y42" s="365">
        <f>Statements!J63</f>
        <v>381</v>
      </c>
      <c r="Z42" s="366">
        <v>0</v>
      </c>
      <c r="AA42" s="367">
        <v>0</v>
      </c>
      <c r="AB42" s="368">
        <f t="shared" si="10"/>
        <v>381</v>
      </c>
      <c r="AC42" s="365">
        <f>Statements!K63</f>
        <v>381</v>
      </c>
      <c r="AD42" s="365">
        <f>Statements!L63</f>
        <v>381</v>
      </c>
      <c r="AE42" s="365">
        <f>Statements!M63</f>
        <v>381</v>
      </c>
      <c r="AF42" s="365">
        <f>Statements!N63</f>
        <v>381</v>
      </c>
    </row>
    <row r="43" spans="2:32" x14ac:dyDescent="0.3">
      <c r="B43" t="s">
        <v>396</v>
      </c>
      <c r="F43" s="231" t="s">
        <v>402</v>
      </c>
      <c r="H43" t="s">
        <v>396</v>
      </c>
      <c r="L43" s="356">
        <v>0.1</v>
      </c>
      <c r="Q43" s="252" t="s">
        <v>138</v>
      </c>
      <c r="R43" s="254"/>
      <c r="S43" s="241"/>
      <c r="T43" s="241"/>
      <c r="U43" s="241"/>
      <c r="V43" s="373">
        <f>Statements!G64</f>
        <v>12529</v>
      </c>
      <c r="W43" s="373">
        <f>Statements!H64</f>
        <v>12855</v>
      </c>
      <c r="X43" s="373">
        <f>Statements!I64</f>
        <v>10628</v>
      </c>
      <c r="Y43" s="373">
        <f ca="1">Statements!J64</f>
        <v>11921.590776582849</v>
      </c>
      <c r="Z43" s="374">
        <v>0</v>
      </c>
      <c r="AA43" s="375">
        <v>0</v>
      </c>
      <c r="AB43" s="376">
        <f t="shared" ca="1" si="10"/>
        <v>11921.590776582849</v>
      </c>
      <c r="AC43" s="373">
        <f ca="1">Statements!K64</f>
        <v>11981.953440062221</v>
      </c>
      <c r="AD43" s="373">
        <f ca="1">Statements!L64</f>
        <v>12153.022539034453</v>
      </c>
      <c r="AE43" s="373">
        <f ca="1">Statements!M64</f>
        <v>12954.306069434433</v>
      </c>
      <c r="AF43" s="373">
        <f ca="1">Statements!N64</f>
        <v>13501.837839654814</v>
      </c>
    </row>
    <row r="44" spans="2:32" x14ac:dyDescent="0.3">
      <c r="B44" t="s">
        <v>397</v>
      </c>
      <c r="F44" s="231" t="s">
        <v>403</v>
      </c>
      <c r="H44" t="s">
        <v>397</v>
      </c>
      <c r="L44" s="356">
        <v>0.02</v>
      </c>
      <c r="Q44" s="124" t="s">
        <v>139</v>
      </c>
      <c r="R44" s="43"/>
      <c r="V44" s="377">
        <f>Statements!G65</f>
        <v>50315</v>
      </c>
      <c r="W44" s="377">
        <f>Statements!H65</f>
        <v>44050</v>
      </c>
      <c r="X44" s="377">
        <f>Statements!I65</f>
        <v>39993</v>
      </c>
      <c r="Y44" s="377">
        <f ca="1">Statements!J65</f>
        <v>41961.642428717612</v>
      </c>
      <c r="Z44" s="378"/>
      <c r="AA44" s="379"/>
      <c r="AB44" s="380">
        <f ca="1">SUM(AB38:AB43)</f>
        <v>41696.135582781957</v>
      </c>
      <c r="AC44" s="377">
        <f t="shared" ref="AC44:AF44" ca="1" si="11">SUM(AC38:AC43)</f>
        <v>10705.07604058777</v>
      </c>
      <c r="AD44" s="377">
        <f t="shared" ca="1" si="11"/>
        <v>16651.780820085616</v>
      </c>
      <c r="AE44" s="377">
        <f t="shared" ca="1" si="11"/>
        <v>22678.293047252904</v>
      </c>
      <c r="AF44" s="377">
        <f t="shared" ca="1" si="11"/>
        <v>28325.019006763214</v>
      </c>
    </row>
    <row r="45" spans="2:32" x14ac:dyDescent="0.3">
      <c r="B45" t="s">
        <v>398</v>
      </c>
      <c r="F45" s="258">
        <v>0.12</v>
      </c>
      <c r="H45" t="s">
        <v>398</v>
      </c>
      <c r="L45" s="356">
        <v>0</v>
      </c>
      <c r="P45" s="231" t="s">
        <v>454</v>
      </c>
      <c r="Q45" s="250" t="s">
        <v>167</v>
      </c>
      <c r="R45" s="253"/>
      <c r="S45" s="227"/>
      <c r="T45" s="227"/>
      <c r="U45" s="227"/>
      <c r="V45" s="369">
        <f>Statements!G66</f>
        <v>94469</v>
      </c>
      <c r="W45" s="369">
        <f>Statements!H66</f>
        <v>93494</v>
      </c>
      <c r="X45" s="369">
        <f>Statements!I66</f>
        <v>111417</v>
      </c>
      <c r="Y45" s="369">
        <f ca="1">Statements!J66</f>
        <v>104104.33601644682</v>
      </c>
      <c r="Z45" s="371">
        <f ca="1">L65</f>
        <v>12492.520321973618</v>
      </c>
      <c r="AA45" s="371">
        <v>0</v>
      </c>
      <c r="AB45" s="372">
        <f ca="1">Y45+Z45-AA45</f>
        <v>116596.85633842043</v>
      </c>
      <c r="AC45" s="369">
        <f ca="1">AB45-Schedule!K27-LBO_model!AC96-LBO_model!AC111</f>
        <v>116985.32620833027</v>
      </c>
      <c r="AD45" s="369">
        <f ca="1">AC45-Schedule!L27-LBO_model!AD96-LBO_model!AD111</f>
        <v>117551.87789205436</v>
      </c>
      <c r="AE45" s="369">
        <f ca="1">AD45-Schedule!M27-LBO_model!AE96-LBO_model!AE111</f>
        <v>118172.45124460149</v>
      </c>
      <c r="AF45" s="369">
        <f ca="1">AE45-Schedule!N27-LBO_model!AF96-LBO_model!AF111</f>
        <v>119023.55674136397</v>
      </c>
    </row>
    <row r="46" spans="2:32" x14ac:dyDescent="0.3">
      <c r="B46" t="s">
        <v>399</v>
      </c>
      <c r="F46" s="258">
        <v>0.15</v>
      </c>
      <c r="H46" t="s">
        <v>399</v>
      </c>
      <c r="L46" s="356">
        <v>0</v>
      </c>
      <c r="P46" s="231" t="s">
        <v>454</v>
      </c>
      <c r="Q46" s="110" t="s">
        <v>168</v>
      </c>
      <c r="R46" s="43"/>
      <c r="V46" s="365">
        <f>Statements!G67</f>
        <v>6499</v>
      </c>
      <c r="W46" s="365">
        <f>Statements!H67</f>
        <v>6098</v>
      </c>
      <c r="X46" s="365">
        <f>Statements!I67</f>
        <v>6200</v>
      </c>
      <c r="Y46" s="365">
        <f>Statements!J67</f>
        <v>6200</v>
      </c>
      <c r="Z46" s="366">
        <v>0</v>
      </c>
      <c r="AA46" s="367">
        <v>0</v>
      </c>
      <c r="AB46" s="368">
        <f t="shared" si="10"/>
        <v>6200</v>
      </c>
      <c r="AC46" s="365">
        <f>Statements!K67</f>
        <v>6200</v>
      </c>
      <c r="AD46" s="365">
        <f>Statements!L67</f>
        <v>6200</v>
      </c>
      <c r="AE46" s="365">
        <f>Statements!M67</f>
        <v>6200</v>
      </c>
      <c r="AF46" s="365">
        <f>Statements!N67</f>
        <v>6200</v>
      </c>
    </row>
    <row r="47" spans="2:32" x14ac:dyDescent="0.3">
      <c r="P47" s="231" t="s">
        <v>454</v>
      </c>
      <c r="Q47" s="110" t="s">
        <v>140</v>
      </c>
      <c r="R47" s="43"/>
      <c r="V47" s="365">
        <f>Statements!G68</f>
        <v>126065</v>
      </c>
      <c r="W47" s="365">
        <f>Statements!H68</f>
        <v>116795</v>
      </c>
      <c r="X47" s="365">
        <f>Statements!I68</f>
        <v>124738</v>
      </c>
      <c r="Y47" s="365">
        <f>Statements!J68</f>
        <v>124738</v>
      </c>
      <c r="Z47" s="366">
        <v>0</v>
      </c>
      <c r="AA47" s="367">
        <v>0</v>
      </c>
      <c r="AB47" s="368">
        <f t="shared" si="10"/>
        <v>124738</v>
      </c>
      <c r="AC47" s="365">
        <f>Statements!K68</f>
        <v>124738</v>
      </c>
      <c r="AD47" s="365">
        <f>Statements!L68</f>
        <v>124738</v>
      </c>
      <c r="AE47" s="365">
        <f>Statements!M68</f>
        <v>124738</v>
      </c>
      <c r="AF47" s="365">
        <f>Statements!N68</f>
        <v>124738</v>
      </c>
    </row>
    <row r="48" spans="2:32" x14ac:dyDescent="0.3">
      <c r="P48" s="231" t="s">
        <v>454</v>
      </c>
      <c r="Q48" s="110" t="s">
        <v>141</v>
      </c>
      <c r="R48" s="43"/>
      <c r="V48" s="365">
        <f>Statements!G69</f>
        <v>72740</v>
      </c>
      <c r="W48" s="365">
        <f>Statements!H69</f>
        <v>65908</v>
      </c>
      <c r="X48" s="365">
        <f>Statements!I69</f>
        <v>66357</v>
      </c>
      <c r="Y48" s="365">
        <f>Statements!J69</f>
        <v>66357</v>
      </c>
      <c r="Z48" s="366">
        <f ca="1">F73</f>
        <v>325452.34132090997</v>
      </c>
      <c r="AA48" s="367">
        <f>Y48</f>
        <v>66357</v>
      </c>
      <c r="AB48" s="368">
        <f t="shared" ca="1" si="10"/>
        <v>325452.34132090997</v>
      </c>
      <c r="AC48" s="365">
        <f ca="1">AB48</f>
        <v>325452.34132090997</v>
      </c>
      <c r="AD48" s="365">
        <f t="shared" ref="AD48:AF48" ca="1" si="12">AC48</f>
        <v>325452.34132090997</v>
      </c>
      <c r="AE48" s="365">
        <f t="shared" ca="1" si="12"/>
        <v>325452.34132090997</v>
      </c>
      <c r="AF48" s="365">
        <f t="shared" ca="1" si="12"/>
        <v>325452.34132090997</v>
      </c>
    </row>
    <row r="49" spans="1:32" x14ac:dyDescent="0.3">
      <c r="B49" s="223" t="s">
        <v>406</v>
      </c>
      <c r="C49" s="224"/>
      <c r="D49" s="224"/>
      <c r="E49" s="224"/>
      <c r="F49" s="224"/>
      <c r="G49" s="224"/>
      <c r="H49" s="224"/>
      <c r="I49" s="224"/>
      <c r="J49" s="224"/>
      <c r="K49" s="224"/>
      <c r="L49" s="225"/>
      <c r="P49" s="231" t="s">
        <v>454</v>
      </c>
      <c r="Q49" s="252" t="s">
        <v>142</v>
      </c>
      <c r="R49" s="254"/>
      <c r="S49" s="241"/>
      <c r="T49" s="241"/>
      <c r="U49" s="241"/>
      <c r="V49" s="373">
        <f>Statements!G70</f>
        <v>95034</v>
      </c>
      <c r="W49" s="373">
        <f>Statements!H70</f>
        <v>93428</v>
      </c>
      <c r="X49" s="373">
        <f>Statements!I70</f>
        <v>91739</v>
      </c>
      <c r="Y49" s="373">
        <f ca="1">Statements!J70</f>
        <v>91669.662759734172</v>
      </c>
      <c r="Z49" s="374">
        <f ca="1">L72</f>
        <v>78567.325436424988</v>
      </c>
      <c r="AA49" s="375">
        <v>0</v>
      </c>
      <c r="AB49" s="376">
        <f t="shared" ca="1" si="10"/>
        <v>170236.98819615916</v>
      </c>
      <c r="AC49" s="373">
        <f ca="1">AB49-Schedule!K45-LBO_model!AC97</f>
        <v>152618.06067053814</v>
      </c>
      <c r="AD49" s="373">
        <f ca="1">AC49-Schedule!L45-LBO_model!AD97</f>
        <v>134695.80496113701</v>
      </c>
      <c r="AE49" s="373">
        <f ca="1">AD49-Schedule!M45-LBO_model!AE97</f>
        <v>116573.72235542053</v>
      </c>
      <c r="AF49" s="373">
        <f ca="1">AE49-Schedule!N45-LBO_model!AF97</f>
        <v>98163.243113721153</v>
      </c>
    </row>
    <row r="50" spans="1:32" x14ac:dyDescent="0.3">
      <c r="Q50" s="110" t="s">
        <v>143</v>
      </c>
      <c r="R50" s="43"/>
      <c r="V50" s="365">
        <f>Statements!G71</f>
        <v>2337</v>
      </c>
      <c r="W50" s="365">
        <f>Statements!H71</f>
        <v>1702</v>
      </c>
      <c r="X50" s="365">
        <f>Statements!I71</f>
        <v>1066</v>
      </c>
      <c r="Y50" s="365">
        <f>Statements!J71</f>
        <v>1066</v>
      </c>
      <c r="Z50" s="366">
        <v>0</v>
      </c>
      <c r="AA50" s="367">
        <v>0</v>
      </c>
      <c r="AB50" s="368">
        <f t="shared" si="10"/>
        <v>1066</v>
      </c>
      <c r="AC50" s="365">
        <f>Statements!K71</f>
        <v>1066</v>
      </c>
      <c r="AD50" s="365">
        <f>Statements!L71</f>
        <v>1066</v>
      </c>
      <c r="AE50" s="365">
        <f>Statements!M71</f>
        <v>1066</v>
      </c>
      <c r="AF50" s="365">
        <f>Statements!N71</f>
        <v>1066</v>
      </c>
    </row>
    <row r="51" spans="1:32" x14ac:dyDescent="0.3">
      <c r="B51" s="219" t="s">
        <v>407</v>
      </c>
      <c r="H51" s="219" t="s">
        <v>408</v>
      </c>
      <c r="Q51" s="252" t="s">
        <v>144</v>
      </c>
      <c r="R51" s="254"/>
      <c r="S51" s="241"/>
      <c r="T51" s="241"/>
      <c r="U51" s="241"/>
      <c r="V51" s="373">
        <f>Statements!G72</f>
        <v>50876</v>
      </c>
      <c r="W51" s="373">
        <f>Statements!H72</f>
        <v>43343</v>
      </c>
      <c r="X51" s="373">
        <f>Statements!I72</f>
        <v>54764</v>
      </c>
      <c r="Y51" s="373">
        <f ca="1">Statements!J72</f>
        <v>49405.293108190395</v>
      </c>
      <c r="Z51" s="374">
        <v>0</v>
      </c>
      <c r="AA51" s="375">
        <v>0</v>
      </c>
      <c r="AB51" s="376">
        <f t="shared" ca="1" si="10"/>
        <v>49405.293108190395</v>
      </c>
      <c r="AC51" s="373">
        <f ca="1">Statements!K72</f>
        <v>50010.279837317503</v>
      </c>
      <c r="AD51" s="373">
        <f ca="1">Statements!L72</f>
        <v>54300.913626419155</v>
      </c>
      <c r="AE51" s="373">
        <f ca="1">Statements!M72</f>
        <v>55181.588892050502</v>
      </c>
      <c r="AF51" s="373">
        <f ca="1">Statements!N72</f>
        <v>58046.990667891987</v>
      </c>
    </row>
    <row r="52" spans="1:32" x14ac:dyDescent="0.3">
      <c r="B52" t="s">
        <v>409</v>
      </c>
      <c r="F52" s="220">
        <f ca="1">T5+T6</f>
        <v>265.50684593565529</v>
      </c>
      <c r="H52" t="s">
        <v>412</v>
      </c>
      <c r="L52" s="220">
        <f>L10</f>
        <v>328690.18080000003</v>
      </c>
      <c r="P52" s="231" t="s">
        <v>454</v>
      </c>
      <c r="Q52" s="267" t="s">
        <v>451</v>
      </c>
      <c r="R52" s="255"/>
      <c r="S52" s="256"/>
      <c r="T52" s="256"/>
      <c r="U52" s="256"/>
      <c r="V52" s="381">
        <v>0</v>
      </c>
      <c r="W52" s="381">
        <v>0</v>
      </c>
      <c r="X52" s="381">
        <v>0</v>
      </c>
      <c r="Y52" s="381">
        <v>0</v>
      </c>
      <c r="Z52" s="382">
        <f ca="1">L54</f>
        <v>1657.5254467780078</v>
      </c>
      <c r="AA52" s="381">
        <v>0</v>
      </c>
      <c r="AB52" s="383">
        <f t="shared" ca="1" si="10"/>
        <v>1657.5254467780078</v>
      </c>
      <c r="AC52" s="381">
        <f ca="1">AB52-AC98</f>
        <v>1326.0203574224063</v>
      </c>
      <c r="AD52" s="381">
        <f t="shared" ref="AD52:AF52" ca="1" si="13">AC52-AD98</f>
        <v>994.51526806680477</v>
      </c>
      <c r="AE52" s="381">
        <f t="shared" ca="1" si="13"/>
        <v>663.01017871120325</v>
      </c>
      <c r="AF52" s="381">
        <f t="shared" ca="1" si="13"/>
        <v>331.50508935560168</v>
      </c>
    </row>
    <row r="53" spans="1:32" x14ac:dyDescent="0.3">
      <c r="B53" t="s">
        <v>410</v>
      </c>
      <c r="F53" s="220">
        <f ca="1">L36</f>
        <v>105501.69645186719</v>
      </c>
      <c r="H53" t="s">
        <v>415</v>
      </c>
      <c r="L53" s="220">
        <f>L20*L10</f>
        <v>821.72545200000013</v>
      </c>
      <c r="Q53" s="111" t="s">
        <v>145</v>
      </c>
      <c r="R53" s="43"/>
      <c r="V53" s="377">
        <f t="shared" ref="V53:Y53" si="14">SUM(V45:V52)+V44</f>
        <v>498335</v>
      </c>
      <c r="W53" s="377">
        <f t="shared" si="14"/>
        <v>464818</v>
      </c>
      <c r="X53" s="377">
        <f t="shared" si="14"/>
        <v>496274</v>
      </c>
      <c r="Y53" s="377">
        <f t="shared" ca="1" si="14"/>
        <v>485501.93431308906</v>
      </c>
      <c r="Z53" s="378"/>
      <c r="AA53" s="379"/>
      <c r="AB53" s="380">
        <f ca="1">SUM(AB45:AB52)+AB44</f>
        <v>837049.13999324001</v>
      </c>
      <c r="AC53" s="377">
        <f ca="1">SUM(AC45:AC52)+AC44</f>
        <v>789101.10443510604</v>
      </c>
      <c r="AD53" s="377">
        <f t="shared" ref="AD53:AF53" ca="1" si="15">SUM(AD45:AD52)+AD44</f>
        <v>781651.2338886729</v>
      </c>
      <c r="AE53" s="377">
        <f t="shared" ca="1" si="15"/>
        <v>770725.40703894664</v>
      </c>
      <c r="AF53" s="377">
        <f t="shared" ca="1" si="15"/>
        <v>761346.6559400059</v>
      </c>
    </row>
    <row r="54" spans="1:32" x14ac:dyDescent="0.3">
      <c r="B54" t="s">
        <v>397</v>
      </c>
      <c r="F54" s="220">
        <f ca="1">L37</f>
        <v>52750.848225933594</v>
      </c>
      <c r="H54" t="s">
        <v>460</v>
      </c>
      <c r="L54" s="220">
        <f ca="1">(L34+L35)*L21</f>
        <v>1657.5254467780078</v>
      </c>
      <c r="Q54" s="109"/>
      <c r="R54" s="43"/>
      <c r="V54" s="365"/>
      <c r="W54" s="365"/>
      <c r="X54" s="365"/>
      <c r="Y54" s="365"/>
      <c r="Z54" s="366"/>
      <c r="AA54" s="367"/>
      <c r="AB54" s="368"/>
      <c r="AC54" s="365"/>
      <c r="AD54" s="365"/>
      <c r="AE54" s="365"/>
      <c r="AF54" s="365"/>
    </row>
    <row r="55" spans="1:32" x14ac:dyDescent="0.3">
      <c r="B55" t="s">
        <v>398</v>
      </c>
      <c r="F55" s="220">
        <f ca="1">L38</f>
        <v>31650.508935560156</v>
      </c>
      <c r="H55" t="s">
        <v>416</v>
      </c>
      <c r="L55" s="220">
        <f>L22*L10</f>
        <v>1643.4509040000003</v>
      </c>
      <c r="Q55" s="113" t="s">
        <v>146</v>
      </c>
      <c r="R55" s="43"/>
      <c r="V55" s="365"/>
      <c r="W55" s="365"/>
      <c r="X55" s="365"/>
      <c r="Y55" s="365"/>
      <c r="Z55" s="366"/>
      <c r="AA55" s="367"/>
      <c r="AB55" s="368"/>
      <c r="AC55" s="365"/>
      <c r="AD55" s="365"/>
      <c r="AE55" s="365"/>
      <c r="AF55" s="365"/>
    </row>
    <row r="56" spans="1:32" x14ac:dyDescent="0.3">
      <c r="B56" t="s">
        <v>399</v>
      </c>
      <c r="F56" s="220">
        <f ca="1">L39</f>
        <v>21100.339290373438</v>
      </c>
      <c r="Q56" s="111" t="s">
        <v>147</v>
      </c>
      <c r="R56" s="43"/>
      <c r="V56" s="365"/>
      <c r="W56" s="365"/>
      <c r="X56" s="365"/>
      <c r="Y56" s="365"/>
      <c r="Z56" s="366"/>
      <c r="AA56" s="367"/>
      <c r="AB56" s="368"/>
      <c r="AC56" s="365"/>
      <c r="AD56" s="365"/>
      <c r="AE56" s="365"/>
      <c r="AF56" s="365"/>
    </row>
    <row r="57" spans="1:32" x14ac:dyDescent="0.3">
      <c r="B57" t="s">
        <v>414</v>
      </c>
      <c r="F57" s="220">
        <f ca="1">L58-SUM(F52:F56)</f>
        <v>121543.982853108</v>
      </c>
      <c r="Q57" s="110" t="s">
        <v>148</v>
      </c>
      <c r="R57" s="43"/>
      <c r="V57" s="365">
        <f>Statements!G77</f>
        <v>1683</v>
      </c>
      <c r="W57" s="365">
        <f>Statements!H77</f>
        <v>1383</v>
      </c>
      <c r="X57" s="365">
        <f>Statements!I77</f>
        <v>1284</v>
      </c>
      <c r="Y57" s="365">
        <f>Statements!J77</f>
        <v>1284</v>
      </c>
      <c r="Z57" s="366">
        <v>0</v>
      </c>
      <c r="AA57" s="367">
        <v>0</v>
      </c>
      <c r="AB57" s="368">
        <f>Y57-Z57+AA57</f>
        <v>1284</v>
      </c>
      <c r="AC57" s="365">
        <f>Statements!K77</f>
        <v>1284</v>
      </c>
      <c r="AD57" s="365">
        <f>Statements!L77</f>
        <v>1284</v>
      </c>
      <c r="AE57" s="365">
        <f>Statements!M77</f>
        <v>1284</v>
      </c>
      <c r="AF57" s="365">
        <f>Statements!N77</f>
        <v>1284</v>
      </c>
    </row>
    <row r="58" spans="1:32" x14ac:dyDescent="0.3">
      <c r="B58" s="226" t="s">
        <v>411</v>
      </c>
      <c r="C58" s="227"/>
      <c r="D58" s="227"/>
      <c r="E58" s="227"/>
      <c r="F58" s="230">
        <f ca="1">SUM(F52:F57)</f>
        <v>332812.88260277803</v>
      </c>
      <c r="H58" s="226" t="s">
        <v>413</v>
      </c>
      <c r="I58" s="227"/>
      <c r="J58" s="227"/>
      <c r="K58" s="227"/>
      <c r="L58" s="230">
        <f ca="1">SUM(L52:L57)</f>
        <v>332812.88260277803</v>
      </c>
      <c r="Q58" s="110" t="s">
        <v>149</v>
      </c>
      <c r="R58" s="43"/>
      <c r="V58" s="365">
        <f>Statements!G78</f>
        <v>15310</v>
      </c>
      <c r="W58" s="365">
        <f>Statements!H78</f>
        <v>14779</v>
      </c>
      <c r="X58" s="365">
        <f>Statements!I78</f>
        <v>15487</v>
      </c>
      <c r="Y58" s="365">
        <f>Statements!J78</f>
        <v>15487</v>
      </c>
      <c r="Z58" s="366">
        <v>0</v>
      </c>
      <c r="AA58" s="367">
        <v>0</v>
      </c>
      <c r="AB58" s="368">
        <f t="shared" ref="AB58:AB73" si="16">Y58-Z58+AA58</f>
        <v>15487</v>
      </c>
      <c r="AC58" s="365">
        <f>Statements!K78</f>
        <v>15487</v>
      </c>
      <c r="AD58" s="365">
        <f>Statements!L78</f>
        <v>15487</v>
      </c>
      <c r="AE58" s="365">
        <f>Statements!M78</f>
        <v>15487</v>
      </c>
      <c r="AF58" s="365">
        <f>Statements!N78</f>
        <v>15487</v>
      </c>
    </row>
    <row r="59" spans="1:32" x14ac:dyDescent="0.3">
      <c r="Q59" s="110" t="s">
        <v>150</v>
      </c>
      <c r="R59" s="43"/>
      <c r="V59" s="365">
        <f>Statements!G79</f>
        <v>19896</v>
      </c>
      <c r="W59" s="365">
        <f>Statements!H79</f>
        <v>24070</v>
      </c>
      <c r="X59" s="365">
        <f>Statements!I79</f>
        <v>19985</v>
      </c>
      <c r="Y59" s="365">
        <f ca="1">Statements!J79</f>
        <v>19751.883471003592</v>
      </c>
      <c r="Z59" s="366">
        <v>0</v>
      </c>
      <c r="AA59" s="367">
        <v>0</v>
      </c>
      <c r="AB59" s="368">
        <f t="shared" ca="1" si="16"/>
        <v>19751.883471003592</v>
      </c>
      <c r="AC59" s="365">
        <f ca="1">Statements!K79</f>
        <v>20460.493854916247</v>
      </c>
      <c r="AD59" s="365">
        <f ca="1">Statements!L79</f>
        <v>21801.643899731873</v>
      </c>
      <c r="AE59" s="365">
        <f ca="1">Statements!M79</f>
        <v>23117.19542596925</v>
      </c>
      <c r="AF59" s="365">
        <f ca="1">Statements!N79</f>
        <v>24848.253717159612</v>
      </c>
    </row>
    <row r="60" spans="1:32" x14ac:dyDescent="0.3">
      <c r="Q60" s="252" t="s">
        <v>151</v>
      </c>
      <c r="R60" s="254"/>
      <c r="S60" s="241"/>
      <c r="T60" s="241"/>
      <c r="U60" s="241"/>
      <c r="V60" s="373">
        <f>Statements!G80</f>
        <v>56762</v>
      </c>
      <c r="W60" s="373">
        <f>Statements!H80</f>
        <v>63068</v>
      </c>
      <c r="X60" s="373">
        <f>Statements!I80</f>
        <v>58842</v>
      </c>
      <c r="Y60" s="373">
        <f ca="1">Statements!J80</f>
        <v>59170.652944818357</v>
      </c>
      <c r="Z60" s="374">
        <v>0</v>
      </c>
      <c r="AA60" s="375">
        <v>0</v>
      </c>
      <c r="AB60" s="376">
        <f t="shared" ca="1" si="16"/>
        <v>59170.652944818357</v>
      </c>
      <c r="AC60" s="373">
        <f ca="1">Statements!K80</f>
        <v>61309.131334743754</v>
      </c>
      <c r="AD60" s="373">
        <f ca="1">Statements!L80</f>
        <v>63123.887618097222</v>
      </c>
      <c r="AE60" s="373">
        <f ca="1">Statements!M80</f>
        <v>65935.797981863609</v>
      </c>
      <c r="AF60" s="373">
        <f ca="1">Statements!N80</f>
        <v>69306.650075824669</v>
      </c>
    </row>
    <row r="61" spans="1:32" x14ac:dyDescent="0.3">
      <c r="A61" t="s">
        <v>454</v>
      </c>
      <c r="B61" s="223" t="s">
        <v>425</v>
      </c>
      <c r="C61" s="224"/>
      <c r="D61" s="224"/>
      <c r="E61" s="224"/>
      <c r="F61" s="224"/>
      <c r="G61" s="224"/>
      <c r="H61" s="224"/>
      <c r="I61" s="224"/>
      <c r="J61" s="224"/>
      <c r="K61" s="224"/>
      <c r="L61" s="225"/>
      <c r="Q61" s="268" t="s">
        <v>152</v>
      </c>
      <c r="R61" s="254"/>
      <c r="S61" s="241"/>
      <c r="T61" s="241"/>
      <c r="U61" s="241"/>
      <c r="V61" s="384">
        <f>Statements!G81</f>
        <v>93651</v>
      </c>
      <c r="W61" s="384">
        <f>Statements!H81</f>
        <v>103300</v>
      </c>
      <c r="X61" s="384">
        <f>Statements!I81</f>
        <v>95598</v>
      </c>
      <c r="Y61" s="384">
        <f ca="1">Statements!J81</f>
        <v>95693.536415821945</v>
      </c>
      <c r="Z61" s="385"/>
      <c r="AA61" s="386"/>
      <c r="AB61" s="387">
        <f ca="1">SUM(AB57:AB60)</f>
        <v>95693.536415821945</v>
      </c>
      <c r="AC61" s="384">
        <f ca="1">SUM(AC57:AC60)</f>
        <v>98540.625189660001</v>
      </c>
      <c r="AD61" s="384">
        <f t="shared" ref="AD61:AF61" ca="1" si="17">SUM(AD57:AD60)</f>
        <v>101696.53151782911</v>
      </c>
      <c r="AE61" s="384">
        <f t="shared" ca="1" si="17"/>
        <v>105823.99340783287</v>
      </c>
      <c r="AF61" s="384">
        <f t="shared" ca="1" si="17"/>
        <v>110925.90379298429</v>
      </c>
    </row>
    <row r="62" spans="1:32" x14ac:dyDescent="0.3">
      <c r="P62" s="231" t="s">
        <v>454</v>
      </c>
      <c r="Q62" s="110" t="s">
        <v>289</v>
      </c>
      <c r="R62" s="43"/>
      <c r="V62" s="365">
        <f>Statements!G82</f>
        <v>0</v>
      </c>
      <c r="W62" s="365">
        <f>Statements!H82</f>
        <v>0</v>
      </c>
      <c r="X62" s="365">
        <f>Statements!I82</f>
        <v>0</v>
      </c>
      <c r="Y62" s="365">
        <f ca="1">Statements!J82</f>
        <v>0</v>
      </c>
      <c r="Z62" s="366">
        <v>0</v>
      </c>
      <c r="AA62" s="367">
        <v>0</v>
      </c>
      <c r="AB62" s="368">
        <f t="shared" ca="1" si="16"/>
        <v>0</v>
      </c>
      <c r="AC62" s="365">
        <f ca="1">AB62+AC115</f>
        <v>0</v>
      </c>
      <c r="AD62" s="365">
        <f t="shared" ref="AD62:AF62" ca="1" si="18">AC62+AD115</f>
        <v>21840.733588479758</v>
      </c>
      <c r="AE62" s="365">
        <f t="shared" ca="1" si="18"/>
        <v>34910.478393505087</v>
      </c>
      <c r="AF62" s="365">
        <f t="shared" ca="1" si="18"/>
        <v>47573.54383072273</v>
      </c>
    </row>
    <row r="63" spans="1:32" x14ac:dyDescent="0.3">
      <c r="B63" s="219" t="s">
        <v>426</v>
      </c>
      <c r="H63" s="219" t="s">
        <v>431</v>
      </c>
      <c r="Q63" s="110" t="s">
        <v>485</v>
      </c>
      <c r="R63" s="43"/>
      <c r="V63" s="365">
        <f>Statements!G83</f>
        <v>261500</v>
      </c>
      <c r="W63" s="365">
        <f>Statements!H83</f>
        <v>255500</v>
      </c>
      <c r="X63" s="365">
        <f>Statements!I83</f>
        <v>261300</v>
      </c>
      <c r="Y63" s="365">
        <f>Statements!J83</f>
        <v>211300</v>
      </c>
      <c r="Z63" s="366">
        <v>0</v>
      </c>
      <c r="AA63" s="367">
        <v>0</v>
      </c>
      <c r="AB63" s="368">
        <f t="shared" si="16"/>
        <v>211300</v>
      </c>
      <c r="AC63" s="365">
        <f>AB63+AC120</f>
        <v>171300</v>
      </c>
      <c r="AD63" s="365">
        <f>AC63+AD120</f>
        <v>131300</v>
      </c>
      <c r="AE63" s="365">
        <f>AD63+AE120</f>
        <v>91300</v>
      </c>
      <c r="AF63" s="365">
        <f>AE63+AF120</f>
        <v>51300</v>
      </c>
    </row>
    <row r="64" spans="1:32" x14ac:dyDescent="0.3">
      <c r="B64" t="s">
        <v>427</v>
      </c>
      <c r="F64" s="220">
        <f>L10</f>
        <v>328690.18080000003</v>
      </c>
      <c r="H64" t="s">
        <v>432</v>
      </c>
      <c r="L64" s="258">
        <v>0.12</v>
      </c>
      <c r="P64" s="231" t="s">
        <v>454</v>
      </c>
      <c r="Q64" s="269" t="s">
        <v>410</v>
      </c>
      <c r="R64" s="253"/>
      <c r="S64" s="227"/>
      <c r="T64" s="227"/>
      <c r="U64" s="227"/>
      <c r="V64" s="369">
        <v>0</v>
      </c>
      <c r="W64" s="369">
        <v>0</v>
      </c>
      <c r="X64" s="369">
        <v>0</v>
      </c>
      <c r="Y64" s="369">
        <v>0</v>
      </c>
      <c r="Z64" s="370">
        <v>0</v>
      </c>
      <c r="AA64" s="371">
        <f ca="1">F53</f>
        <v>105501.69645186719</v>
      </c>
      <c r="AB64" s="372">
        <f t="shared" ca="1" si="16"/>
        <v>105501.69645186719</v>
      </c>
      <c r="AC64" s="369">
        <f ca="1">AB64+AC116</f>
        <v>78669.443479685782</v>
      </c>
      <c r="AD64" s="369">
        <f t="shared" ref="AD64:AF64" ca="1" si="19">AC64+AD116</f>
        <v>68119.273834499065</v>
      </c>
      <c r="AE64" s="369">
        <f t="shared" ca="1" si="19"/>
        <v>57569.104189312347</v>
      </c>
      <c r="AF64" s="369">
        <f t="shared" ca="1" si="19"/>
        <v>47018.93454412563</v>
      </c>
    </row>
    <row r="65" spans="1:33" x14ac:dyDescent="0.3">
      <c r="B65" t="s">
        <v>428</v>
      </c>
      <c r="F65" s="242">
        <f ca="1">-Y84</f>
        <v>-2210.5536178750917</v>
      </c>
      <c r="H65" t="s">
        <v>433</v>
      </c>
      <c r="L65" s="220">
        <f ca="1">L64*Y45</f>
        <v>12492.520321973618</v>
      </c>
      <c r="P65" s="231" t="s">
        <v>454</v>
      </c>
      <c r="Q65" s="270" t="s">
        <v>397</v>
      </c>
      <c r="R65" s="43"/>
      <c r="V65" s="365">
        <v>0</v>
      </c>
      <c r="W65" s="365">
        <v>0</v>
      </c>
      <c r="X65" s="365">
        <v>0</v>
      </c>
      <c r="Y65" s="365">
        <v>0</v>
      </c>
      <c r="Z65" s="366">
        <v>0</v>
      </c>
      <c r="AA65" s="367">
        <f ca="1">F54</f>
        <v>52750.848225933594</v>
      </c>
      <c r="AB65" s="368">
        <f t="shared" ca="1" si="16"/>
        <v>52750.848225933594</v>
      </c>
      <c r="AC65" s="365">
        <f t="shared" ref="AC65:AF66" ca="1" si="20">AB65+AC117</f>
        <v>51695.831261414925</v>
      </c>
      <c r="AD65" s="365">
        <f t="shared" ca="1" si="20"/>
        <v>50640.814296896257</v>
      </c>
      <c r="AE65" s="365">
        <f t="shared" ca="1" si="20"/>
        <v>49585.797332377588</v>
      </c>
      <c r="AF65" s="365">
        <f t="shared" ca="1" si="20"/>
        <v>48530.780367858919</v>
      </c>
    </row>
    <row r="66" spans="1:33" x14ac:dyDescent="0.3">
      <c r="B66" t="s">
        <v>430</v>
      </c>
      <c r="F66" s="221">
        <f>Y48</f>
        <v>66357</v>
      </c>
      <c r="H66" t="s">
        <v>434</v>
      </c>
      <c r="L66" s="360">
        <v>8</v>
      </c>
      <c r="P66" s="231" t="s">
        <v>454</v>
      </c>
      <c r="Q66" s="270" t="s">
        <v>398</v>
      </c>
      <c r="R66" s="43"/>
      <c r="V66" s="365">
        <v>0</v>
      </c>
      <c r="W66" s="365">
        <v>0</v>
      </c>
      <c r="X66" s="365">
        <v>0</v>
      </c>
      <c r="Y66" s="365">
        <v>0</v>
      </c>
      <c r="Z66" s="366">
        <v>0</v>
      </c>
      <c r="AA66" s="367">
        <f ca="1">F55</f>
        <v>31650.508935560156</v>
      </c>
      <c r="AB66" s="368">
        <f t="shared" ca="1" si="16"/>
        <v>31650.508935560156</v>
      </c>
      <c r="AC66" s="365">
        <f t="shared" ca="1" si="20"/>
        <v>31650.508935560156</v>
      </c>
      <c r="AD66" s="365">
        <f t="shared" ca="1" si="20"/>
        <v>31650.508935560156</v>
      </c>
      <c r="AE66" s="365">
        <f t="shared" ca="1" si="20"/>
        <v>31650.508935560156</v>
      </c>
      <c r="AF66" s="365">
        <f t="shared" ca="1" si="20"/>
        <v>31650.508935560156</v>
      </c>
    </row>
    <row r="67" spans="1:33" x14ac:dyDescent="0.3">
      <c r="B67" s="226" t="s">
        <v>429</v>
      </c>
      <c r="C67" s="227"/>
      <c r="D67" s="227"/>
      <c r="E67" s="227"/>
      <c r="F67" s="230">
        <f ca="1">SUM(F64:F66)</f>
        <v>392836.62718212494</v>
      </c>
      <c r="P67" s="231" t="s">
        <v>454</v>
      </c>
      <c r="Q67" s="270" t="s">
        <v>399</v>
      </c>
      <c r="R67" s="43"/>
      <c r="V67" s="365">
        <v>0</v>
      </c>
      <c r="W67" s="365">
        <v>0</v>
      </c>
      <c r="X67" s="365">
        <v>0</v>
      </c>
      <c r="Y67" s="365">
        <v>0</v>
      </c>
      <c r="Z67" s="366">
        <v>0</v>
      </c>
      <c r="AA67" s="367">
        <f ca="1">F56</f>
        <v>21100.339290373438</v>
      </c>
      <c r="AB67" s="368">
        <f t="shared" ca="1" si="16"/>
        <v>21100.339290373438</v>
      </c>
      <c r="AC67" s="365">
        <f ca="1">AB67+AC119+AC99</f>
        <v>24522.015932055619</v>
      </c>
      <c r="AD67" s="365">
        <f t="shared" ref="AD67:AF67" ca="1" si="21">AC67+AD119+AD99</f>
        <v>28498.559056172748</v>
      </c>
      <c r="AE67" s="365">
        <f t="shared" ca="1" si="21"/>
        <v>33119.947011227785</v>
      </c>
      <c r="AF67" s="365">
        <f t="shared" ca="1" si="21"/>
        <v>38490.749229264722</v>
      </c>
    </row>
    <row r="68" spans="1:33" x14ac:dyDescent="0.3">
      <c r="P68" s="231" t="s">
        <v>454</v>
      </c>
      <c r="Q68" s="271" t="s">
        <v>452</v>
      </c>
      <c r="R68" s="254"/>
      <c r="S68" s="241"/>
      <c r="T68" s="241"/>
      <c r="U68" s="241"/>
      <c r="V68" s="373">
        <v>0</v>
      </c>
      <c r="W68" s="373">
        <v>0</v>
      </c>
      <c r="X68" s="373">
        <v>0</v>
      </c>
      <c r="Y68" s="373">
        <v>0</v>
      </c>
      <c r="Z68" s="374">
        <v>0</v>
      </c>
      <c r="AA68" s="375">
        <f ca="1">L76</f>
        <v>23675.559897183637</v>
      </c>
      <c r="AB68" s="376">
        <f t="shared" ca="1" si="16"/>
        <v>23675.559897183637</v>
      </c>
      <c r="AC68" s="373">
        <f t="shared" ref="AC68:AF68" ca="1" si="22">AB68</f>
        <v>23675.559897183637</v>
      </c>
      <c r="AD68" s="373">
        <f t="shared" ca="1" si="22"/>
        <v>23675.559897183637</v>
      </c>
      <c r="AE68" s="373">
        <f t="shared" ca="1" si="22"/>
        <v>23675.559897183637</v>
      </c>
      <c r="AF68" s="373">
        <f t="shared" ca="1" si="22"/>
        <v>23675.559897183637</v>
      </c>
    </row>
    <row r="69" spans="1:33" x14ac:dyDescent="0.3">
      <c r="B69" t="s">
        <v>440</v>
      </c>
      <c r="F69" s="242">
        <f ca="1">-L65</f>
        <v>-12492.520321973618</v>
      </c>
      <c r="H69" s="219" t="s">
        <v>435</v>
      </c>
      <c r="Q69" s="110" t="s">
        <v>154</v>
      </c>
      <c r="R69" s="43"/>
      <c r="V69" s="365">
        <f>Statements!G84</f>
        <v>9555</v>
      </c>
      <c r="W69" s="365">
        <f>Statements!H84</f>
        <v>9150</v>
      </c>
      <c r="X69" s="365">
        <f>Statements!I84</f>
        <v>9284</v>
      </c>
      <c r="Y69" s="365">
        <f>Statements!J84</f>
        <v>9284</v>
      </c>
      <c r="Z69" s="366">
        <v>0</v>
      </c>
      <c r="AA69" s="367">
        <v>0</v>
      </c>
      <c r="AB69" s="368">
        <f t="shared" si="16"/>
        <v>9284</v>
      </c>
      <c r="AC69" s="365">
        <f>Statements!K84</f>
        <v>9284</v>
      </c>
      <c r="AD69" s="365">
        <f>Statements!L84</f>
        <v>9284</v>
      </c>
      <c r="AE69" s="365">
        <f>Statements!M84</f>
        <v>9284</v>
      </c>
      <c r="AF69" s="365">
        <f>Statements!N84</f>
        <v>9284</v>
      </c>
    </row>
    <row r="70" spans="1:33" x14ac:dyDescent="0.3">
      <c r="B70" t="s">
        <v>441</v>
      </c>
      <c r="F70" s="242">
        <f ca="1">-L72</f>
        <v>-78567.325436424988</v>
      </c>
      <c r="H70" t="s">
        <v>436</v>
      </c>
      <c r="L70" s="220">
        <f ca="1">F67</f>
        <v>392836.62718212494</v>
      </c>
      <c r="Q70" s="110" t="s">
        <v>155</v>
      </c>
      <c r="R70" s="43"/>
      <c r="V70" s="365">
        <f>Statements!G85</f>
        <v>123404</v>
      </c>
      <c r="W70" s="365">
        <f>Statements!H85</f>
        <v>114451</v>
      </c>
      <c r="X70" s="365">
        <f>Statements!I85</f>
        <v>120841</v>
      </c>
      <c r="Y70" s="365">
        <f>Statements!J85</f>
        <v>120841</v>
      </c>
      <c r="Z70" s="366">
        <v>0</v>
      </c>
      <c r="AA70" s="367">
        <v>0</v>
      </c>
      <c r="AB70" s="368">
        <f t="shared" si="16"/>
        <v>120841</v>
      </c>
      <c r="AC70" s="365">
        <f>Statements!K85</f>
        <v>120841</v>
      </c>
      <c r="AD70" s="365">
        <f>Statements!L85</f>
        <v>120841</v>
      </c>
      <c r="AE70" s="365">
        <f>Statements!M85</f>
        <v>120841</v>
      </c>
      <c r="AF70" s="365">
        <f>Statements!N85</f>
        <v>120841</v>
      </c>
    </row>
    <row r="71" spans="1:33" x14ac:dyDescent="0.3">
      <c r="B71" t="s">
        <v>442</v>
      </c>
      <c r="F71" s="361">
        <v>0</v>
      </c>
      <c r="H71" t="s">
        <v>437</v>
      </c>
      <c r="L71" s="356">
        <v>0.2</v>
      </c>
      <c r="Q71" s="110" t="s">
        <v>156</v>
      </c>
      <c r="R71" s="43"/>
      <c r="V71" s="365">
        <f>Statements!G86</f>
        <v>7324</v>
      </c>
      <c r="W71" s="365">
        <f>Statements!H86</f>
        <v>6929</v>
      </c>
      <c r="X71" s="365">
        <f>Statements!I86</f>
        <v>5866</v>
      </c>
      <c r="Y71" s="365">
        <f>Statements!J86</f>
        <v>5866</v>
      </c>
      <c r="Z71" s="366">
        <v>0</v>
      </c>
      <c r="AA71" s="367">
        <v>0</v>
      </c>
      <c r="AB71" s="368">
        <f t="shared" si="16"/>
        <v>5866</v>
      </c>
      <c r="AC71" s="365">
        <f>Statements!K86</f>
        <v>5866</v>
      </c>
      <c r="AD71" s="365">
        <f>Statements!L86</f>
        <v>5866</v>
      </c>
      <c r="AE71" s="365">
        <f>Statements!M86</f>
        <v>5866</v>
      </c>
      <c r="AF71" s="365">
        <f>Statements!N86</f>
        <v>5866</v>
      </c>
    </row>
    <row r="72" spans="1:33" x14ac:dyDescent="0.3">
      <c r="B72" t="s">
        <v>443</v>
      </c>
      <c r="F72" s="220">
        <f ca="1">L76</f>
        <v>23675.559897183637</v>
      </c>
      <c r="H72" t="s">
        <v>438</v>
      </c>
      <c r="L72" s="220">
        <f ca="1">L70*L71</f>
        <v>78567.325436424988</v>
      </c>
      <c r="Q72" s="110" t="s">
        <v>157</v>
      </c>
      <c r="R72" s="43"/>
      <c r="V72" s="365">
        <f>Statements!G87</f>
        <v>7419</v>
      </c>
      <c r="W72" s="365">
        <f>Statements!H87</f>
        <v>6582</v>
      </c>
      <c r="X72" s="365">
        <f>Statements!I87</f>
        <v>9964</v>
      </c>
      <c r="Y72" s="365">
        <f>Statements!J87</f>
        <v>9964</v>
      </c>
      <c r="Z72" s="366">
        <v>0</v>
      </c>
      <c r="AA72" s="367">
        <v>0</v>
      </c>
      <c r="AB72" s="368">
        <f t="shared" si="16"/>
        <v>9964</v>
      </c>
      <c r="AC72" s="365">
        <f>Statements!K87</f>
        <v>9964</v>
      </c>
      <c r="AD72" s="365">
        <f>Statements!L87</f>
        <v>9964</v>
      </c>
      <c r="AE72" s="365">
        <f>Statements!M87</f>
        <v>9964</v>
      </c>
      <c r="AF72" s="365">
        <f>Statements!N87</f>
        <v>9964</v>
      </c>
    </row>
    <row r="73" spans="1:33" x14ac:dyDescent="0.3">
      <c r="B73" s="226" t="s">
        <v>444</v>
      </c>
      <c r="C73" s="227"/>
      <c r="D73" s="227"/>
      <c r="E73" s="227"/>
      <c r="F73" s="230">
        <f ca="1">F67+SUM(F69:F72)</f>
        <v>325452.34132090997</v>
      </c>
      <c r="H73" t="s">
        <v>439</v>
      </c>
      <c r="L73" s="360">
        <v>5</v>
      </c>
      <c r="Q73" s="252" t="s">
        <v>158</v>
      </c>
      <c r="R73" s="254"/>
      <c r="S73" s="241"/>
      <c r="T73" s="241"/>
      <c r="U73" s="241"/>
      <c r="V73" s="373">
        <f>Statements!G88</f>
        <v>32598</v>
      </c>
      <c r="W73" s="373">
        <f>Statements!H88</f>
        <v>31592</v>
      </c>
      <c r="X73" s="373">
        <f>Statements!I88</f>
        <v>27446</v>
      </c>
      <c r="Y73" s="373">
        <f ca="1">Statements!J88</f>
        <v>30342.844279391982</v>
      </c>
      <c r="Z73" s="374">
        <v>0</v>
      </c>
      <c r="AA73" s="375">
        <v>0</v>
      </c>
      <c r="AB73" s="376">
        <f t="shared" ca="1" si="16"/>
        <v>30342.844279391982</v>
      </c>
      <c r="AC73" s="373">
        <f ca="1">Statements!K88</f>
        <v>30256.023810185077</v>
      </c>
      <c r="AD73" s="373">
        <f ca="1">Statements!L88</f>
        <v>30989.279387796785</v>
      </c>
      <c r="AE73" s="373">
        <f ca="1">Statements!M88</f>
        <v>32904.354978752177</v>
      </c>
      <c r="AF73" s="373">
        <f ca="1">Statements!N88</f>
        <v>34271.252670147485</v>
      </c>
    </row>
    <row r="74" spans="1:33" x14ac:dyDescent="0.3">
      <c r="Q74" s="272" t="s">
        <v>159</v>
      </c>
      <c r="R74" s="255"/>
      <c r="S74" s="256"/>
      <c r="T74" s="256"/>
      <c r="U74" s="256"/>
      <c r="V74" s="388">
        <f>Statements!G89</f>
        <v>441800</v>
      </c>
      <c r="W74" s="388">
        <f>Statements!H89</f>
        <v>424204</v>
      </c>
      <c r="X74" s="388">
        <f>Statements!I89</f>
        <v>434701</v>
      </c>
      <c r="Y74" s="388">
        <f ca="1">Statements!J89</f>
        <v>387597.84427939198</v>
      </c>
      <c r="Z74" s="389"/>
      <c r="AA74" s="388"/>
      <c r="AB74" s="390">
        <f ca="1">SUM(AB62:AB73)</f>
        <v>622276.79708031006</v>
      </c>
      <c r="AC74" s="388">
        <f ca="1">SUM(AC62:AC73)</f>
        <v>557724.38331608521</v>
      </c>
      <c r="AD74" s="388">
        <f t="shared" ref="AD74:AF74" ca="1" si="23">SUM(AD62:AD73)</f>
        <v>532669.72899658838</v>
      </c>
      <c r="AE74" s="388">
        <f t="shared" ca="1" si="23"/>
        <v>500670.75073791877</v>
      </c>
      <c r="AF74" s="388">
        <f t="shared" ca="1" si="23"/>
        <v>468466.32947486325</v>
      </c>
    </row>
    <row r="75" spans="1:33" x14ac:dyDescent="0.3">
      <c r="Q75" s="111" t="s">
        <v>160</v>
      </c>
      <c r="R75" s="43"/>
      <c r="V75" s="377">
        <f>Statements!G90</f>
        <v>535451</v>
      </c>
      <c r="W75" s="377">
        <f>Statements!H90</f>
        <v>527504</v>
      </c>
      <c r="X75" s="377">
        <f>Statements!I90</f>
        <v>530299</v>
      </c>
      <c r="Y75" s="377">
        <f ca="1">Statements!J90</f>
        <v>483291.38069521391</v>
      </c>
      <c r="Z75" s="378"/>
      <c r="AA75" s="379"/>
      <c r="AB75" s="380">
        <f ca="1">AB74+AB61</f>
        <v>717970.33349613205</v>
      </c>
      <c r="AC75" s="377">
        <f ca="1">AC74+AC61</f>
        <v>656265.00850574521</v>
      </c>
      <c r="AD75" s="377">
        <f t="shared" ref="AD75:AF75" ca="1" si="24">AD74+AD61</f>
        <v>634366.26051441743</v>
      </c>
      <c r="AE75" s="377">
        <f t="shared" ca="1" si="24"/>
        <v>606494.7441457517</v>
      </c>
      <c r="AF75" s="377">
        <f t="shared" ca="1" si="24"/>
        <v>579392.23326784757</v>
      </c>
    </row>
    <row r="76" spans="1:33" x14ac:dyDescent="0.3">
      <c r="B76" t="s">
        <v>445</v>
      </c>
      <c r="F76" s="360">
        <v>5</v>
      </c>
      <c r="H76" t="s">
        <v>446</v>
      </c>
      <c r="L76" s="220">
        <f ca="1">(L72+L65)*F14</f>
        <v>23675.559897183637</v>
      </c>
      <c r="Q76" s="109"/>
      <c r="R76" s="43"/>
      <c r="V76" s="365"/>
      <c r="W76" s="365"/>
      <c r="X76" s="365"/>
      <c r="Y76" s="365"/>
      <c r="Z76" s="366"/>
      <c r="AA76" s="367"/>
      <c r="AB76" s="368"/>
      <c r="AC76" s="365"/>
      <c r="AD76" s="365"/>
      <c r="AE76" s="365"/>
      <c r="AF76" s="365"/>
    </row>
    <row r="77" spans="1:33" x14ac:dyDescent="0.3">
      <c r="Q77" s="113" t="s">
        <v>161</v>
      </c>
      <c r="R77" s="43"/>
      <c r="V77" s="365"/>
      <c r="W77" s="365"/>
      <c r="X77" s="365"/>
      <c r="Y77" s="365"/>
      <c r="Z77" s="366"/>
      <c r="AA77" s="367"/>
      <c r="AB77" s="368"/>
      <c r="AC77" s="365"/>
      <c r="AD77" s="365"/>
      <c r="AE77" s="365"/>
      <c r="AF77" s="365"/>
    </row>
    <row r="78" spans="1:33" x14ac:dyDescent="0.3">
      <c r="Q78" s="110" t="s">
        <v>169</v>
      </c>
      <c r="R78" s="43"/>
      <c r="V78" s="365">
        <f>Statements!G93</f>
        <v>650</v>
      </c>
      <c r="W78" s="365">
        <f>Statements!H93</f>
        <v>529</v>
      </c>
      <c r="X78" s="365">
        <f>Statements!I93</f>
        <v>513</v>
      </c>
      <c r="Y78" s="365">
        <f>Statements!J93</f>
        <v>513</v>
      </c>
      <c r="Z78" s="366">
        <f>Y78</f>
        <v>513</v>
      </c>
      <c r="AA78" s="367"/>
      <c r="AB78" s="368">
        <f t="shared" ref="AB78:AB82" si="25">Y78-Z78+AA78</f>
        <v>0</v>
      </c>
      <c r="AC78" s="365">
        <f>AB78</f>
        <v>0</v>
      </c>
      <c r="AD78" s="365">
        <f t="shared" ref="AD78:AF78" si="26">AC78</f>
        <v>0</v>
      </c>
      <c r="AE78" s="365">
        <f t="shared" si="26"/>
        <v>0</v>
      </c>
      <c r="AF78" s="365">
        <f t="shared" si="26"/>
        <v>0</v>
      </c>
    </row>
    <row r="79" spans="1:33" x14ac:dyDescent="0.3">
      <c r="A79" t="s">
        <v>454</v>
      </c>
      <c r="B79" s="223" t="s">
        <v>486</v>
      </c>
      <c r="C79" s="224"/>
      <c r="D79" s="224"/>
      <c r="E79" s="224"/>
      <c r="F79" s="224"/>
      <c r="G79" s="224"/>
      <c r="H79" s="224"/>
      <c r="I79" s="224"/>
      <c r="J79" s="224"/>
      <c r="K79" s="224"/>
      <c r="L79" s="225"/>
      <c r="Q79" s="110" t="s">
        <v>162</v>
      </c>
      <c r="R79" s="43"/>
      <c r="V79" s="365">
        <f>Statements!G94</f>
        <v>142136</v>
      </c>
      <c r="W79" s="365">
        <f>Statements!H94</f>
        <v>6688</v>
      </c>
      <c r="X79" s="365">
        <f>Statements!I94</f>
        <v>0</v>
      </c>
      <c r="Y79" s="365">
        <f ca="1">Statements!J94</f>
        <v>7699.8803616067371</v>
      </c>
      <c r="Z79" s="366">
        <f ca="1">Y79</f>
        <v>7699.8803616067371</v>
      </c>
      <c r="AA79" s="367"/>
      <c r="AB79" s="368">
        <f t="shared" ca="1" si="25"/>
        <v>0</v>
      </c>
      <c r="AC79" s="365">
        <f ca="1">AB79+AC100</f>
        <v>9677.7861783957069</v>
      </c>
      <c r="AD79" s="365">
        <f t="shared" ref="AD79:AF79" ca="1" si="27">AC79+AD100</f>
        <v>19493.787709297612</v>
      </c>
      <c r="AE79" s="365">
        <f t="shared" ca="1" si="27"/>
        <v>29041.958228995201</v>
      </c>
      <c r="AF79" s="365">
        <f t="shared" ca="1" si="27"/>
        <v>38945.214862825895</v>
      </c>
      <c r="AG79" t="s">
        <v>462</v>
      </c>
    </row>
    <row r="80" spans="1:33" x14ac:dyDescent="0.3">
      <c r="B80" s="239"/>
      <c r="H80" s="228">
        <v>46016</v>
      </c>
      <c r="I80" s="238">
        <v>46381</v>
      </c>
      <c r="J80" s="229">
        <v>46746</v>
      </c>
      <c r="K80" s="229">
        <v>47112</v>
      </c>
      <c r="L80" s="229">
        <v>47477</v>
      </c>
      <c r="Q80" s="110" t="s">
        <v>163</v>
      </c>
      <c r="R80" s="43"/>
      <c r="V80" s="365">
        <f>Statements!G95</f>
        <v>-41729</v>
      </c>
      <c r="W80" s="365">
        <f>Statements!H95</f>
        <v>-21784</v>
      </c>
      <c r="X80" s="365">
        <f>Statements!I95</f>
        <v>-2499</v>
      </c>
      <c r="Y80" s="365">
        <f ca="1">Statements!J95</f>
        <v>26036.67325626835</v>
      </c>
      <c r="Z80" s="366">
        <f ca="1">Y80+L53+L55</f>
        <v>28501.84961226835</v>
      </c>
      <c r="AA80" s="367"/>
      <c r="AB80" s="368">
        <f t="shared" ca="1" si="25"/>
        <v>-2465.1763559999999</v>
      </c>
      <c r="AC80" s="365">
        <f ca="1">AB80+AC30</f>
        <v>1614.326897856668</v>
      </c>
      <c r="AD80" s="365">
        <f t="shared" ref="AD80:AF80" ca="1" si="28">AC80+AD30</f>
        <v>6247.202811846335</v>
      </c>
      <c r="AE80" s="365">
        <f t="shared" ca="1" si="28"/>
        <v>13644.721811324891</v>
      </c>
      <c r="AF80" s="365">
        <f t="shared" ca="1" si="28"/>
        <v>21465.225009145797</v>
      </c>
      <c r="AG80" t="s">
        <v>463</v>
      </c>
    </row>
    <row r="81" spans="2:32" x14ac:dyDescent="0.3">
      <c r="B81" s="239"/>
      <c r="H81" s="239"/>
      <c r="L81" s="240"/>
      <c r="Q81" s="110" t="s">
        <v>164</v>
      </c>
      <c r="R81" s="43"/>
      <c r="V81" s="365">
        <f>Statements!G96</f>
        <v>-42697</v>
      </c>
      <c r="W81" s="365">
        <f>Statements!H96</f>
        <v>-41659</v>
      </c>
      <c r="X81" s="365">
        <f>Statements!I96</f>
        <v>-32039</v>
      </c>
      <c r="Y81" s="365">
        <f>Statements!J96</f>
        <v>-32039</v>
      </c>
      <c r="Z81" s="366">
        <f>Y81</f>
        <v>-32039</v>
      </c>
      <c r="AA81" s="367"/>
      <c r="AB81" s="368">
        <f t="shared" si="25"/>
        <v>0</v>
      </c>
      <c r="AC81" s="365">
        <f>AB81</f>
        <v>0</v>
      </c>
      <c r="AD81" s="365">
        <f t="shared" ref="AD81:AF81" si="29">AC81</f>
        <v>0</v>
      </c>
      <c r="AE81" s="365">
        <f t="shared" si="29"/>
        <v>0</v>
      </c>
      <c r="AF81" s="365">
        <f t="shared" si="29"/>
        <v>0</v>
      </c>
    </row>
    <row r="82" spans="2:32" x14ac:dyDescent="0.3">
      <c r="B82" s="239" t="s">
        <v>76</v>
      </c>
      <c r="H82" s="249">
        <f ca="1">Y24+Y16+Y17+Y18+Y19</f>
        <v>70334.464301244792</v>
      </c>
      <c r="I82" s="221"/>
      <c r="L82" s="245">
        <f ca="1">AF24+AF17+AF16+AF18+AF19</f>
        <v>63693.737822212192</v>
      </c>
      <c r="Q82" s="110" t="s">
        <v>170</v>
      </c>
      <c r="R82" s="43"/>
      <c r="V82" s="365">
        <f>Statements!G97</f>
        <v>-95476</v>
      </c>
      <c r="W82" s="365">
        <f>Statements!H97</f>
        <v>-6460</v>
      </c>
      <c r="X82" s="365">
        <f>Statements!I97</f>
        <v>0</v>
      </c>
      <c r="Y82" s="365">
        <f>Statements!J97</f>
        <v>0</v>
      </c>
      <c r="Z82" s="366">
        <f>Y82</f>
        <v>0</v>
      </c>
      <c r="AA82" s="367"/>
      <c r="AB82" s="368">
        <f t="shared" si="25"/>
        <v>0</v>
      </c>
      <c r="AC82" s="365">
        <f>Statements!K97</f>
        <v>0</v>
      </c>
      <c r="AD82" s="365">
        <f>Statements!L97</f>
        <v>0</v>
      </c>
      <c r="AE82" s="365">
        <f>Statements!M97</f>
        <v>0</v>
      </c>
      <c r="AF82" s="365">
        <f>Statements!N97</f>
        <v>0</v>
      </c>
    </row>
    <row r="83" spans="2:32" x14ac:dyDescent="0.3">
      <c r="B83" s="239" t="s">
        <v>487</v>
      </c>
      <c r="H83" s="276">
        <f ca="1">L12</f>
        <v>8.7856105326013001</v>
      </c>
      <c r="L83" s="273">
        <f>L15</f>
        <v>10</v>
      </c>
      <c r="P83" s="231" t="s">
        <v>454</v>
      </c>
      <c r="Q83" s="267" t="s">
        <v>453</v>
      </c>
      <c r="R83" s="255"/>
      <c r="S83" s="256"/>
      <c r="T83" s="256"/>
      <c r="U83" s="256"/>
      <c r="V83" s="381">
        <v>0</v>
      </c>
      <c r="W83" s="381">
        <v>0</v>
      </c>
      <c r="X83" s="381">
        <v>0</v>
      </c>
      <c r="Y83" s="381">
        <v>0</v>
      </c>
      <c r="Z83" s="391">
        <v>0</v>
      </c>
      <c r="AA83" s="391">
        <f ca="1">F57</f>
        <v>121543.982853108</v>
      </c>
      <c r="AB83" s="383">
        <f t="shared" ref="AB83" ca="1" si="30">Y83-Z83+AA83</f>
        <v>121543.982853108</v>
      </c>
      <c r="AC83" s="381">
        <f ca="1">AB83</f>
        <v>121543.982853108</v>
      </c>
      <c r="AD83" s="381">
        <f t="shared" ref="AD83:AF83" ca="1" si="31">AC83</f>
        <v>121543.982853108</v>
      </c>
      <c r="AE83" s="381">
        <f t="shared" ca="1" si="31"/>
        <v>121543.982853108</v>
      </c>
      <c r="AF83" s="381">
        <f t="shared" ca="1" si="31"/>
        <v>121543.982853108</v>
      </c>
    </row>
    <row r="84" spans="2:32" x14ac:dyDescent="0.3">
      <c r="B84" s="239" t="s">
        <v>70</v>
      </c>
      <c r="H84" s="247">
        <f ca="1">L11</f>
        <v>617931.21036988636</v>
      </c>
      <c r="L84" s="274">
        <f ca="1">L83*L82</f>
        <v>636937.37822212186</v>
      </c>
      <c r="Q84" s="124" t="s">
        <v>165</v>
      </c>
      <c r="R84" s="43"/>
      <c r="V84" s="377">
        <f>Statements!G98</f>
        <v>-37116</v>
      </c>
      <c r="W84" s="377">
        <f>Statements!H98</f>
        <v>-62686</v>
      </c>
      <c r="X84" s="377">
        <f>Statements!I98</f>
        <v>-34025</v>
      </c>
      <c r="Y84" s="377">
        <f ca="1">Statements!J98</f>
        <v>2210.5536178750917</v>
      </c>
      <c r="Z84" s="377"/>
      <c r="AA84" s="377"/>
      <c r="AB84" s="380">
        <f ca="1">SUM(AB78:AB83)</f>
        <v>119078.806497108</v>
      </c>
      <c r="AC84" s="377">
        <f ca="1">SUM(AC78:AC83)</f>
        <v>132836.09592936037</v>
      </c>
      <c r="AD84" s="377">
        <f t="shared" ref="AD84:AF84" ca="1" si="32">SUM(AD78:AD83)</f>
        <v>147284.97337425195</v>
      </c>
      <c r="AE84" s="377">
        <f t="shared" ca="1" si="32"/>
        <v>164230.66289342809</v>
      </c>
      <c r="AF84" s="377">
        <f t="shared" ca="1" si="32"/>
        <v>181954.4227250797</v>
      </c>
    </row>
    <row r="85" spans="2:32" x14ac:dyDescent="0.3">
      <c r="B85" s="239" t="s">
        <v>488</v>
      </c>
      <c r="H85" s="277">
        <f ca="1">-F57</f>
        <v>-121543.982853108</v>
      </c>
      <c r="I85">
        <v>0</v>
      </c>
      <c r="J85">
        <v>0</v>
      </c>
      <c r="K85">
        <v>0</v>
      </c>
      <c r="L85" s="274">
        <f ca="1">L84-AF62-AF63-AF64-AF65-AF66-AF67+AF38+AF39</f>
        <v>356122.98353198642</v>
      </c>
      <c r="Q85" s="111" t="s">
        <v>166</v>
      </c>
      <c r="R85" s="43"/>
      <c r="V85" s="377">
        <f>Statements!G99</f>
        <v>498335</v>
      </c>
      <c r="W85" s="377">
        <f>Statements!H99</f>
        <v>464818</v>
      </c>
      <c r="X85" s="377">
        <f>Statements!I99</f>
        <v>496274</v>
      </c>
      <c r="Y85" s="377">
        <f ca="1">Statements!J99</f>
        <v>485501.934313089</v>
      </c>
      <c r="Z85" s="377"/>
      <c r="AA85" s="377"/>
      <c r="AB85" s="380">
        <f ca="1">AB75+AB84</f>
        <v>837049.13999324001</v>
      </c>
      <c r="AC85" s="377">
        <f ca="1">AC84+AC75</f>
        <v>789101.10443510558</v>
      </c>
      <c r="AD85" s="377">
        <f t="shared" ref="AD85:AF85" ca="1" si="33">AD84+AD75</f>
        <v>781651.23388866941</v>
      </c>
      <c r="AE85" s="377">
        <f t="shared" ca="1" si="33"/>
        <v>770725.40703917982</v>
      </c>
      <c r="AF85" s="377">
        <f t="shared" ca="1" si="33"/>
        <v>761346.65599292726</v>
      </c>
    </row>
    <row r="86" spans="2:32" x14ac:dyDescent="0.3">
      <c r="B86" s="239"/>
      <c r="H86" s="239"/>
      <c r="L86" s="240"/>
      <c r="Q86" s="43"/>
      <c r="R86" s="43"/>
      <c r="V86" s="362"/>
      <c r="W86" s="362"/>
      <c r="X86" s="362"/>
      <c r="Y86" s="362"/>
      <c r="Z86" s="367"/>
      <c r="AA86" s="367"/>
      <c r="AB86" s="367"/>
      <c r="AC86" s="362"/>
      <c r="AD86" s="362"/>
      <c r="AE86" s="362"/>
      <c r="AF86" s="362"/>
    </row>
    <row r="87" spans="2:32" x14ac:dyDescent="0.3">
      <c r="B87" s="257" t="s">
        <v>489</v>
      </c>
      <c r="C87" s="256"/>
      <c r="D87" s="256"/>
      <c r="E87" s="256"/>
      <c r="F87" s="256"/>
      <c r="G87" s="256"/>
      <c r="H87" s="278">
        <f ca="1">IRR(H85:L85)</f>
        <v>0.30832799672546862</v>
      </c>
      <c r="I87" s="256"/>
      <c r="J87" s="256"/>
      <c r="K87" s="256"/>
      <c r="L87" s="275"/>
      <c r="Q87" s="43"/>
      <c r="R87" s="151" t="s">
        <v>226</v>
      </c>
      <c r="V87" s="392" t="b">
        <f>IF(V85=V53,TRUE,V53-V85)</f>
        <v>1</v>
      </c>
      <c r="W87" s="392" t="b">
        <f>IF(W85=W53,TRUE,W53-W85)</f>
        <v>1</v>
      </c>
      <c r="X87" s="392" t="b">
        <f>IF(X85=X53,TRUE,X53-X85)</f>
        <v>1</v>
      </c>
      <c r="Y87" s="392" t="b">
        <f ca="1">IF(Y85=Y53,TRUE,Y53-Y85)</f>
        <v>1</v>
      </c>
      <c r="Z87" s="367"/>
      <c r="AA87" s="367"/>
      <c r="AB87" s="393" t="b">
        <f ca="1">IF(AB85=AB53,TRUE,AB53-AB85)</f>
        <v>1</v>
      </c>
      <c r="AC87" s="392" t="b">
        <f ca="1">IF(AC85=AC53,TRUE,AC53-AC85)</f>
        <v>1</v>
      </c>
      <c r="AD87" s="394">
        <f ca="1">IF(AD85=AD53,TRUE,AD53-AD85)</f>
        <v>3.4924596548080444E-9</v>
      </c>
      <c r="AE87" s="392">
        <f ca="1">IF(AE85=AE53,TRUE,AE53-AE85)</f>
        <v>-2.3317988961935043E-7</v>
      </c>
      <c r="AF87" s="394">
        <f ca="1">IF(AF85=AF53,TRUE,AF53-AF85)</f>
        <v>-5.2921357564628124E-5</v>
      </c>
    </row>
    <row r="90" spans="2:32" x14ac:dyDescent="0.3">
      <c r="B90" s="279" t="s">
        <v>490</v>
      </c>
      <c r="Q90" s="347" t="s">
        <v>270</v>
      </c>
      <c r="R90" s="348"/>
      <c r="S90" s="348"/>
      <c r="T90" s="232"/>
      <c r="U90" s="233"/>
      <c r="V90" s="345" t="s">
        <v>421</v>
      </c>
      <c r="W90" s="345"/>
      <c r="X90" s="345"/>
      <c r="Y90" s="346"/>
      <c r="Z90" s="345" t="s">
        <v>422</v>
      </c>
      <c r="AA90" s="345"/>
      <c r="AB90" s="345"/>
      <c r="AC90" s="343" t="s">
        <v>2</v>
      </c>
      <c r="AD90" s="344"/>
      <c r="AE90" s="344"/>
      <c r="AF90" s="344"/>
    </row>
    <row r="91" spans="2:32" x14ac:dyDescent="0.3">
      <c r="Q91" s="349"/>
      <c r="R91" s="350"/>
      <c r="S91" s="350"/>
      <c r="T91" s="234"/>
      <c r="U91" s="235"/>
      <c r="V91" s="228">
        <v>44920</v>
      </c>
      <c r="W91" s="228">
        <v>45285</v>
      </c>
      <c r="X91" s="228">
        <v>45651</v>
      </c>
      <c r="Y91" s="237">
        <v>46016</v>
      </c>
      <c r="Z91" s="228" t="s">
        <v>417</v>
      </c>
      <c r="AA91" s="228" t="s">
        <v>418</v>
      </c>
      <c r="AB91" s="228">
        <v>46016</v>
      </c>
      <c r="AC91" s="238">
        <v>46381</v>
      </c>
      <c r="AD91" s="229">
        <v>46746</v>
      </c>
      <c r="AE91" s="229">
        <v>47112</v>
      </c>
      <c r="AF91" s="229">
        <v>47477</v>
      </c>
    </row>
    <row r="92" spans="2:32" ht="14.4" customHeight="1" x14ac:dyDescent="0.3">
      <c r="B92" s="281"/>
      <c r="C92" s="282"/>
      <c r="D92" s="282"/>
      <c r="E92" s="283" t="s">
        <v>491</v>
      </c>
      <c r="F92" s="283"/>
      <c r="G92" s="283"/>
      <c r="H92" s="283"/>
      <c r="I92" s="283"/>
      <c r="J92" s="283"/>
      <c r="K92" s="283"/>
      <c r="L92" s="283"/>
      <c r="M92" s="284"/>
      <c r="AB92" s="251"/>
    </row>
    <row r="93" spans="2:32" x14ac:dyDescent="0.3">
      <c r="B93" s="285"/>
      <c r="C93" s="286"/>
      <c r="D93" s="291">
        <f ca="1">H87</f>
        <v>0.30832799672546862</v>
      </c>
      <c r="E93" s="280">
        <v>6</v>
      </c>
      <c r="F93" s="280">
        <f>E93+1</f>
        <v>7</v>
      </c>
      <c r="G93" s="280">
        <f t="shared" ref="G93:M93" si="34">F93+1</f>
        <v>8</v>
      </c>
      <c r="H93" s="280">
        <f t="shared" si="34"/>
        <v>9</v>
      </c>
      <c r="I93" s="303">
        <f t="shared" si="34"/>
        <v>10</v>
      </c>
      <c r="J93" s="280">
        <f t="shared" si="34"/>
        <v>11</v>
      </c>
      <c r="K93" s="280">
        <f t="shared" si="34"/>
        <v>12</v>
      </c>
      <c r="L93" s="280">
        <f t="shared" si="34"/>
        <v>13</v>
      </c>
      <c r="M93" s="309">
        <f t="shared" si="34"/>
        <v>14</v>
      </c>
      <c r="Q93" s="47" t="s">
        <v>122</v>
      </c>
      <c r="V93" s="406"/>
      <c r="W93" s="259"/>
      <c r="X93" s="259"/>
      <c r="Y93" s="259"/>
      <c r="Z93" s="259"/>
      <c r="AA93" s="259"/>
      <c r="AB93" s="260"/>
      <c r="AC93" s="367">
        <f ca="1">AC30</f>
        <v>4079.5032538566679</v>
      </c>
      <c r="AD93" s="367">
        <f t="shared" ref="AD93:AF93" ca="1" si="35">AD30</f>
        <v>4632.8759139896665</v>
      </c>
      <c r="AE93" s="367">
        <f t="shared" ca="1" si="35"/>
        <v>7397.518999478556</v>
      </c>
      <c r="AF93" s="367">
        <f t="shared" ca="1" si="35"/>
        <v>7820.5031978209081</v>
      </c>
    </row>
    <row r="94" spans="2:32" x14ac:dyDescent="0.3">
      <c r="B94" s="351" t="s">
        <v>492</v>
      </c>
      <c r="C94" s="287">
        <f t="shared" ref="C94:C102" si="36">$F$10*(1+D94)</f>
        <v>6.987000000000001</v>
      </c>
      <c r="D94" s="288">
        <f t="shared" ref="D94:D101" si="37">D95+5%</f>
        <v>0.70000000000000007</v>
      </c>
      <c r="E94" s="292">
        <f t="dataTable" ref="E94:M103" dt2D="1" dtr="1" r1="L15" r2="F11" ca="1"/>
        <v>-0.10540458999733715</v>
      </c>
      <c r="F94" s="293">
        <v>9.0479881704668141E-3</v>
      </c>
      <c r="G94" s="293">
        <v>9.4090534447976548E-2</v>
      </c>
      <c r="H94" s="293">
        <v>0.1629447276625382</v>
      </c>
      <c r="I94" s="306">
        <v>0.22136965333150682</v>
      </c>
      <c r="J94" s="293">
        <v>0.27244095247581979</v>
      </c>
      <c r="K94" s="293">
        <v>0.31801188951382509</v>
      </c>
      <c r="L94" s="293">
        <v>0.35929311892142413</v>
      </c>
      <c r="M94" s="294">
        <v>0.39712285777136946</v>
      </c>
      <c r="Q94" s="131" t="s">
        <v>271</v>
      </c>
      <c r="V94" s="406"/>
      <c r="W94" s="259"/>
      <c r="X94" s="259"/>
      <c r="Y94" s="259"/>
      <c r="Z94" s="259"/>
      <c r="AA94" s="259"/>
      <c r="AB94" s="260"/>
      <c r="AC94" s="362"/>
      <c r="AD94" s="362"/>
      <c r="AE94" s="362"/>
      <c r="AF94" s="362"/>
    </row>
    <row r="95" spans="2:32" x14ac:dyDescent="0.3">
      <c r="B95" s="351"/>
      <c r="C95" s="287">
        <f t="shared" si="36"/>
        <v>6.7815000000000003</v>
      </c>
      <c r="D95" s="288">
        <f t="shared" si="37"/>
        <v>0.65</v>
      </c>
      <c r="E95" s="295">
        <v>-9.0567237616068885E-2</v>
      </c>
      <c r="F95" s="310">
        <v>2.6212392537184437E-2</v>
      </c>
      <c r="G95" s="310">
        <v>0.11290918415121109</v>
      </c>
      <c r="H95" s="310">
        <v>0.18307271834972405</v>
      </c>
      <c r="I95" s="307">
        <v>0.24259338058681057</v>
      </c>
      <c r="J95" s="310">
        <v>0.29461358019955375</v>
      </c>
      <c r="K95" s="310">
        <v>0.34102552286163945</v>
      </c>
      <c r="L95" s="310">
        <v>0.38306471254278729</v>
      </c>
      <c r="M95" s="296">
        <v>0.4215862693127328</v>
      </c>
      <c r="Q95" s="47" t="s">
        <v>272</v>
      </c>
      <c r="V95" s="406"/>
      <c r="W95" s="259"/>
      <c r="X95" s="259"/>
      <c r="Y95" s="259"/>
      <c r="Z95" s="259"/>
      <c r="AA95" s="259"/>
      <c r="AB95" s="260"/>
      <c r="AC95" s="367">
        <f ca="1">AC16</f>
        <v>13914.684419788182</v>
      </c>
      <c r="AD95" s="367">
        <f t="shared" ref="AD95:AF95" ca="1" si="38">AD16</f>
        <v>14602.521047936578</v>
      </c>
      <c r="AE95" s="367">
        <f t="shared" ca="1" si="38"/>
        <v>15365.381207057684</v>
      </c>
      <c r="AF95" s="367">
        <f t="shared" ca="1" si="38"/>
        <v>16163.077366366026</v>
      </c>
    </row>
    <row r="96" spans="2:32" x14ac:dyDescent="0.3">
      <c r="B96" s="351"/>
      <c r="C96" s="287">
        <f t="shared" si="36"/>
        <v>6.5760000000000005</v>
      </c>
      <c r="D96" s="288">
        <f t="shared" si="37"/>
        <v>0.6</v>
      </c>
      <c r="E96" s="295">
        <v>-7.4263056575221809E-2</v>
      </c>
      <c r="F96" s="310">
        <v>4.504994765694792E-2</v>
      </c>
      <c r="G96" s="310">
        <v>0.13355064609194134</v>
      </c>
      <c r="H96" s="310">
        <v>0.20514333149113484</v>
      </c>
      <c r="I96" s="307">
        <v>0.26586072518116932</v>
      </c>
      <c r="J96" s="310">
        <v>0.31891772786685291</v>
      </c>
      <c r="K96" s="310">
        <v>0.36624887263240313</v>
      </c>
      <c r="L96" s="310">
        <v>0.40911669751437341</v>
      </c>
      <c r="M96" s="296">
        <v>0.44839472439545647</v>
      </c>
      <c r="Q96" s="265" t="s">
        <v>455</v>
      </c>
      <c r="R96" s="227"/>
      <c r="S96" s="227"/>
      <c r="T96" s="227"/>
      <c r="U96" s="227"/>
      <c r="V96" s="407"/>
      <c r="W96" s="261"/>
      <c r="X96" s="261"/>
      <c r="Y96" s="261"/>
      <c r="Z96" s="261"/>
      <c r="AA96" s="261"/>
      <c r="AB96" s="262"/>
      <c r="AC96" s="371">
        <f ca="1">AC17</f>
        <v>1561.5650402467022</v>
      </c>
      <c r="AD96" s="371">
        <f t="shared" ref="AD96:AF96" ca="1" si="39">AD17</f>
        <v>1561.5650402467022</v>
      </c>
      <c r="AE96" s="371">
        <f t="shared" ca="1" si="39"/>
        <v>1561.5650402467022</v>
      </c>
      <c r="AF96" s="371">
        <f t="shared" ca="1" si="39"/>
        <v>1561.5650402467022</v>
      </c>
    </row>
    <row r="97" spans="2:33" x14ac:dyDescent="0.3">
      <c r="B97" s="351"/>
      <c r="C97" s="287">
        <f t="shared" si="36"/>
        <v>6.3704999999999998</v>
      </c>
      <c r="D97" s="288">
        <f t="shared" si="37"/>
        <v>0.54999999999999993</v>
      </c>
      <c r="E97" s="295">
        <v>-5.6218120183707865E-2</v>
      </c>
      <c r="F97" s="310">
        <v>6.587231890248435E-2</v>
      </c>
      <c r="G97" s="292">
        <v>0.15635412651969505</v>
      </c>
      <c r="H97" s="293">
        <v>0.22951787936421342</v>
      </c>
      <c r="I97" s="306">
        <v>0.29155166113704256</v>
      </c>
      <c r="J97" s="293">
        <v>0.34574962708445778</v>
      </c>
      <c r="K97" s="294">
        <v>0.39409264204550221</v>
      </c>
      <c r="L97" s="310">
        <v>0.4378728627095958</v>
      </c>
      <c r="M97" s="296">
        <v>0.47798398661324137</v>
      </c>
      <c r="Q97" s="47" t="s">
        <v>456</v>
      </c>
      <c r="V97" s="406"/>
      <c r="W97" s="259"/>
      <c r="X97" s="259"/>
      <c r="Y97" s="259"/>
      <c r="Z97" s="259"/>
      <c r="AA97" s="259"/>
      <c r="AB97" s="260"/>
      <c r="AC97" s="367">
        <f ca="1">AC18</f>
        <v>15713.465087284998</v>
      </c>
      <c r="AD97" s="367">
        <f t="shared" ref="AD97:AF97" ca="1" si="40">AD18</f>
        <v>15713.465087284998</v>
      </c>
      <c r="AE97" s="367">
        <f t="shared" ca="1" si="40"/>
        <v>15713.465087284998</v>
      </c>
      <c r="AF97" s="367">
        <f t="shared" ca="1" si="40"/>
        <v>15713.465087284998</v>
      </c>
    </row>
    <row r="98" spans="2:33" x14ac:dyDescent="0.3">
      <c r="B98" s="351"/>
      <c r="C98" s="300">
        <f t="shared" si="36"/>
        <v>6.1650000000000009</v>
      </c>
      <c r="D98" s="301">
        <f t="shared" si="37"/>
        <v>0.49999999999999994</v>
      </c>
      <c r="E98" s="305">
        <v>-3.6078231247725245E-2</v>
      </c>
      <c r="F98" s="307">
        <v>8.9082428102656763E-2</v>
      </c>
      <c r="G98" s="305">
        <v>0.18175812014180726</v>
      </c>
      <c r="H98" s="307">
        <v>0.25666341479766452</v>
      </c>
      <c r="I98" s="308">
        <v>0.32015735228432374</v>
      </c>
      <c r="J98" s="307">
        <v>0.37562144787994356</v>
      </c>
      <c r="K98" s="302">
        <v>0.42508770055380385</v>
      </c>
      <c r="L98" s="307">
        <v>0.46988098671992762</v>
      </c>
      <c r="M98" s="302">
        <v>0.51091730856343798</v>
      </c>
      <c r="Q98" s="47" t="s">
        <v>457</v>
      </c>
      <c r="V98" s="406"/>
      <c r="W98" s="259"/>
      <c r="X98" s="259"/>
      <c r="Y98" s="259"/>
      <c r="Z98" s="259"/>
      <c r="AA98" s="259"/>
      <c r="AB98" s="260"/>
      <c r="AC98" s="367">
        <f ca="1">AC19</f>
        <v>331.50508935560157</v>
      </c>
      <c r="AD98" s="367">
        <f t="shared" ref="AD98:AF98" ca="1" si="41">AD19</f>
        <v>331.50508935560157</v>
      </c>
      <c r="AE98" s="367">
        <f t="shared" ca="1" si="41"/>
        <v>331.50508935560157</v>
      </c>
      <c r="AF98" s="367">
        <f t="shared" ca="1" si="41"/>
        <v>331.50508935560157</v>
      </c>
    </row>
    <row r="99" spans="2:33" x14ac:dyDescent="0.3">
      <c r="B99" s="351"/>
      <c r="C99" s="287">
        <f t="shared" si="36"/>
        <v>5.9595000000000002</v>
      </c>
      <c r="D99" s="288">
        <f t="shared" si="37"/>
        <v>0.44999999999999996</v>
      </c>
      <c r="E99" s="295">
        <v>-1.3375131605268931E-2</v>
      </c>
      <c r="F99" s="310">
        <v>0.11521285392320668</v>
      </c>
      <c r="G99" s="297">
        <v>0.21034218348702161</v>
      </c>
      <c r="H99" s="298">
        <v>0.28719721509906981</v>
      </c>
      <c r="I99" s="304">
        <v>0.35232692596452986</v>
      </c>
      <c r="J99" s="298">
        <v>0.40921006806401339</v>
      </c>
      <c r="K99" s="299">
        <v>0.45993563017515049</v>
      </c>
      <c r="L99" s="310">
        <v>0.50586499133784768</v>
      </c>
      <c r="M99" s="296">
        <v>0.54793905629659312</v>
      </c>
      <c r="Q99" s="266" t="s">
        <v>458</v>
      </c>
      <c r="R99" s="241"/>
      <c r="S99" s="241"/>
      <c r="T99" s="241"/>
      <c r="U99" s="241"/>
      <c r="V99" s="408"/>
      <c r="W99" s="263"/>
      <c r="X99" s="263"/>
      <c r="Y99" s="263"/>
      <c r="Z99" s="263"/>
      <c r="AA99" s="263"/>
      <c r="AB99" s="264"/>
      <c r="AC99" s="375">
        <f ca="1">-AC148</f>
        <v>3421.6766416821797</v>
      </c>
      <c r="AD99" s="375">
        <f t="shared" ref="AD99:AF99" ca="1" si="42">-AD148</f>
        <v>3976.5431241171277</v>
      </c>
      <c r="AE99" s="375">
        <f t="shared" ca="1" si="42"/>
        <v>4621.38795505504</v>
      </c>
      <c r="AF99" s="375">
        <f t="shared" ca="1" si="42"/>
        <v>5370.802218036938</v>
      </c>
    </row>
    <row r="100" spans="2:33" x14ac:dyDescent="0.3">
      <c r="B100" s="351"/>
      <c r="C100" s="287">
        <f t="shared" si="36"/>
        <v>5.7540000000000004</v>
      </c>
      <c r="D100" s="288">
        <f t="shared" si="37"/>
        <v>0.39999999999999997</v>
      </c>
      <c r="E100" s="295">
        <v>1.2526797005202095E-2</v>
      </c>
      <c r="F100" s="310">
        <v>0.14498639685751957</v>
      </c>
      <c r="G100" s="310">
        <v>0.24289281735593393</v>
      </c>
      <c r="H100" s="310">
        <v>0.32195693802282177</v>
      </c>
      <c r="I100" s="307">
        <v>0.38894123927349944</v>
      </c>
      <c r="J100" s="310">
        <v>0.44743398611564156</v>
      </c>
      <c r="K100" s="310">
        <v>0.49958844026845539</v>
      </c>
      <c r="L100" s="310">
        <v>0.54680719050311488</v>
      </c>
      <c r="M100" s="296">
        <v>0.59005927772436562</v>
      </c>
      <c r="Q100" s="47" t="s">
        <v>281</v>
      </c>
      <c r="V100" s="406"/>
      <c r="W100" s="259"/>
      <c r="X100" s="259"/>
      <c r="Y100" s="259"/>
      <c r="Z100" s="259"/>
      <c r="AA100" s="259"/>
      <c r="AB100" s="260"/>
      <c r="AC100" s="402">
        <f ca="1">Statements!K108</f>
        <v>9677.7861783957069</v>
      </c>
      <c r="AD100" s="402">
        <f ca="1">Statements!L108</f>
        <v>9816.0015309019054</v>
      </c>
      <c r="AE100" s="402">
        <f ca="1">Statements!M108</f>
        <v>9548.1705196975872</v>
      </c>
      <c r="AF100" s="402">
        <f ca="1">Statements!N108</f>
        <v>9903.2566338306951</v>
      </c>
    </row>
    <row r="101" spans="2:33" x14ac:dyDescent="0.3">
      <c r="B101" s="351"/>
      <c r="C101" s="287">
        <f t="shared" si="36"/>
        <v>5.5485000000000007</v>
      </c>
      <c r="D101" s="288">
        <f t="shared" si="37"/>
        <v>0.35</v>
      </c>
      <c r="E101" s="295">
        <v>4.2518415688349132E-2</v>
      </c>
      <c r="F101" s="310">
        <v>0.17941593369762843</v>
      </c>
      <c r="G101" s="310">
        <v>0.28051208428330465</v>
      </c>
      <c r="H101" s="310">
        <v>0.3621162824319224</v>
      </c>
      <c r="I101" s="307">
        <v>0.43123449012956483</v>
      </c>
      <c r="J101" s="310">
        <v>0.49158011867470197</v>
      </c>
      <c r="K101" s="310">
        <v>0.54537998332456539</v>
      </c>
      <c r="L101" s="310">
        <v>0.59408388318399807</v>
      </c>
      <c r="M101" s="296">
        <v>0.63869311874180146</v>
      </c>
      <c r="Q101" s="47" t="s">
        <v>285</v>
      </c>
      <c r="V101" s="406"/>
      <c r="W101" s="259"/>
      <c r="X101" s="259"/>
      <c r="Y101" s="259"/>
      <c r="Z101" s="259"/>
      <c r="AA101" s="259"/>
      <c r="AB101" s="260"/>
      <c r="AC101" s="402">
        <f ca="1">AC26</f>
        <v>31630.399738023105</v>
      </c>
      <c r="AD101" s="402">
        <f t="shared" ref="AD101:AF101" ca="1" si="43">AD26</f>
        <v>26970.465083885814</v>
      </c>
      <c r="AE101" s="402">
        <f t="shared" ca="1" si="43"/>
        <v>22975.305740496966</v>
      </c>
      <c r="AF101" s="402">
        <f t="shared" ca="1" si="43"/>
        <v>19355.877674336014</v>
      </c>
    </row>
    <row r="102" spans="2:33" x14ac:dyDescent="0.3">
      <c r="B102" s="351"/>
      <c r="C102" s="287">
        <f t="shared" si="36"/>
        <v>5.3430000000000009</v>
      </c>
      <c r="D102" s="288">
        <f>D103+5%</f>
        <v>0.3</v>
      </c>
      <c r="E102" s="295">
        <v>7.7898805494324375E-2</v>
      </c>
      <c r="F102" s="310">
        <v>0.21997821871162659</v>
      </c>
      <c r="G102" s="310">
        <v>0.32480665512101181</v>
      </c>
      <c r="H102" s="310">
        <v>0.40938628932971866</v>
      </c>
      <c r="I102" s="307">
        <v>0.48100587191744149</v>
      </c>
      <c r="J102" s="310">
        <v>0.54352447977815088</v>
      </c>
      <c r="K102" s="310">
        <v>0.59925467041796043</v>
      </c>
      <c r="L102" s="310">
        <v>0.6497013374368763</v>
      </c>
      <c r="M102" s="296">
        <v>0.6959034602404377</v>
      </c>
      <c r="Q102" s="131" t="s">
        <v>282</v>
      </c>
      <c r="V102" s="406"/>
      <c r="W102" s="259"/>
      <c r="X102" s="259"/>
      <c r="Y102" s="259"/>
      <c r="Z102" s="259"/>
      <c r="AA102" s="259"/>
      <c r="AB102" s="260"/>
      <c r="AC102" s="362"/>
      <c r="AD102" s="362"/>
      <c r="AE102" s="362"/>
      <c r="AF102" s="362"/>
    </row>
    <row r="103" spans="2:33" x14ac:dyDescent="0.3">
      <c r="B103" s="352"/>
      <c r="C103" s="289">
        <f>$F$10*(1+D103)</f>
        <v>5.1375000000000002</v>
      </c>
      <c r="D103" s="290">
        <v>0.25</v>
      </c>
      <c r="E103" s="297">
        <v>0.12066025925997614</v>
      </c>
      <c r="F103" s="298">
        <v>0.26893764199867398</v>
      </c>
      <c r="G103" s="298">
        <v>0.37823995364683061</v>
      </c>
      <c r="H103" s="298">
        <v>0.46639030562756933</v>
      </c>
      <c r="I103" s="304">
        <v>0.54101381781173719</v>
      </c>
      <c r="J103" s="298">
        <v>0.60614323138513782</v>
      </c>
      <c r="K103" s="298">
        <v>0.66419348766397679</v>
      </c>
      <c r="L103" s="298">
        <v>0.71673534350334034</v>
      </c>
      <c r="M103" s="299">
        <v>0.76485286145901776</v>
      </c>
      <c r="Q103" s="72" t="s">
        <v>283</v>
      </c>
      <c r="V103" s="406"/>
      <c r="W103" s="259"/>
      <c r="X103" s="259"/>
      <c r="Y103" s="259"/>
      <c r="Z103" s="259"/>
      <c r="AA103" s="259"/>
      <c r="AB103" s="260"/>
      <c r="AC103" s="367">
        <f ca="1">AB40-AC40</f>
        <v>-517.03395763348817</v>
      </c>
      <c r="AD103" s="367">
        <f t="shared" ref="AD103:AF103" ca="1" si="44">AC40-AD40</f>
        <v>-998.46364193911722</v>
      </c>
      <c r="AE103" s="367">
        <f t="shared" ca="1" si="44"/>
        <v>-1115.0696796574557</v>
      </c>
      <c r="AF103" s="367">
        <f t="shared" ca="1" si="44"/>
        <v>-1328.4447967300839</v>
      </c>
    </row>
    <row r="104" spans="2:33" x14ac:dyDescent="0.3">
      <c r="Q104" s="72" t="s">
        <v>136</v>
      </c>
      <c r="V104" s="406"/>
      <c r="W104" s="259"/>
      <c r="X104" s="259"/>
      <c r="Y104" s="259"/>
      <c r="Z104" s="259"/>
      <c r="AA104" s="259"/>
      <c r="AB104" s="260"/>
      <c r="AC104" s="367">
        <f ca="1">AB41-AC41</f>
        <v>-61.943574715807245</v>
      </c>
      <c r="AD104" s="367">
        <f t="shared" ref="AD104:AF104" ca="1" si="45">AC41-AD41</f>
        <v>-117.237384452985</v>
      </c>
      <c r="AE104" s="367">
        <f t="shared" ca="1" si="45"/>
        <v>-114.99967557351465</v>
      </c>
      <c r="AF104" s="367">
        <f t="shared" ca="1" si="45"/>
        <v>-151.32143281008621</v>
      </c>
    </row>
    <row r="105" spans="2:33" x14ac:dyDescent="0.3">
      <c r="B105" s="279" t="s">
        <v>493</v>
      </c>
      <c r="Q105" s="110" t="s">
        <v>138</v>
      </c>
      <c r="V105" s="406"/>
      <c r="W105" s="259"/>
      <c r="X105" s="259"/>
      <c r="Y105" s="259"/>
      <c r="Z105" s="259"/>
      <c r="AA105" s="259"/>
      <c r="AB105" s="260"/>
      <c r="AC105" s="367">
        <f ca="1">AB43-AC43</f>
        <v>-60.362663479372713</v>
      </c>
      <c r="AD105" s="367">
        <f t="shared" ref="AD105:AF105" ca="1" si="46">AC43-AD43</f>
        <v>-171.06909897223159</v>
      </c>
      <c r="AE105" s="367">
        <f t="shared" ca="1" si="46"/>
        <v>-801.28353039998001</v>
      </c>
      <c r="AF105" s="367">
        <f t="shared" ca="1" si="46"/>
        <v>-547.53177022038108</v>
      </c>
    </row>
    <row r="106" spans="2:33" x14ac:dyDescent="0.3">
      <c r="Q106" s="110" t="s">
        <v>150</v>
      </c>
      <c r="V106" s="406"/>
      <c r="W106" s="259"/>
      <c r="X106" s="259"/>
      <c r="Y106" s="259"/>
      <c r="Z106" s="259"/>
      <c r="AA106" s="259"/>
      <c r="AB106" s="260"/>
      <c r="AC106" s="367">
        <f ca="1">AC59-AB59</f>
        <v>708.61038391265538</v>
      </c>
      <c r="AD106" s="367">
        <f t="shared" ref="AD106:AF106" ca="1" si="47">AD59-AC59</f>
        <v>1341.1500448156257</v>
      </c>
      <c r="AE106" s="367">
        <f t="shared" ca="1" si="47"/>
        <v>1315.5515262373774</v>
      </c>
      <c r="AF106" s="367">
        <f t="shared" ca="1" si="47"/>
        <v>1731.0582911903621</v>
      </c>
    </row>
    <row r="107" spans="2:33" x14ac:dyDescent="0.3">
      <c r="B107" s="281"/>
      <c r="C107" s="282"/>
      <c r="D107" s="282"/>
      <c r="E107" s="283" t="s">
        <v>494</v>
      </c>
      <c r="F107" s="283"/>
      <c r="G107" s="283"/>
      <c r="H107" s="283"/>
      <c r="I107" s="283"/>
      <c r="J107" s="283"/>
      <c r="K107" s="283"/>
      <c r="L107" s="283"/>
      <c r="M107" s="284"/>
      <c r="Q107" s="110" t="s">
        <v>151</v>
      </c>
      <c r="V107" s="406"/>
      <c r="W107" s="259"/>
      <c r="X107" s="259"/>
      <c r="Y107" s="259"/>
      <c r="Z107" s="259"/>
      <c r="AA107" s="259"/>
      <c r="AB107" s="260"/>
      <c r="AC107" s="367">
        <f ca="1">AC60-AB60</f>
        <v>2138.4783899253962</v>
      </c>
      <c r="AD107" s="367">
        <f t="shared" ref="AD107:AF107" ca="1" si="48">AD60-AC60</f>
        <v>1814.7562833534685</v>
      </c>
      <c r="AE107" s="367">
        <f t="shared" ca="1" si="48"/>
        <v>2811.9103637663866</v>
      </c>
      <c r="AF107" s="367">
        <f t="shared" ca="1" si="48"/>
        <v>3370.8520939610607</v>
      </c>
    </row>
    <row r="108" spans="2:33" x14ac:dyDescent="0.3">
      <c r="B108" s="285"/>
      <c r="C108" s="286"/>
      <c r="D108" s="291">
        <f ca="1">H87</f>
        <v>0.30832799672546862</v>
      </c>
      <c r="E108" s="280">
        <v>0</v>
      </c>
      <c r="F108" s="280">
        <f>E108+1</f>
        <v>1</v>
      </c>
      <c r="G108" s="280">
        <f t="shared" ref="G108:M108" si="49">F108+1</f>
        <v>2</v>
      </c>
      <c r="H108" s="303">
        <f t="shared" si="49"/>
        <v>3</v>
      </c>
      <c r="I108" s="280">
        <f t="shared" si="49"/>
        <v>4</v>
      </c>
      <c r="J108" s="280">
        <f t="shared" si="49"/>
        <v>5</v>
      </c>
      <c r="K108" s="280">
        <f t="shared" si="49"/>
        <v>6</v>
      </c>
      <c r="L108" s="280">
        <f t="shared" si="49"/>
        <v>7</v>
      </c>
      <c r="M108" s="309">
        <f t="shared" si="49"/>
        <v>8</v>
      </c>
      <c r="Q108" s="110" t="s">
        <v>158</v>
      </c>
      <c r="V108" s="406"/>
      <c r="W108" s="259"/>
      <c r="X108" s="259"/>
      <c r="Y108" s="259"/>
      <c r="Z108" s="259"/>
      <c r="AA108" s="259"/>
      <c r="AB108" s="260"/>
      <c r="AC108" s="367">
        <f ca="1">AC73-AB73</f>
        <v>-86.820469206904818</v>
      </c>
      <c r="AD108" s="367">
        <f t="shared" ref="AD108:AF108" ca="1" si="50">AD73-AC73</f>
        <v>733.25557761170785</v>
      </c>
      <c r="AE108" s="367">
        <f t="shared" ca="1" si="50"/>
        <v>1915.0755909553918</v>
      </c>
      <c r="AF108" s="367">
        <f t="shared" ca="1" si="50"/>
        <v>1366.8976913953084</v>
      </c>
    </row>
    <row r="109" spans="2:33" x14ac:dyDescent="0.3">
      <c r="B109" s="351" t="s">
        <v>492</v>
      </c>
      <c r="C109" s="287">
        <f t="shared" ref="C109:C117" si="51">$F$10*(1+D109)</f>
        <v>6.987000000000001</v>
      </c>
      <c r="D109" s="288">
        <f t="shared" ref="D109:D116" si="52">D110+5%</f>
        <v>0.70000000000000007</v>
      </c>
      <c r="E109" s="292">
        <f t="dataTable" ref="E109:M118" dt2D="1" dtr="1" r1="F13" r2="F11" ca="1"/>
        <v>0.13672520264647847</v>
      </c>
      <c r="F109" s="293">
        <v>0.15404806415672345</v>
      </c>
      <c r="G109" s="293">
        <v>0.17884180120366322</v>
      </c>
      <c r="H109" s="306">
        <v>0.22136965325894509</v>
      </c>
      <c r="I109" s="293">
        <v>0.31287137759610539</v>
      </c>
      <c r="J109" s="293">
        <v>0.71443027178450635</v>
      </c>
      <c r="K109" s="293" t="e">
        <v>#NUM!</v>
      </c>
      <c r="L109" s="293" t="e">
        <v>#NUM!</v>
      </c>
      <c r="M109" s="294">
        <v>-0.19289426876245852</v>
      </c>
      <c r="Q109" s="131" t="s">
        <v>284</v>
      </c>
      <c r="V109" s="406"/>
      <c r="W109" s="259"/>
      <c r="X109" s="259"/>
      <c r="Y109" s="259"/>
      <c r="Z109" s="259"/>
      <c r="AA109" s="259"/>
      <c r="AB109" s="260"/>
      <c r="AC109" s="403">
        <f ca="1">SUM(AC93:AC108)</f>
        <v>82451.513557435595</v>
      </c>
      <c r="AD109" s="404">
        <f t="shared" ref="AD109:AF109" ca="1" si="53">SUM(AD93:AD108)</f>
        <v>80207.333698134869</v>
      </c>
      <c r="AE109" s="404">
        <f t="shared" ca="1" si="53"/>
        <v>81525.484234001342</v>
      </c>
      <c r="AF109" s="404">
        <f t="shared" ca="1" si="53"/>
        <v>80661.562384064076</v>
      </c>
    </row>
    <row r="110" spans="2:33" x14ac:dyDescent="0.3">
      <c r="B110" s="351"/>
      <c r="C110" s="287">
        <f t="shared" si="51"/>
        <v>6.7815000000000003</v>
      </c>
      <c r="D110" s="288">
        <f t="shared" si="52"/>
        <v>0.65</v>
      </c>
      <c r="E110" s="295">
        <v>0.14503289577446554</v>
      </c>
      <c r="F110" s="310">
        <v>0.16450961100781814</v>
      </c>
      <c r="G110" s="310">
        <v>0.19289111044134066</v>
      </c>
      <c r="H110" s="307">
        <v>0.24259338051289436</v>
      </c>
      <c r="I110" s="310">
        <v>0.35485388883043001</v>
      </c>
      <c r="J110" s="310">
        <v>1.0532925109783577</v>
      </c>
      <c r="K110" s="310" t="e">
        <v>#NUM!</v>
      </c>
      <c r="L110" s="310" t="e">
        <v>#NUM!</v>
      </c>
      <c r="M110" s="296">
        <v>-0.20304878018808681</v>
      </c>
      <c r="Q110" s="47"/>
      <c r="V110" s="406"/>
      <c r="W110" s="259"/>
      <c r="X110" s="259"/>
      <c r="Y110" s="259"/>
      <c r="Z110" s="259"/>
      <c r="AA110" s="259"/>
      <c r="AB110" s="260"/>
      <c r="AC110" s="362"/>
      <c r="AD110" s="362"/>
      <c r="AE110" s="362"/>
      <c r="AF110" s="362"/>
    </row>
    <row r="111" spans="2:33" x14ac:dyDescent="0.3">
      <c r="B111" s="351"/>
      <c r="C111" s="287">
        <f t="shared" si="51"/>
        <v>6.5760000000000005</v>
      </c>
      <c r="D111" s="288">
        <f t="shared" si="52"/>
        <v>0.6</v>
      </c>
      <c r="E111" s="295">
        <v>0.1536663643668732</v>
      </c>
      <c r="F111" s="310">
        <v>0.17548213997304818</v>
      </c>
      <c r="G111" s="310">
        <v>0.20785076735980978</v>
      </c>
      <c r="H111" s="307">
        <v>0.2658607251057743</v>
      </c>
      <c r="I111" s="310">
        <v>0.40472518836403193</v>
      </c>
      <c r="J111" s="310" t="e">
        <v>#NUM!</v>
      </c>
      <c r="K111" s="310" t="e">
        <v>#NUM!</v>
      </c>
      <c r="L111" s="310" t="e">
        <v>#NUM!</v>
      </c>
      <c r="M111" s="296">
        <v>-0.21249207062010644</v>
      </c>
      <c r="Q111" s="47" t="s">
        <v>484</v>
      </c>
      <c r="V111" s="406"/>
      <c r="W111" s="259"/>
      <c r="X111" s="259"/>
      <c r="Y111" s="259"/>
      <c r="Z111" s="259"/>
      <c r="AA111" s="259"/>
      <c r="AB111" s="260"/>
      <c r="AC111" s="367">
        <f ca="1">AC11*-0.03</f>
        <v>-13928.227193201265</v>
      </c>
      <c r="AD111" s="367">
        <f t="shared" ref="AD111:AF111" ca="1" si="54">AD11*-0.03</f>
        <v>-14482.771112915858</v>
      </c>
      <c r="AE111" s="367">
        <f t="shared" ca="1" si="54"/>
        <v>-15102.077700495985</v>
      </c>
      <c r="AF111" s="367">
        <f t="shared" ca="1" si="54"/>
        <v>-15839.892232502829</v>
      </c>
      <c r="AG111" t="s">
        <v>459</v>
      </c>
    </row>
    <row r="112" spans="2:33" x14ac:dyDescent="0.3">
      <c r="B112" s="351"/>
      <c r="C112" s="287">
        <f t="shared" si="51"/>
        <v>6.3704999999999998</v>
      </c>
      <c r="D112" s="288">
        <f t="shared" si="52"/>
        <v>0.54999999999999993</v>
      </c>
      <c r="E112" s="295">
        <v>0.16264903337019376</v>
      </c>
      <c r="F112" s="310">
        <v>0.18701182771552038</v>
      </c>
      <c r="G112" s="292">
        <v>0.22383148104450257</v>
      </c>
      <c r="H112" s="306">
        <v>0.29155166106002062</v>
      </c>
      <c r="I112" s="294">
        <v>0.46560533530632919</v>
      </c>
      <c r="J112" s="310" t="e">
        <v>#NUM!</v>
      </c>
      <c r="K112" s="310" t="e">
        <v>#NUM!</v>
      </c>
      <c r="L112" s="310" t="e">
        <v>#NUM!</v>
      </c>
      <c r="M112" s="296">
        <v>-0.22130542271043363</v>
      </c>
      <c r="Q112" s="47" t="s">
        <v>461</v>
      </c>
      <c r="V112" s="406"/>
      <c r="W112" s="259"/>
      <c r="X112" s="259"/>
      <c r="Y112" s="259"/>
      <c r="Z112" s="259"/>
      <c r="AA112" s="259"/>
      <c r="AB112" s="260"/>
      <c r="AC112" s="367">
        <f ca="1">-Schedule!K56</f>
        <v>-636.01642753455235</v>
      </c>
      <c r="AD112" s="367">
        <f ca="1">-Schedule!L56</f>
        <v>-4329.7098259770355</v>
      </c>
      <c r="AE112" s="367">
        <f ca="1">-Schedule!M56</f>
        <v>-917.49964655542135</v>
      </c>
      <c r="AF112" s="367">
        <f ca="1">-Schedule!N56</f>
        <v>-2904.2432922995067</v>
      </c>
    </row>
    <row r="113" spans="2:32" x14ac:dyDescent="0.3">
      <c r="B113" s="351"/>
      <c r="C113" s="300">
        <f t="shared" si="51"/>
        <v>6.1650000000000009</v>
      </c>
      <c r="D113" s="301">
        <f t="shared" si="52"/>
        <v>0.49999999999999994</v>
      </c>
      <c r="E113" s="305">
        <v>0.17200683782407378</v>
      </c>
      <c r="F113" s="307">
        <v>0.19915112384843581</v>
      </c>
      <c r="G113" s="305">
        <v>0.2409645006601846</v>
      </c>
      <c r="H113" s="308">
        <v>0.32015735220549635</v>
      </c>
      <c r="I113" s="302">
        <v>0.54278126673351834</v>
      </c>
      <c r="J113" s="307" t="e">
        <v>#NUM!</v>
      </c>
      <c r="K113" s="307" t="e">
        <v>#NUM!</v>
      </c>
      <c r="L113" s="307" t="e">
        <v>#NUM!</v>
      </c>
      <c r="M113" s="302">
        <v>-0.22955743268003059</v>
      </c>
      <c r="Q113" s="131" t="s">
        <v>288</v>
      </c>
      <c r="V113" s="406"/>
      <c r="W113" s="259"/>
      <c r="X113" s="259"/>
      <c r="Y113" s="259"/>
      <c r="Z113" s="259"/>
      <c r="AA113" s="259"/>
      <c r="AB113" s="260"/>
      <c r="AC113" s="403">
        <f ca="1">SUM(AC111:AC112)</f>
        <v>-14564.243620735817</v>
      </c>
      <c r="AD113" s="404">
        <f t="shared" ref="AD113:AF113" ca="1" si="55">SUM(AD111:AD112)</f>
        <v>-18812.480938892892</v>
      </c>
      <c r="AE113" s="404">
        <f t="shared" ca="1" si="55"/>
        <v>-16019.577347051407</v>
      </c>
      <c r="AF113" s="404">
        <f t="shared" ca="1" si="55"/>
        <v>-18744.135524802336</v>
      </c>
    </row>
    <row r="114" spans="2:32" x14ac:dyDescent="0.3">
      <c r="B114" s="351"/>
      <c r="C114" s="287">
        <f t="shared" si="51"/>
        <v>5.9595000000000002</v>
      </c>
      <c r="D114" s="288">
        <f t="shared" si="52"/>
        <v>0.44999999999999996</v>
      </c>
      <c r="E114" s="295">
        <v>0.18176858660994655</v>
      </c>
      <c r="F114" s="310">
        <v>0.21195991367213285</v>
      </c>
      <c r="G114" s="297">
        <v>0.25940690017512447</v>
      </c>
      <c r="H114" s="304">
        <v>0.35232692588368009</v>
      </c>
      <c r="I114" s="299">
        <v>0.64622005350242517</v>
      </c>
      <c r="J114" s="310" t="e">
        <v>#NUM!</v>
      </c>
      <c r="K114" s="310" t="e">
        <v>#NUM!</v>
      </c>
      <c r="L114" s="310" t="e">
        <v>#NUM!</v>
      </c>
      <c r="M114" s="296">
        <v>-0.23730647729209253</v>
      </c>
      <c r="Q114" s="47"/>
      <c r="V114" s="406"/>
      <c r="W114" s="259"/>
      <c r="X114" s="259"/>
      <c r="Y114" s="259"/>
      <c r="Z114" s="259"/>
      <c r="AA114" s="259"/>
      <c r="AB114" s="260"/>
      <c r="AC114" s="362"/>
      <c r="AD114" s="362"/>
      <c r="AE114" s="362"/>
      <c r="AF114" s="362"/>
    </row>
    <row r="115" spans="2:32" x14ac:dyDescent="0.3">
      <c r="B115" s="351"/>
      <c r="C115" s="287">
        <f t="shared" si="51"/>
        <v>5.7540000000000004</v>
      </c>
      <c r="D115" s="288">
        <f t="shared" si="52"/>
        <v>0.39999999999999997</v>
      </c>
      <c r="E115" s="295">
        <v>0.19196639347071542</v>
      </c>
      <c r="F115" s="310">
        <v>0.2255069592809209</v>
      </c>
      <c r="G115" s="310">
        <v>0.27934865117216079</v>
      </c>
      <c r="H115" s="307">
        <v>0.38894123919035573</v>
      </c>
      <c r="I115" s="310">
        <v>0.79807469860687585</v>
      </c>
      <c r="J115" s="310" t="e">
        <v>#NUM!</v>
      </c>
      <c r="K115" s="310" t="e">
        <v>#NUM!</v>
      </c>
      <c r="L115" s="310" t="e">
        <v>#NUM!</v>
      </c>
      <c r="M115" s="296">
        <v>-0.24460261442657982</v>
      </c>
      <c r="Q115" s="47" t="s">
        <v>311</v>
      </c>
      <c r="V115" s="406"/>
      <c r="W115" s="259"/>
      <c r="X115" s="259"/>
      <c r="Y115" s="259"/>
      <c r="Z115" s="259"/>
      <c r="AA115" s="259"/>
      <c r="AB115" s="260"/>
      <c r="AC115" s="367">
        <f ca="1">AC157-AC170</f>
        <v>0</v>
      </c>
      <c r="AD115" s="367">
        <f t="shared" ref="AD115:AF115" ca="1" si="56">AD157-AD170</f>
        <v>21840.733588488503</v>
      </c>
      <c r="AE115" s="367">
        <f t="shared" ca="1" si="56"/>
        <v>13069.744806612231</v>
      </c>
      <c r="AF115" s="367">
        <f t="shared" ca="1" si="56"/>
        <v>12663.065464151892</v>
      </c>
    </row>
    <row r="116" spans="2:32" x14ac:dyDescent="0.3">
      <c r="B116" s="351"/>
      <c r="C116" s="287">
        <f t="shared" si="51"/>
        <v>5.5485000000000007</v>
      </c>
      <c r="D116" s="288">
        <f t="shared" si="52"/>
        <v>0.35</v>
      </c>
      <c r="E116" s="295">
        <v>0.2026361908022245</v>
      </c>
      <c r="F116" s="310">
        <v>0.23987170217734999</v>
      </c>
      <c r="G116" s="310">
        <v>0.30102225377131653</v>
      </c>
      <c r="H116" s="307">
        <v>0.43123449004378034</v>
      </c>
      <c r="I116" s="310">
        <v>1.0645614202897962</v>
      </c>
      <c r="J116" s="310" t="e">
        <v>#NUM!</v>
      </c>
      <c r="K116" s="310" t="e">
        <v>#NUM!</v>
      </c>
      <c r="L116" s="310" t="e">
        <v>#NUM!</v>
      </c>
      <c r="M116" s="296">
        <v>-0.25148906555345685</v>
      </c>
      <c r="Q116" s="47" t="s">
        <v>410</v>
      </c>
      <c r="V116" s="406"/>
      <c r="W116" s="259"/>
      <c r="X116" s="259"/>
      <c r="Y116" s="259"/>
      <c r="Z116" s="259"/>
      <c r="AA116" s="259"/>
      <c r="AB116" s="260"/>
      <c r="AC116" s="367">
        <f ca="1">-AC163-AC171</f>
        <v>-26832.252972180941</v>
      </c>
      <c r="AD116" s="367">
        <f t="shared" ref="AD116:AF116" ca="1" si="57">-AD163-AD171</f>
        <v>-10550.169645186719</v>
      </c>
      <c r="AE116" s="367">
        <f t="shared" ca="1" si="57"/>
        <v>-10550.169645186719</v>
      </c>
      <c r="AF116" s="367">
        <f t="shared" ca="1" si="57"/>
        <v>-10550.169645186719</v>
      </c>
    </row>
    <row r="117" spans="2:32" x14ac:dyDescent="0.3">
      <c r="B117" s="351"/>
      <c r="C117" s="287">
        <f t="shared" si="51"/>
        <v>5.3430000000000009</v>
      </c>
      <c r="D117" s="288">
        <f>D118+5%</f>
        <v>0.3</v>
      </c>
      <c r="E117" s="295">
        <v>0.2138183458567724</v>
      </c>
      <c r="F117" s="310">
        <v>0.25514654077762589</v>
      </c>
      <c r="G117" s="310">
        <v>0.32471610893763958</v>
      </c>
      <c r="H117" s="307">
        <v>0.48100587182856125</v>
      </c>
      <c r="I117" s="310">
        <v>1.8929323400131568</v>
      </c>
      <c r="J117" s="310" t="e">
        <v>#NUM!</v>
      </c>
      <c r="K117" s="310" t="e">
        <v>#NUM!</v>
      </c>
      <c r="L117" s="310" t="e">
        <v>#NUM!</v>
      </c>
      <c r="M117" s="296">
        <v>-0.25800338517662047</v>
      </c>
      <c r="Q117" s="47" t="s">
        <v>397</v>
      </c>
      <c r="V117" s="406"/>
      <c r="W117" s="259"/>
      <c r="X117" s="259"/>
      <c r="Y117" s="259"/>
      <c r="Z117" s="259"/>
      <c r="AA117" s="259"/>
      <c r="AB117" s="260"/>
      <c r="AC117" s="367">
        <f t="shared" ref="AC117:AF119" ca="1" si="58">-AC164-AC172</f>
        <v>-1055.016964518672</v>
      </c>
      <c r="AD117" s="367">
        <f t="shared" ca="1" si="58"/>
        <v>-1055.016964518672</v>
      </c>
      <c r="AE117" s="367">
        <f t="shared" ca="1" si="58"/>
        <v>-1055.016964518672</v>
      </c>
      <c r="AF117" s="367">
        <f t="shared" ca="1" si="58"/>
        <v>-1055.016964518672</v>
      </c>
    </row>
    <row r="118" spans="2:32" x14ac:dyDescent="0.3">
      <c r="B118" s="352"/>
      <c r="C118" s="289">
        <f>$F$10*(1+D118)</f>
        <v>5.1375000000000002</v>
      </c>
      <c r="D118" s="290">
        <v>0.25</v>
      </c>
      <c r="E118" s="297">
        <v>0.22555840462093513</v>
      </c>
      <c r="F118" s="298">
        <v>0.27143973963259116</v>
      </c>
      <c r="G118" s="298">
        <v>0.3507935013375314</v>
      </c>
      <c r="H118" s="304">
        <v>0.54101381771913903</v>
      </c>
      <c r="I118" s="298" t="e">
        <v>#NUM!</v>
      </c>
      <c r="J118" s="298" t="e">
        <v>#NUM!</v>
      </c>
      <c r="K118" s="298" t="e">
        <v>#NUM!</v>
      </c>
      <c r="L118" s="298" t="e">
        <v>#NUM!</v>
      </c>
      <c r="M118" s="299">
        <v>-0.26417839287462352</v>
      </c>
      <c r="Q118" s="47" t="s">
        <v>398</v>
      </c>
      <c r="V118" s="406"/>
      <c r="W118" s="259"/>
      <c r="X118" s="259"/>
      <c r="Y118" s="259"/>
      <c r="Z118" s="259"/>
      <c r="AA118" s="259"/>
      <c r="AB118" s="260"/>
      <c r="AC118" s="367">
        <f t="shared" ca="1" si="58"/>
        <v>0</v>
      </c>
      <c r="AD118" s="367">
        <f t="shared" ca="1" si="58"/>
        <v>0</v>
      </c>
      <c r="AE118" s="367">
        <f t="shared" ca="1" si="58"/>
        <v>0</v>
      </c>
      <c r="AF118" s="367">
        <f t="shared" ca="1" si="58"/>
        <v>0</v>
      </c>
    </row>
    <row r="119" spans="2:32" x14ac:dyDescent="0.3">
      <c r="Q119" s="47" t="s">
        <v>399</v>
      </c>
      <c r="V119" s="406"/>
      <c r="W119" s="259"/>
      <c r="X119" s="259"/>
      <c r="Y119" s="259"/>
      <c r="Z119" s="259"/>
      <c r="AA119" s="259"/>
      <c r="AB119" s="260"/>
      <c r="AC119" s="367">
        <f t="shared" ca="1" si="58"/>
        <v>0</v>
      </c>
      <c r="AD119" s="367">
        <f t="shared" ca="1" si="58"/>
        <v>0</v>
      </c>
      <c r="AE119" s="367">
        <f t="shared" ca="1" si="58"/>
        <v>0</v>
      </c>
      <c r="AF119" s="367">
        <f t="shared" ca="1" si="58"/>
        <v>0</v>
      </c>
    </row>
    <row r="120" spans="2:32" x14ac:dyDescent="0.3">
      <c r="Q120" s="47" t="s">
        <v>290</v>
      </c>
      <c r="V120" s="406"/>
      <c r="W120" s="259"/>
      <c r="X120" s="259"/>
      <c r="Y120" s="259"/>
      <c r="Z120" s="259"/>
      <c r="AA120" s="259"/>
      <c r="AB120" s="260"/>
      <c r="AC120" s="367">
        <f>-Schedule!K90</f>
        <v>-40000</v>
      </c>
      <c r="AD120" s="367">
        <f>-Schedule!L90</f>
        <v>-40000</v>
      </c>
      <c r="AE120" s="367">
        <f>-Schedule!M90</f>
        <v>-40000</v>
      </c>
      <c r="AF120" s="367">
        <f>-Schedule!N90</f>
        <v>-40000</v>
      </c>
    </row>
    <row r="121" spans="2:32" x14ac:dyDescent="0.3">
      <c r="Q121" s="47" t="s">
        <v>285</v>
      </c>
      <c r="V121" s="406"/>
      <c r="W121" s="259"/>
      <c r="X121" s="259"/>
      <c r="Y121" s="259"/>
      <c r="Z121" s="259"/>
      <c r="AA121" s="259"/>
      <c r="AB121" s="260"/>
      <c r="AC121" s="367">
        <f ca="1">-AC26</f>
        <v>-31630.399738023105</v>
      </c>
      <c r="AD121" s="367">
        <f ca="1">-AD26</f>
        <v>-26970.465083885814</v>
      </c>
      <c r="AE121" s="367">
        <f ca="1">-AE26</f>
        <v>-22975.305740496966</v>
      </c>
      <c r="AF121" s="367">
        <f ca="1">-AF26</f>
        <v>-19355.877674336014</v>
      </c>
    </row>
    <row r="122" spans="2:32" x14ac:dyDescent="0.3">
      <c r="Q122" s="131" t="s">
        <v>292</v>
      </c>
      <c r="V122" s="406"/>
      <c r="W122" s="259"/>
      <c r="X122" s="259"/>
      <c r="Y122" s="259"/>
      <c r="Z122" s="259"/>
      <c r="AA122" s="259"/>
      <c r="AB122" s="260"/>
      <c r="AC122" s="403">
        <f ca="1">SUM(AC115:AC121)</f>
        <v>-99517.669674722711</v>
      </c>
      <c r="AD122" s="404">
        <f ca="1">SUM(AD115:AD121)</f>
        <v>-56734.918105102704</v>
      </c>
      <c r="AE122" s="404">
        <f ca="1">SUM(AE115:AE121)</f>
        <v>-61510.747543590129</v>
      </c>
      <c r="AF122" s="404">
        <f ca="1">SUM(AF115:AF121)</f>
        <v>-58297.998819889515</v>
      </c>
    </row>
    <row r="123" spans="2:32" x14ac:dyDescent="0.3">
      <c r="Q123" s="47"/>
      <c r="V123" s="406"/>
      <c r="W123" s="259"/>
      <c r="X123" s="259"/>
      <c r="Y123" s="259"/>
      <c r="Z123" s="259"/>
      <c r="AA123" s="259"/>
      <c r="AB123" s="260"/>
      <c r="AC123" s="362"/>
      <c r="AD123" s="362"/>
      <c r="AE123" s="362"/>
      <c r="AF123" s="362"/>
    </row>
    <row r="124" spans="2:32" x14ac:dyDescent="0.3">
      <c r="Q124" s="131" t="s">
        <v>293</v>
      </c>
      <c r="V124" s="406"/>
      <c r="W124" s="259"/>
      <c r="X124" s="259"/>
      <c r="Y124" s="259"/>
      <c r="Z124" s="259"/>
      <c r="AA124" s="259"/>
      <c r="AB124" s="260"/>
      <c r="AC124" s="389">
        <f ca="1">AC109+AC113+AC122</f>
        <v>-31630.399738022927</v>
      </c>
      <c r="AD124" s="405">
        <f ca="1">AD109+AD113+AD122</f>
        <v>4659.9346541392733</v>
      </c>
      <c r="AE124" s="405">
        <f ca="1">AE109+AE113+AE122</f>
        <v>3995.1593433598027</v>
      </c>
      <c r="AF124" s="405">
        <f ca="1">AF109+AF113+AF122</f>
        <v>3619.4280393722293</v>
      </c>
    </row>
    <row r="125" spans="2:32" x14ac:dyDescent="0.3">
      <c r="Q125" s="47"/>
      <c r="V125" s="406"/>
      <c r="W125" s="259"/>
      <c r="X125" s="259"/>
      <c r="Y125" s="259"/>
      <c r="Z125" s="259"/>
      <c r="AA125" s="259"/>
      <c r="AB125" s="260"/>
      <c r="AC125" s="362"/>
      <c r="AD125" s="362"/>
      <c r="AE125" s="362"/>
      <c r="AF125" s="362"/>
    </row>
    <row r="126" spans="2:32" x14ac:dyDescent="0.3">
      <c r="Q126" s="47" t="s">
        <v>294</v>
      </c>
      <c r="V126" s="406"/>
      <c r="W126" s="259"/>
      <c r="X126" s="259"/>
      <c r="Y126" s="259"/>
      <c r="Z126" s="259"/>
      <c r="AA126" s="259"/>
      <c r="AB126" s="260"/>
      <c r="AC126" s="367">
        <f ca="1">AB38</f>
        <v>2000</v>
      </c>
      <c r="AD126" s="367">
        <f ca="1">AC127</f>
        <v>-29630.399738022854</v>
      </c>
      <c r="AE126" s="367">
        <f t="shared" ref="AE126:AF126" ca="1" si="59">AD127</f>
        <v>-24970.465083889343</v>
      </c>
      <c r="AF126" s="367">
        <f t="shared" ca="1" si="59"/>
        <v>-20975.305742353004</v>
      </c>
    </row>
    <row r="127" spans="2:32" x14ac:dyDescent="0.3">
      <c r="Q127" s="131" t="s">
        <v>295</v>
      </c>
      <c r="V127" s="406"/>
      <c r="W127" s="259"/>
      <c r="X127" s="259"/>
      <c r="Y127" s="259"/>
      <c r="Z127" s="259"/>
      <c r="AA127" s="259"/>
      <c r="AB127" s="260"/>
      <c r="AC127" s="403">
        <f ca="1">AC124+AC126</f>
        <v>-29630.399738022927</v>
      </c>
      <c r="AD127" s="404">
        <f t="shared" ref="AD127:AF127" ca="1" si="60">AD124+AD126</f>
        <v>-24970.465083883581</v>
      </c>
      <c r="AE127" s="404">
        <f t="shared" ca="1" si="60"/>
        <v>-20975.30574052954</v>
      </c>
      <c r="AF127" s="404">
        <f t="shared" ca="1" si="60"/>
        <v>-17355.877702980775</v>
      </c>
    </row>
    <row r="130" spans="22:32" x14ac:dyDescent="0.3">
      <c r="V130" s="223" t="s">
        <v>96</v>
      </c>
      <c r="W130" s="224"/>
      <c r="X130" s="224"/>
      <c r="Y130" s="224"/>
      <c r="Z130" s="224"/>
      <c r="AA130" s="224"/>
      <c r="AB130" s="224"/>
      <c r="AC130" s="224"/>
      <c r="AD130" s="224"/>
      <c r="AE130" s="224"/>
      <c r="AF130" s="225"/>
    </row>
    <row r="131" spans="22:32" x14ac:dyDescent="0.3">
      <c r="AC131" s="344" t="s">
        <v>2</v>
      </c>
      <c r="AD131" s="344"/>
      <c r="AE131" s="344"/>
      <c r="AF131" s="344"/>
    </row>
    <row r="132" spans="22:32" x14ac:dyDescent="0.3">
      <c r="AC132" s="229">
        <v>46381</v>
      </c>
      <c r="AD132" s="229">
        <v>46746</v>
      </c>
      <c r="AE132" s="229">
        <v>47112</v>
      </c>
      <c r="AF132" s="229">
        <v>47477</v>
      </c>
    </row>
    <row r="134" spans="22:32" x14ac:dyDescent="0.3">
      <c r="V134" t="s">
        <v>467</v>
      </c>
      <c r="AC134" s="409">
        <f>Schedule!K93</f>
        <v>4.4999999999999998E-2</v>
      </c>
      <c r="AD134" s="409">
        <f>Schedule!L93</f>
        <v>4.2999999999999997E-2</v>
      </c>
      <c r="AE134" s="409">
        <f>Schedule!M93</f>
        <v>4.2500000000000003E-2</v>
      </c>
      <c r="AF134" s="409">
        <f>Schedule!N93</f>
        <v>4.1500000000000002E-2</v>
      </c>
    </row>
    <row r="135" spans="22:32" x14ac:dyDescent="0.3">
      <c r="V135" t="s">
        <v>470</v>
      </c>
      <c r="AC135" s="410">
        <v>1.2E-2</v>
      </c>
      <c r="AD135" s="410">
        <v>1.2E-2</v>
      </c>
      <c r="AE135" s="410">
        <v>1.2E-2</v>
      </c>
      <c r="AF135" s="410">
        <v>1.2E-2</v>
      </c>
    </row>
    <row r="136" spans="22:32" x14ac:dyDescent="0.3">
      <c r="V136" s="219" t="s">
        <v>464</v>
      </c>
      <c r="Y136" s="413" t="s">
        <v>465</v>
      </c>
      <c r="Z136" s="413" t="s">
        <v>466</v>
      </c>
      <c r="AC136" s="362"/>
      <c r="AD136" s="362"/>
      <c r="AE136" s="362"/>
      <c r="AF136" s="362"/>
    </row>
    <row r="137" spans="22:32" x14ac:dyDescent="0.3">
      <c r="V137" t="s">
        <v>395</v>
      </c>
      <c r="Y137" s="411">
        <v>1.4999999999999999E-2</v>
      </c>
      <c r="Z137" s="362"/>
      <c r="AC137" s="411">
        <f>AC$134+$Y137</f>
        <v>0.06</v>
      </c>
      <c r="AD137" s="411">
        <f t="shared" ref="AD137:AF137" si="61">AD$134+$Y137</f>
        <v>5.7999999999999996E-2</v>
      </c>
      <c r="AE137" s="411">
        <f t="shared" si="61"/>
        <v>5.7500000000000002E-2</v>
      </c>
      <c r="AF137" s="411">
        <f t="shared" si="61"/>
        <v>5.6500000000000002E-2</v>
      </c>
    </row>
    <row r="138" spans="22:32" x14ac:dyDescent="0.3">
      <c r="V138" t="s">
        <v>410</v>
      </c>
      <c r="Y138" s="411">
        <v>0.03</v>
      </c>
      <c r="Z138" s="362"/>
      <c r="AC138" s="411">
        <f>AC$134+$Y138</f>
        <v>7.4999999999999997E-2</v>
      </c>
      <c r="AD138" s="411">
        <f t="shared" ref="AD138:AF139" si="62">AD$134+$Y138</f>
        <v>7.2999999999999995E-2</v>
      </c>
      <c r="AE138" s="411">
        <f t="shared" si="62"/>
        <v>7.2500000000000009E-2</v>
      </c>
      <c r="AF138" s="411">
        <f t="shared" si="62"/>
        <v>7.1500000000000008E-2</v>
      </c>
    </row>
    <row r="139" spans="22:32" x14ac:dyDescent="0.3">
      <c r="V139" t="s">
        <v>397</v>
      </c>
      <c r="Y139" s="411">
        <v>0.04</v>
      </c>
      <c r="Z139" s="362"/>
      <c r="AC139" s="411">
        <f>AC$134+$Y139</f>
        <v>8.4999999999999992E-2</v>
      </c>
      <c r="AD139" s="411">
        <f t="shared" si="62"/>
        <v>8.299999999999999E-2</v>
      </c>
      <c r="AE139" s="411">
        <f t="shared" si="62"/>
        <v>8.2500000000000004E-2</v>
      </c>
      <c r="AF139" s="411">
        <f t="shared" si="62"/>
        <v>8.1500000000000003E-2</v>
      </c>
    </row>
    <row r="140" spans="22:32" x14ac:dyDescent="0.3">
      <c r="V140" t="s">
        <v>398</v>
      </c>
      <c r="Y140" s="362"/>
      <c r="Z140" s="412">
        <f>F45</f>
        <v>0.12</v>
      </c>
      <c r="AC140" s="411">
        <f>$Z$140</f>
        <v>0.12</v>
      </c>
      <c r="AD140" s="411">
        <f t="shared" ref="AD140:AF140" si="63">$Z$140</f>
        <v>0.12</v>
      </c>
      <c r="AE140" s="411">
        <f t="shared" si="63"/>
        <v>0.12</v>
      </c>
      <c r="AF140" s="411">
        <f t="shared" si="63"/>
        <v>0.12</v>
      </c>
    </row>
    <row r="141" spans="22:32" x14ac:dyDescent="0.3">
      <c r="V141" t="s">
        <v>399</v>
      </c>
      <c r="Y141" s="362"/>
      <c r="Z141" s="412">
        <f>F46</f>
        <v>0.15</v>
      </c>
      <c r="AC141" s="411">
        <f>$Z$141</f>
        <v>0.15</v>
      </c>
      <c r="AD141" s="411">
        <f t="shared" ref="AD141:AF141" si="64">$Z$141</f>
        <v>0.15</v>
      </c>
      <c r="AE141" s="411">
        <f t="shared" si="64"/>
        <v>0.15</v>
      </c>
      <c r="AF141" s="411">
        <f t="shared" si="64"/>
        <v>0.15</v>
      </c>
    </row>
    <row r="142" spans="22:32" x14ac:dyDescent="0.3">
      <c r="AC142" s="362"/>
      <c r="AD142" s="362"/>
      <c r="AE142" s="362"/>
      <c r="AF142" s="362"/>
    </row>
    <row r="143" spans="22:32" x14ac:dyDescent="0.3">
      <c r="V143" s="219" t="s">
        <v>468</v>
      </c>
      <c r="AC143" s="362"/>
      <c r="AD143" s="362"/>
      <c r="AE143" s="362"/>
      <c r="AF143" s="362"/>
    </row>
    <row r="144" spans="22:32" x14ac:dyDescent="0.3">
      <c r="V144" t="s">
        <v>395</v>
      </c>
      <c r="AC144" s="367">
        <f ca="1">AVERAGE(AB62:AC62)*AC137</f>
        <v>0</v>
      </c>
      <c r="AD144" s="367">
        <f ca="1">AVERAGE(AC62:AD62)*AD137</f>
        <v>633.38127406591298</v>
      </c>
      <c r="AE144" s="367">
        <f ca="1">AVERAGE(AD62:AE62)*AE137</f>
        <v>1631.5973444820643</v>
      </c>
      <c r="AF144" s="367">
        <f ca="1">AVERAGE(AE62:AF62)*AF137</f>
        <v>2330.1736278344356</v>
      </c>
    </row>
    <row r="145" spans="22:32" x14ac:dyDescent="0.3">
      <c r="V145" t="s">
        <v>410</v>
      </c>
      <c r="AC145" s="367">
        <f t="shared" ref="AC145:AF148" ca="1" si="65">-AVERAGE(AB64:AC64)*AC138</f>
        <v>-6906.4177474332364</v>
      </c>
      <c r="AD145" s="367">
        <f t="shared" ca="1" si="65"/>
        <v>-5357.7881819677468</v>
      </c>
      <c r="AE145" s="367">
        <f t="shared" ca="1" si="65"/>
        <v>-4556.2037033631641</v>
      </c>
      <c r="AF145" s="367">
        <f t="shared" ca="1" si="65"/>
        <v>-3739.0223847204079</v>
      </c>
    </row>
    <row r="146" spans="22:32" x14ac:dyDescent="0.3">
      <c r="V146" t="s">
        <v>397</v>
      </c>
      <c r="AC146" s="367">
        <f t="shared" ca="1" si="65"/>
        <v>-4438.9838782123115</v>
      </c>
      <c r="AD146" s="367">
        <f t="shared" ca="1" si="65"/>
        <v>-4246.9707906699132</v>
      </c>
      <c r="AE146" s="367">
        <f t="shared" ca="1" si="65"/>
        <v>-4134.347729707546</v>
      </c>
      <c r="AF146" s="367">
        <f t="shared" ca="1" si="65"/>
        <v>-3998.2505412846376</v>
      </c>
    </row>
    <row r="147" spans="22:32" x14ac:dyDescent="0.3">
      <c r="V147" t="s">
        <v>398</v>
      </c>
      <c r="AC147" s="367">
        <f t="shared" ca="1" si="65"/>
        <v>-3798.0610722672186</v>
      </c>
      <c r="AD147" s="367">
        <f t="shared" ca="1" si="65"/>
        <v>-3798.0610722672186</v>
      </c>
      <c r="AE147" s="367">
        <f t="shared" ca="1" si="65"/>
        <v>-3798.0610722672186</v>
      </c>
      <c r="AF147" s="367">
        <f t="shared" ca="1" si="65"/>
        <v>-3798.0610722672186</v>
      </c>
    </row>
    <row r="148" spans="22:32" x14ac:dyDescent="0.3">
      <c r="V148" t="s">
        <v>399</v>
      </c>
      <c r="AC148" s="367">
        <f t="shared" ca="1" si="65"/>
        <v>-3421.6766416821797</v>
      </c>
      <c r="AD148" s="367">
        <f t="shared" ca="1" si="65"/>
        <v>-3976.5431241171277</v>
      </c>
      <c r="AE148" s="367">
        <f t="shared" ca="1" si="65"/>
        <v>-4621.38795505504</v>
      </c>
      <c r="AF148" s="367">
        <f t="shared" ca="1" si="65"/>
        <v>-5370.802218036938</v>
      </c>
    </row>
    <row r="149" spans="22:32" x14ac:dyDescent="0.3">
      <c r="V149" t="s">
        <v>469</v>
      </c>
      <c r="AC149" s="367">
        <f ca="1">AVERAGE(AB38+AB39,AC38+AC39)*AC135</f>
        <v>-152.51039842813714</v>
      </c>
      <c r="AD149" s="367">
        <f ca="1">AVERAGE(AC38+AC39,AD38+AD39)*AD135</f>
        <v>-314.33318893147316</v>
      </c>
      <c r="AE149" s="367">
        <f ca="1">AVERAGE(AD38+AD39,AE38+AE39)*AE135</f>
        <v>-262.40262495745407</v>
      </c>
      <c r="AF149" s="367">
        <f ca="1">AVERAGE(AE38+AE39,AF38+AF39)*AF135</f>
        <v>-216.71510114973751</v>
      </c>
    </row>
    <row r="150" spans="22:32" x14ac:dyDescent="0.3">
      <c r="V150" s="226" t="s">
        <v>471</v>
      </c>
      <c r="W150" s="227"/>
      <c r="X150" s="227"/>
      <c r="AC150" s="404">
        <f ca="1">SUM(AC144:AC149)</f>
        <v>-18717.649738023083</v>
      </c>
      <c r="AD150" s="404">
        <f t="shared" ref="AD150:AF150" ca="1" si="66">SUM(AD144:AD149)</f>
        <v>-17060.315083887566</v>
      </c>
      <c r="AE150" s="404">
        <f t="shared" ca="1" si="66"/>
        <v>-15740.805740868358</v>
      </c>
      <c r="AF150" s="404">
        <f t="shared" ca="1" si="66"/>
        <v>-14792.677689624503</v>
      </c>
    </row>
    <row r="151" spans="22:32" x14ac:dyDescent="0.3">
      <c r="AC151" s="362"/>
      <c r="AD151" s="362"/>
      <c r="AE151" s="362"/>
      <c r="AF151" s="362"/>
    </row>
    <row r="152" spans="22:32" x14ac:dyDescent="0.3">
      <c r="V152" s="219" t="s">
        <v>472</v>
      </c>
      <c r="AC152" s="362"/>
      <c r="AD152" s="362"/>
      <c r="AE152" s="362"/>
      <c r="AF152" s="362"/>
    </row>
    <row r="153" spans="22:32" x14ac:dyDescent="0.3">
      <c r="V153" t="s">
        <v>473</v>
      </c>
      <c r="AC153" s="367">
        <f ca="1">AB38</f>
        <v>2000</v>
      </c>
      <c r="AD153" s="367">
        <f t="shared" ref="AD153:AF153" ca="1" si="67">AC38</f>
        <v>-29630.399738022854</v>
      </c>
      <c r="AE153" s="367">
        <f t="shared" ca="1" si="67"/>
        <v>-24970.465083889343</v>
      </c>
      <c r="AF153" s="367">
        <f t="shared" ca="1" si="67"/>
        <v>-20975.305742353004</v>
      </c>
    </row>
    <row r="154" spans="22:32" x14ac:dyDescent="0.3">
      <c r="V154" s="219" t="s">
        <v>303</v>
      </c>
      <c r="AC154" s="367">
        <f>$T$6</f>
        <v>-2000</v>
      </c>
      <c r="AD154" s="367">
        <f t="shared" ref="AD154:AF154" si="68">$T$6</f>
        <v>-2000</v>
      </c>
      <c r="AE154" s="367">
        <f t="shared" si="68"/>
        <v>-2000</v>
      </c>
      <c r="AF154" s="367">
        <f t="shared" si="68"/>
        <v>-2000</v>
      </c>
    </row>
    <row r="155" spans="22:32" x14ac:dyDescent="0.3">
      <c r="V155" t="s">
        <v>474</v>
      </c>
      <c r="AC155" s="367">
        <f ca="1">AC109+AC113</f>
        <v>67887.269936699784</v>
      </c>
      <c r="AD155" s="367">
        <f ca="1">AD109+AD113</f>
        <v>61394.852759241978</v>
      </c>
      <c r="AE155" s="367">
        <f ca="1">AE109+AE113</f>
        <v>65505.906886949932</v>
      </c>
      <c r="AF155" s="367">
        <f ca="1">AF109+AF113</f>
        <v>61917.426859261745</v>
      </c>
    </row>
    <row r="156" spans="22:32" x14ac:dyDescent="0.3">
      <c r="V156" s="226" t="s">
        <v>475</v>
      </c>
      <c r="W156" s="227"/>
      <c r="X156" s="227"/>
      <c r="AC156" s="404">
        <f ca="1">SUM(AC153:AC155)</f>
        <v>67887.269936699784</v>
      </c>
      <c r="AD156" s="404">
        <f t="shared" ref="AD156:AF156" ca="1" si="69">SUM(AD153:AD155)</f>
        <v>29764.453021219124</v>
      </c>
      <c r="AE156" s="404">
        <f t="shared" ca="1" si="69"/>
        <v>38535.441803060588</v>
      </c>
      <c r="AF156" s="404">
        <f t="shared" ca="1" si="69"/>
        <v>38942.12111690874</v>
      </c>
    </row>
    <row r="157" spans="22:32" x14ac:dyDescent="0.3">
      <c r="V157" t="s">
        <v>476</v>
      </c>
      <c r="AC157" s="367">
        <f ca="1">MAX(0,AC167-AC156)</f>
        <v>0</v>
      </c>
      <c r="AD157" s="367">
        <f t="shared" ref="AD157:AF157" ca="1" si="70">MAX(0,AD167-AD156)</f>
        <v>21840.733588486262</v>
      </c>
      <c r="AE157" s="367">
        <f t="shared" ca="1" si="70"/>
        <v>13069.744806644798</v>
      </c>
      <c r="AF157" s="367">
        <f t="shared" ca="1" si="70"/>
        <v>12663.065492796646</v>
      </c>
    </row>
    <row r="158" spans="22:32" x14ac:dyDescent="0.3">
      <c r="V158" s="226" t="s">
        <v>477</v>
      </c>
      <c r="W158" s="227"/>
      <c r="X158" s="227"/>
      <c r="AC158" s="404">
        <f ca="1">AC156+AC157</f>
        <v>67887.269936699784</v>
      </c>
      <c r="AD158" s="404">
        <f t="shared" ref="AD158:AF158" ca="1" si="71">AD156+AD157</f>
        <v>51605.186609705386</v>
      </c>
      <c r="AE158" s="404">
        <f t="shared" ca="1" si="71"/>
        <v>51605.186609705386</v>
      </c>
      <c r="AF158" s="404">
        <f t="shared" ca="1" si="71"/>
        <v>51605.186609705386</v>
      </c>
    </row>
    <row r="159" spans="22:32" x14ac:dyDescent="0.3">
      <c r="AC159" s="362"/>
      <c r="AD159" s="362"/>
      <c r="AE159" s="362"/>
      <c r="AF159" s="362"/>
    </row>
    <row r="160" spans="22:32" x14ac:dyDescent="0.3">
      <c r="V160" s="219" t="s">
        <v>478</v>
      </c>
      <c r="AC160" s="362"/>
      <c r="AD160" s="362"/>
      <c r="AE160" s="362"/>
      <c r="AF160" s="362"/>
    </row>
    <row r="161" spans="22:32" x14ac:dyDescent="0.3">
      <c r="V161" s="244" t="s">
        <v>479</v>
      </c>
      <c r="AC161" s="362"/>
      <c r="AD161" s="362"/>
      <c r="AE161" s="362"/>
      <c r="AF161" s="362"/>
    </row>
    <row r="162" spans="22:32" x14ac:dyDescent="0.3">
      <c r="V162" t="s">
        <v>481</v>
      </c>
      <c r="AC162" s="367">
        <f>-AC120</f>
        <v>40000</v>
      </c>
      <c r="AD162" s="367">
        <f>-AD120</f>
        <v>40000</v>
      </c>
      <c r="AE162" s="367">
        <f>-AE120</f>
        <v>40000</v>
      </c>
      <c r="AF162" s="367">
        <f>-AF120</f>
        <v>40000</v>
      </c>
    </row>
    <row r="163" spans="22:32" x14ac:dyDescent="0.3">
      <c r="V163" t="s">
        <v>410</v>
      </c>
      <c r="AC163" s="367">
        <f t="shared" ref="AC163:AF166" ca="1" si="72">MIN(AB64,$L36*$L43)</f>
        <v>10550.169645186719</v>
      </c>
      <c r="AD163" s="367">
        <f t="shared" ca="1" si="72"/>
        <v>10550.169645186719</v>
      </c>
      <c r="AE163" s="367">
        <f t="shared" ca="1" si="72"/>
        <v>10550.169645186719</v>
      </c>
      <c r="AF163" s="367">
        <f t="shared" ca="1" si="72"/>
        <v>10550.169645186719</v>
      </c>
    </row>
    <row r="164" spans="22:32" x14ac:dyDescent="0.3">
      <c r="V164" t="s">
        <v>397</v>
      </c>
      <c r="AC164" s="367">
        <f t="shared" ca="1" si="72"/>
        <v>1055.016964518672</v>
      </c>
      <c r="AD164" s="367">
        <f t="shared" ca="1" si="72"/>
        <v>1055.016964518672</v>
      </c>
      <c r="AE164" s="367">
        <f t="shared" ca="1" si="72"/>
        <v>1055.016964518672</v>
      </c>
      <c r="AF164" s="367">
        <f t="shared" ca="1" si="72"/>
        <v>1055.016964518672</v>
      </c>
    </row>
    <row r="165" spans="22:32" x14ac:dyDescent="0.3">
      <c r="V165" t="s">
        <v>398</v>
      </c>
      <c r="AC165" s="367">
        <f t="shared" ca="1" si="72"/>
        <v>0</v>
      </c>
      <c r="AD165" s="367">
        <f t="shared" ca="1" si="72"/>
        <v>0</v>
      </c>
      <c r="AE165" s="367">
        <f t="shared" ca="1" si="72"/>
        <v>0</v>
      </c>
      <c r="AF165" s="367">
        <f t="shared" ca="1" si="72"/>
        <v>0</v>
      </c>
    </row>
    <row r="166" spans="22:32" x14ac:dyDescent="0.3">
      <c r="V166" t="s">
        <v>399</v>
      </c>
      <c r="AC166" s="367">
        <f t="shared" ca="1" si="72"/>
        <v>0</v>
      </c>
      <c r="AD166" s="367">
        <f t="shared" ca="1" si="72"/>
        <v>0</v>
      </c>
      <c r="AE166" s="367">
        <f t="shared" ca="1" si="72"/>
        <v>0</v>
      </c>
      <c r="AF166" s="367">
        <f t="shared" ca="1" si="72"/>
        <v>0</v>
      </c>
    </row>
    <row r="167" spans="22:32" x14ac:dyDescent="0.3">
      <c r="V167" s="226" t="s">
        <v>479</v>
      </c>
      <c r="W167" s="227"/>
      <c r="X167" s="227"/>
      <c r="AC167" s="404">
        <f ca="1">SUM(AC162:AC166)</f>
        <v>51605.186609705386</v>
      </c>
      <c r="AD167" s="404">
        <f t="shared" ref="AD167:AF167" ca="1" si="73">SUM(AD162:AD166)</f>
        <v>51605.186609705386</v>
      </c>
      <c r="AE167" s="404">
        <f t="shared" ca="1" si="73"/>
        <v>51605.186609705386</v>
      </c>
      <c r="AF167" s="404">
        <f t="shared" ca="1" si="73"/>
        <v>51605.186609705386</v>
      </c>
    </row>
    <row r="168" spans="22:32" x14ac:dyDescent="0.3">
      <c r="AC168" s="362"/>
      <c r="AD168" s="362"/>
      <c r="AE168" s="362"/>
      <c r="AF168" s="362"/>
    </row>
    <row r="169" spans="22:32" x14ac:dyDescent="0.3">
      <c r="V169" s="244" t="s">
        <v>480</v>
      </c>
      <c r="AC169" s="362"/>
      <c r="AD169" s="362"/>
      <c r="AE169" s="362"/>
      <c r="AF169" s="362"/>
    </row>
    <row r="170" spans="22:32" x14ac:dyDescent="0.3">
      <c r="V170" t="s">
        <v>395</v>
      </c>
      <c r="AC170" s="367">
        <f ca="1">MAX(MIN(AB62,AC$156-SUM(AC$167:AC169)),0)</f>
        <v>0</v>
      </c>
      <c r="AD170" s="367">
        <f ca="1">MAX(MIN(AC62,AD$156-SUM(AD$167:AD169)),0)</f>
        <v>0</v>
      </c>
      <c r="AE170" s="367">
        <f ca="1">MAX(MIN(AD62,AE$156-SUM(AE$167:AE169)),0)</f>
        <v>0</v>
      </c>
      <c r="AF170" s="367">
        <f ca="1">MAX(MIN(AE62,AF$156-SUM(AF$167:AF169)),0)</f>
        <v>0</v>
      </c>
    </row>
    <row r="171" spans="22:32" x14ac:dyDescent="0.3">
      <c r="V171" t="s">
        <v>410</v>
      </c>
      <c r="AC171" s="367">
        <f ca="1">MAX(MIN(AB64-AC163,AC$156-SUM(AC$167:AC170)),0)</f>
        <v>16282.083326994398</v>
      </c>
      <c r="AD171" s="367">
        <f ca="1">MAX(MIN(AC64-AD163,AD$156-SUM(AD$167:AD170)),0)</f>
        <v>0</v>
      </c>
      <c r="AE171" s="367">
        <f ca="1">MAX(MIN(AD64-AE163,AE$156-SUM(AE$167:AE170)),0)</f>
        <v>0</v>
      </c>
      <c r="AF171" s="367">
        <f ca="1">MAX(MIN(AE64-AF163,AF$156-SUM(AF$167:AF170)),0)</f>
        <v>0</v>
      </c>
    </row>
    <row r="172" spans="22:32" x14ac:dyDescent="0.3">
      <c r="V172" t="s">
        <v>397</v>
      </c>
      <c r="AC172" s="367">
        <f ca="1">MAX(MIN(AB65-AC164,AC$156-SUM(AC$167:AC171)),0)</f>
        <v>0</v>
      </c>
      <c r="AD172" s="367">
        <f ca="1">MAX(MIN(AC65-AD164,AD$156-SUM(AD$167:AD171)),0)</f>
        <v>0</v>
      </c>
      <c r="AE172" s="367">
        <f ca="1">MAX(MIN(AD65-AE164,AE$156-SUM(AE$167:AE171)),0)</f>
        <v>0</v>
      </c>
      <c r="AF172" s="367">
        <f ca="1">MAX(MIN(AE65-AF164,AF$156-SUM(AF$167:AF171)),0)</f>
        <v>0</v>
      </c>
    </row>
    <row r="173" spans="22:32" x14ac:dyDescent="0.3">
      <c r="V173" t="s">
        <v>398</v>
      </c>
      <c r="AC173" s="367">
        <v>0</v>
      </c>
      <c r="AD173" s="367">
        <v>0</v>
      </c>
      <c r="AE173" s="367">
        <v>0</v>
      </c>
      <c r="AF173" s="367">
        <v>0</v>
      </c>
    </row>
    <row r="174" spans="22:32" x14ac:dyDescent="0.3">
      <c r="V174" t="s">
        <v>399</v>
      </c>
      <c r="AC174" s="367">
        <v>0</v>
      </c>
      <c r="AD174" s="367">
        <v>0</v>
      </c>
      <c r="AE174" s="367">
        <v>0</v>
      </c>
      <c r="AF174" s="367">
        <v>0</v>
      </c>
    </row>
    <row r="175" spans="22:32" x14ac:dyDescent="0.3">
      <c r="V175" s="226" t="s">
        <v>480</v>
      </c>
      <c r="W175" s="227"/>
      <c r="X175" s="227"/>
      <c r="AC175" s="404">
        <f ca="1">SUM(AC170:AC174)</f>
        <v>16282.083326994398</v>
      </c>
      <c r="AD175" s="404">
        <f t="shared" ref="AD175:AF175" ca="1" si="74">SUM(AD170:AD174)</f>
        <v>0</v>
      </c>
      <c r="AE175" s="404">
        <f t="shared" ca="1" si="74"/>
        <v>0</v>
      </c>
      <c r="AF175" s="404">
        <f t="shared" ca="1" si="74"/>
        <v>0</v>
      </c>
    </row>
    <row r="176" spans="22:32" x14ac:dyDescent="0.3">
      <c r="AC176" s="362"/>
      <c r="AD176" s="362"/>
      <c r="AE176" s="362"/>
      <c r="AF176" s="362"/>
    </row>
    <row r="177" spans="22:32" x14ac:dyDescent="0.3">
      <c r="V177" s="219" t="s">
        <v>482</v>
      </c>
      <c r="W177" s="219"/>
      <c r="X177" s="219"/>
      <c r="Y177" s="219"/>
      <c r="Z177" s="219"/>
      <c r="AA177" s="219"/>
      <c r="AB177" s="219"/>
      <c r="AC177" s="379">
        <f ca="1">MAX(AC156-AC167-AC175,0)</f>
        <v>0</v>
      </c>
      <c r="AD177" s="379">
        <f t="shared" ref="AD177:AF177" ca="1" si="75">MAX(AD156-AD167-AD175,0)</f>
        <v>0</v>
      </c>
      <c r="AE177" s="379">
        <f t="shared" ca="1" si="75"/>
        <v>0</v>
      </c>
      <c r="AF177" s="379">
        <f t="shared" ca="1" si="75"/>
        <v>0</v>
      </c>
    </row>
    <row r="178" spans="22:32" x14ac:dyDescent="0.3">
      <c r="V178" s="219" t="s">
        <v>483</v>
      </c>
      <c r="AC178" s="379">
        <f ca="1">AC177+AC175+AC167</f>
        <v>67887.269936699784</v>
      </c>
      <c r="AD178" s="379">
        <f t="shared" ref="AD178:AF178" ca="1" si="76">AD177+AD175+AD167</f>
        <v>51605.186609705386</v>
      </c>
      <c r="AE178" s="379">
        <f t="shared" ca="1" si="76"/>
        <v>51605.186609705386</v>
      </c>
      <c r="AF178" s="379">
        <f t="shared" ca="1" si="76"/>
        <v>51605.186609705386</v>
      </c>
    </row>
    <row r="179" spans="22:32" x14ac:dyDescent="0.3">
      <c r="AC179" s="362"/>
      <c r="AD179" s="362"/>
      <c r="AE179" s="362"/>
      <c r="AF179" s="362"/>
    </row>
  </sheetData>
  <mergeCells count="15">
    <mergeCell ref="AC131:AF131"/>
    <mergeCell ref="B94:B103"/>
    <mergeCell ref="B109:B118"/>
    <mergeCell ref="Q90:S91"/>
    <mergeCell ref="V90:Y90"/>
    <mergeCell ref="Z90:AB90"/>
    <mergeCell ref="AC90:AF90"/>
    <mergeCell ref="AC8:AF8"/>
    <mergeCell ref="Z8:AB8"/>
    <mergeCell ref="V8:Y8"/>
    <mergeCell ref="Q8:S9"/>
    <mergeCell ref="Q33:S34"/>
    <mergeCell ref="V33:Y33"/>
    <mergeCell ref="Z33:AB33"/>
    <mergeCell ref="AC33:AF3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21017-92C3-47EE-BC03-2E86C95B2A19}">
  <dimension ref="B1:R37"/>
  <sheetViews>
    <sheetView showGridLines="0" zoomScale="115" zoomScaleNormal="115" workbookViewId="0">
      <selection activeCell="H1" sqref="H1:K6"/>
    </sheetView>
  </sheetViews>
  <sheetFormatPr defaultRowHeight="13.8" x14ac:dyDescent="0.3"/>
  <cols>
    <col min="1" max="1" width="1.88671875" style="14" customWidth="1"/>
    <col min="2" max="2" width="13.33203125" style="14" bestFit="1" customWidth="1"/>
    <col min="3" max="6" width="8.88671875" style="14"/>
    <col min="7" max="7" width="17.21875" style="14" customWidth="1"/>
    <col min="8" max="8" width="1.88671875" style="14" customWidth="1"/>
    <col min="9" max="16384" width="8.88671875" style="14"/>
  </cols>
  <sheetData>
    <row r="1" spans="2:12" ht="7.8" customHeight="1" x14ac:dyDescent="0.3">
      <c r="B1" s="6"/>
      <c r="C1" s="6"/>
      <c r="D1" s="6"/>
      <c r="E1" s="6"/>
      <c r="F1" s="6"/>
      <c r="G1" s="6"/>
      <c r="H1" s="353" t="s">
        <v>103</v>
      </c>
      <c r="I1" s="353"/>
      <c r="J1" s="353"/>
      <c r="K1" s="353"/>
      <c r="L1" s="77"/>
    </row>
    <row r="2" spans="2:12" ht="13.8" customHeight="1" x14ac:dyDescent="0.3">
      <c r="B2" s="7" t="s">
        <v>1</v>
      </c>
      <c r="C2" s="6"/>
      <c r="D2" s="6"/>
      <c r="E2" s="5" t="s">
        <v>93</v>
      </c>
      <c r="F2" s="6"/>
      <c r="G2" s="6"/>
      <c r="H2" s="353"/>
      <c r="I2" s="353"/>
      <c r="J2" s="353"/>
      <c r="K2" s="353"/>
      <c r="L2" s="77"/>
    </row>
    <row r="3" spans="2:12" ht="4.8" customHeight="1" x14ac:dyDescent="0.3">
      <c r="B3" s="6"/>
      <c r="C3" s="6"/>
      <c r="D3" s="6"/>
      <c r="E3" s="6"/>
      <c r="F3" s="78"/>
      <c r="G3" s="78"/>
      <c r="H3" s="353"/>
      <c r="I3" s="353"/>
      <c r="J3" s="353"/>
      <c r="K3" s="353"/>
      <c r="L3" s="77"/>
    </row>
    <row r="4" spans="2:12" ht="23.4" x14ac:dyDescent="0.45">
      <c r="B4" s="79" t="s">
        <v>0</v>
      </c>
      <c r="C4" s="6"/>
      <c r="D4" s="6"/>
      <c r="E4" s="6"/>
      <c r="F4" s="78"/>
      <c r="G4" s="78"/>
      <c r="H4" s="353"/>
      <c r="I4" s="353"/>
      <c r="J4" s="353"/>
      <c r="K4" s="353"/>
      <c r="L4" s="80"/>
    </row>
    <row r="5" spans="2:12" ht="14.4" customHeight="1" x14ac:dyDescent="0.3">
      <c r="B5" s="6" t="s">
        <v>92</v>
      </c>
      <c r="C5" s="6"/>
      <c r="D5" s="6"/>
      <c r="E5" s="6"/>
      <c r="F5" s="78" t="s">
        <v>42</v>
      </c>
      <c r="G5" s="78"/>
      <c r="H5" s="353"/>
      <c r="I5" s="353"/>
      <c r="J5" s="353"/>
      <c r="K5" s="353"/>
      <c r="L5" s="80"/>
    </row>
    <row r="6" spans="2:12" ht="7.8" customHeight="1" thickBot="1" x14ac:dyDescent="0.35">
      <c r="B6" s="6"/>
      <c r="C6" s="6"/>
      <c r="D6" s="6"/>
      <c r="E6" s="6"/>
      <c r="F6" s="78"/>
      <c r="G6" s="78"/>
      <c r="H6" s="354"/>
      <c r="I6" s="354"/>
      <c r="J6" s="354"/>
      <c r="K6" s="354"/>
      <c r="L6" s="80"/>
    </row>
    <row r="7" spans="2:12" ht="6.6" customHeight="1" thickTop="1" x14ac:dyDescent="0.3">
      <c r="B7" s="81"/>
      <c r="C7" s="81"/>
      <c r="D7" s="81"/>
      <c r="E7" s="81"/>
      <c r="F7" s="81"/>
      <c r="G7" s="81"/>
      <c r="H7" s="82"/>
      <c r="I7" s="81"/>
      <c r="J7" s="81"/>
      <c r="K7" s="81"/>
      <c r="L7" s="80"/>
    </row>
    <row r="8" spans="2:12" x14ac:dyDescent="0.3">
      <c r="B8" s="8" t="s">
        <v>94</v>
      </c>
      <c r="H8" s="83"/>
      <c r="I8" s="84" t="s">
        <v>79</v>
      </c>
      <c r="L8" s="77"/>
    </row>
    <row r="9" spans="2:12" x14ac:dyDescent="0.3">
      <c r="H9" s="83"/>
      <c r="I9" s="85" t="s">
        <v>90</v>
      </c>
      <c r="L9" s="77"/>
    </row>
    <row r="10" spans="2:12" x14ac:dyDescent="0.3">
      <c r="B10" s="86"/>
      <c r="H10" s="83"/>
      <c r="L10" s="77"/>
    </row>
    <row r="11" spans="2:12" x14ac:dyDescent="0.3">
      <c r="B11" s="87"/>
      <c r="C11" s="87"/>
      <c r="D11" s="87"/>
      <c r="E11" s="87"/>
      <c r="F11" s="87"/>
      <c r="H11" s="83"/>
      <c r="L11" s="77"/>
    </row>
    <row r="12" spans="2:12" x14ac:dyDescent="0.3">
      <c r="H12" s="83"/>
      <c r="L12" s="77"/>
    </row>
    <row r="13" spans="2:12" x14ac:dyDescent="0.3">
      <c r="H13" s="83"/>
      <c r="J13" s="88"/>
      <c r="K13" s="88"/>
      <c r="L13" s="77"/>
    </row>
    <row r="14" spans="2:12" x14ac:dyDescent="0.3">
      <c r="H14" s="83"/>
      <c r="I14" s="89" t="s">
        <v>80</v>
      </c>
      <c r="J14" s="90"/>
      <c r="K14" s="90"/>
      <c r="L14" s="77"/>
    </row>
    <row r="15" spans="2:12" x14ac:dyDescent="0.3">
      <c r="H15" s="83"/>
      <c r="I15" s="91" t="s">
        <v>81</v>
      </c>
      <c r="J15" s="91"/>
      <c r="K15" s="92"/>
      <c r="L15" s="77"/>
    </row>
    <row r="16" spans="2:12" x14ac:dyDescent="0.3">
      <c r="H16" s="83"/>
      <c r="I16" s="91" t="s">
        <v>83</v>
      </c>
      <c r="J16" s="91"/>
      <c r="K16" s="93"/>
      <c r="L16" s="77"/>
    </row>
    <row r="17" spans="2:18" x14ac:dyDescent="0.3">
      <c r="H17" s="83"/>
      <c r="I17" s="91" t="s">
        <v>50</v>
      </c>
      <c r="J17" s="91"/>
      <c r="K17" s="94"/>
      <c r="L17" s="77"/>
    </row>
    <row r="18" spans="2:18" x14ac:dyDescent="0.3">
      <c r="H18" s="83"/>
      <c r="I18" s="91" t="s">
        <v>91</v>
      </c>
      <c r="J18" s="91"/>
      <c r="K18" s="94"/>
      <c r="L18" s="77"/>
    </row>
    <row r="19" spans="2:18" x14ac:dyDescent="0.3">
      <c r="E19" s="95"/>
      <c r="G19" s="55"/>
      <c r="H19" s="83"/>
      <c r="I19" s="91" t="s">
        <v>82</v>
      </c>
      <c r="J19" s="91"/>
      <c r="K19" s="96"/>
      <c r="L19" s="77"/>
    </row>
    <row r="20" spans="2:18" x14ac:dyDescent="0.3">
      <c r="H20" s="83"/>
      <c r="L20" s="77"/>
    </row>
    <row r="21" spans="2:18" x14ac:dyDescent="0.3">
      <c r="H21" s="83"/>
      <c r="I21" s="89" t="s">
        <v>89</v>
      </c>
      <c r="J21" s="97"/>
      <c r="K21" s="97"/>
      <c r="L21" s="77"/>
    </row>
    <row r="22" spans="2:18" x14ac:dyDescent="0.3">
      <c r="H22" s="83"/>
      <c r="I22" s="98" t="s">
        <v>78</v>
      </c>
      <c r="J22" s="98"/>
      <c r="K22" s="93"/>
      <c r="L22" s="77"/>
    </row>
    <row r="23" spans="2:18" x14ac:dyDescent="0.3">
      <c r="H23" s="83"/>
      <c r="I23" s="98" t="s">
        <v>59</v>
      </c>
      <c r="J23" s="98"/>
      <c r="K23" s="99"/>
      <c r="L23" s="77"/>
    </row>
    <row r="24" spans="2:18" ht="14.4" x14ac:dyDescent="0.3">
      <c r="B24" s="100"/>
      <c r="H24" s="83"/>
      <c r="I24" s="98" t="s">
        <v>84</v>
      </c>
      <c r="J24" s="98"/>
      <c r="K24" s="101"/>
      <c r="L24" s="77"/>
      <c r="R24" s="22"/>
    </row>
    <row r="25" spans="2:18" x14ac:dyDescent="0.3">
      <c r="H25" s="83"/>
      <c r="I25" s="98" t="s">
        <v>85</v>
      </c>
      <c r="J25" s="98"/>
      <c r="K25" s="102"/>
      <c r="L25" s="77"/>
    </row>
    <row r="26" spans="2:18" x14ac:dyDescent="0.3">
      <c r="H26" s="83"/>
      <c r="I26" s="98" t="s">
        <v>86</v>
      </c>
      <c r="J26" s="98"/>
      <c r="K26" s="102"/>
      <c r="L26" s="77"/>
    </row>
    <row r="27" spans="2:18" x14ac:dyDescent="0.3">
      <c r="H27" s="83"/>
      <c r="I27" s="98" t="s">
        <v>87</v>
      </c>
      <c r="J27" s="98"/>
      <c r="K27" s="102"/>
      <c r="L27" s="77"/>
    </row>
    <row r="28" spans="2:18" x14ac:dyDescent="0.3">
      <c r="H28" s="83"/>
      <c r="I28" s="98" t="s">
        <v>88</v>
      </c>
      <c r="J28" s="98"/>
      <c r="K28" s="102"/>
      <c r="L28" s="77"/>
    </row>
    <row r="29" spans="2:18" x14ac:dyDescent="0.3">
      <c r="I29" s="87"/>
      <c r="J29" s="87"/>
      <c r="K29" s="87"/>
    </row>
    <row r="37" spans="2:2" ht="14.4" x14ac:dyDescent="0.3">
      <c r="B37" s="22"/>
    </row>
  </sheetData>
  <mergeCells count="1">
    <mergeCell ref="H1:K6"/>
  </mergeCells>
  <hyperlinks>
    <hyperlink ref="I9" r:id="rId1" xr:uid="{CA32FC82-4CBB-430F-834E-DE611C9382EE}"/>
  </hyperlinks>
  <pageMargins left="0.25" right="0.25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14</vt:i4>
      </vt:variant>
    </vt:vector>
  </HeadingPairs>
  <TitlesOfParts>
    <vt:vector size="27" baseType="lpstr">
      <vt:lpstr>Dashboard</vt:lpstr>
      <vt:lpstr>Financials-&gt;</vt:lpstr>
      <vt:lpstr>Statements</vt:lpstr>
      <vt:lpstr>Assumptions</vt:lpstr>
      <vt:lpstr>Schedule</vt:lpstr>
      <vt:lpstr>Valuation-&gt;</vt:lpstr>
      <vt:lpstr>WACC</vt:lpstr>
      <vt:lpstr>Comp_Comps</vt:lpstr>
      <vt:lpstr>FCFF</vt:lpstr>
      <vt:lpstr>Ratio Analysis</vt:lpstr>
      <vt:lpstr>Report</vt:lpstr>
      <vt:lpstr>LBO_model</vt:lpstr>
      <vt:lpstr>Equity Report</vt:lpstr>
      <vt:lpstr>BS</vt:lpstr>
      <vt:lpstr>CF</vt:lpstr>
      <vt:lpstr>days</vt:lpstr>
      <vt:lpstr>Debt</vt:lpstr>
      <vt:lpstr>EF</vt:lpstr>
      <vt:lpstr>Equity</vt:lpstr>
      <vt:lpstr>IS</vt:lpstr>
      <vt:lpstr>PPE</vt:lpstr>
      <vt:lpstr>RE</vt:lpstr>
      <vt:lpstr>RF</vt:lpstr>
      <vt:lpstr>tax_rate</vt:lpstr>
      <vt:lpstr>terminal_growth</vt:lpstr>
      <vt:lpstr>wacc</vt:lpstr>
      <vt:lpstr>WC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Eldric Sequeira</dc:creator>
  <cp:lastModifiedBy>Eldric Sequeira</cp:lastModifiedBy>
  <cp:lastPrinted>2026-03-12T10:27:57Z</cp:lastPrinted>
  <dcterms:created xsi:type="dcterms:W3CDTF">2026-02-20T09:32:09Z</dcterms:created>
  <dcterms:modified xsi:type="dcterms:W3CDTF">2026-03-17T05:31:18Z</dcterms:modified>
</cp:coreProperties>
</file>