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Resume projects\Other Models\"/>
    </mc:Choice>
  </mc:AlternateContent>
  <xr:revisionPtr revIDLastSave="0" documentId="13_ncr:1_{76BFC83F-5A40-43EA-894D-98888785D172}" xr6:coauthVersionLast="47" xr6:coauthVersionMax="47" xr10:uidLastSave="{00000000-0000-0000-0000-000000000000}"/>
  <bookViews>
    <workbookView xWindow="-108" yWindow="-108" windowWidth="23256" windowHeight="13176" tabRatio="895" xr2:uid="{BCF9BFF9-BCF9-4F21-9E9B-4DD4BB09ACFB}"/>
  </bookViews>
  <sheets>
    <sheet name="Dashboard" sheetId="1" r:id="rId1"/>
    <sheet name="Financials-&gt;" sheetId="4" r:id="rId2"/>
    <sheet name="Statements" sheetId="8" r:id="rId3"/>
    <sheet name="Assumptions" sheetId="9" r:id="rId4"/>
    <sheet name="Schedule" sheetId="3" r:id="rId5"/>
    <sheet name="Valuation-&gt;" sheetId="5" r:id="rId6"/>
    <sheet name="Comp_Trad" sheetId="10" r:id="rId7"/>
    <sheet name="WACC" sheetId="6" r:id="rId8"/>
    <sheet name="DCF" sheetId="11" r:id="rId9"/>
    <sheet name="LBO_model" sheetId="15" r:id="rId10"/>
  </sheets>
  <definedNames>
    <definedName name="BS">Statements!$B$51</definedName>
    <definedName name="CF">Statements!$B$99</definedName>
    <definedName name="days">Dashboard!$G$18</definedName>
    <definedName name="Debt">Schedule!$B$82</definedName>
    <definedName name="EF">Assumptions!$B$79</definedName>
    <definedName name="Equity">Schedule!$B$108</definedName>
    <definedName name="IS">Statements!$B$16</definedName>
    <definedName name="PPE">Schedule!$B$9</definedName>
    <definedName name="RE">Schedule!$B$108</definedName>
    <definedName name="RF">Assumptions!$B$14</definedName>
    <definedName name="tax_rate">DCF!$E$13</definedName>
    <definedName name="terminal_growth">DCF!$E$15</definedName>
    <definedName name="wacc">DCF!$E$14</definedName>
    <definedName name="WC">Schedule!$B$59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" i="11" l="1"/>
  <c r="G38" i="11"/>
  <c r="G36" i="11" l="1"/>
  <c r="G35" i="11"/>
  <c r="G34" i="11"/>
  <c r="G30" i="11"/>
  <c r="H30" i="11" s="1"/>
  <c r="I30" i="11" s="1"/>
  <c r="J30" i="11" s="1"/>
  <c r="K30" i="11" s="1"/>
  <c r="C118" i="15"/>
  <c r="D117" i="15"/>
  <c r="C117" i="15" s="1"/>
  <c r="F108" i="15"/>
  <c r="G108" i="15" s="1"/>
  <c r="H108" i="15" s="1"/>
  <c r="I108" i="15" s="1"/>
  <c r="J108" i="15" s="1"/>
  <c r="K108" i="15" s="1"/>
  <c r="L108" i="15" s="1"/>
  <c r="M108" i="15" s="1"/>
  <c r="C103" i="15"/>
  <c r="D102" i="15"/>
  <c r="D101" i="15" s="1"/>
  <c r="F93" i="15"/>
  <c r="G93" i="15" s="1"/>
  <c r="H93" i="15" s="1"/>
  <c r="I93" i="15" s="1"/>
  <c r="J93" i="15" s="1"/>
  <c r="K93" i="15" s="1"/>
  <c r="L93" i="15" s="1"/>
  <c r="M93" i="15" s="1"/>
  <c r="L83" i="15"/>
  <c r="AD154" i="15"/>
  <c r="AE154" i="15"/>
  <c r="AF154" i="15"/>
  <c r="AC154" i="15"/>
  <c r="Z140" i="15"/>
  <c r="AD140" i="15" s="1"/>
  <c r="Z141" i="15"/>
  <c r="AD141" i="15" s="1"/>
  <c r="AC134" i="15"/>
  <c r="AC137" i="15" s="1"/>
  <c r="AD134" i="15"/>
  <c r="AD138" i="15" s="1"/>
  <c r="AE134" i="15"/>
  <c r="AE138" i="15" s="1"/>
  <c r="AF134" i="15"/>
  <c r="AF137" i="15" s="1"/>
  <c r="AD120" i="15"/>
  <c r="AD162" i="15" s="1"/>
  <c r="AE120" i="15"/>
  <c r="AE162" i="15" s="1"/>
  <c r="AF120" i="15"/>
  <c r="AF162" i="15" s="1"/>
  <c r="AC120" i="15"/>
  <c r="AC162" i="15" s="1"/>
  <c r="V79" i="15"/>
  <c r="W79" i="15"/>
  <c r="X79" i="15"/>
  <c r="V80" i="15"/>
  <c r="W80" i="15"/>
  <c r="X80" i="15"/>
  <c r="V81" i="15"/>
  <c r="W81" i="15"/>
  <c r="X81" i="15"/>
  <c r="V82" i="15"/>
  <c r="W82" i="15"/>
  <c r="X82" i="15"/>
  <c r="W78" i="15"/>
  <c r="X78" i="15"/>
  <c r="V78" i="15"/>
  <c r="V58" i="15"/>
  <c r="W58" i="15"/>
  <c r="X58" i="15"/>
  <c r="V59" i="15"/>
  <c r="W59" i="15"/>
  <c r="X59" i="15"/>
  <c r="V60" i="15"/>
  <c r="W60" i="15"/>
  <c r="X60" i="15"/>
  <c r="V62" i="15"/>
  <c r="W62" i="15"/>
  <c r="X62" i="15"/>
  <c r="V63" i="15"/>
  <c r="W63" i="15"/>
  <c r="X63" i="15"/>
  <c r="V69" i="15"/>
  <c r="W69" i="15"/>
  <c r="X69" i="15"/>
  <c r="V70" i="15"/>
  <c r="W70" i="15"/>
  <c r="X70" i="15"/>
  <c r="V71" i="15"/>
  <c r="W71" i="15"/>
  <c r="X71" i="15"/>
  <c r="V72" i="15"/>
  <c r="W72" i="15"/>
  <c r="X72" i="15"/>
  <c r="V73" i="15"/>
  <c r="W73" i="15"/>
  <c r="X73" i="15"/>
  <c r="W57" i="15"/>
  <c r="X57" i="15"/>
  <c r="V57" i="15"/>
  <c r="V39" i="15"/>
  <c r="W39" i="15"/>
  <c r="X39" i="15"/>
  <c r="V40" i="15"/>
  <c r="W40" i="15"/>
  <c r="X40" i="15"/>
  <c r="V41" i="15"/>
  <c r="W41" i="15"/>
  <c r="X41" i="15"/>
  <c r="V42" i="15"/>
  <c r="W42" i="15"/>
  <c r="X42" i="15"/>
  <c r="V43" i="15"/>
  <c r="W43" i="15"/>
  <c r="X43" i="15"/>
  <c r="V45" i="15"/>
  <c r="W45" i="15"/>
  <c r="X45" i="15"/>
  <c r="V46" i="15"/>
  <c r="W46" i="15"/>
  <c r="X46" i="15"/>
  <c r="V47" i="15"/>
  <c r="W47" i="15"/>
  <c r="X47" i="15"/>
  <c r="V48" i="15"/>
  <c r="W48" i="15"/>
  <c r="X48" i="15"/>
  <c r="V49" i="15"/>
  <c r="W49" i="15"/>
  <c r="X49" i="15"/>
  <c r="V50" i="15"/>
  <c r="W50" i="15"/>
  <c r="X50" i="15"/>
  <c r="V51" i="15"/>
  <c r="W51" i="15"/>
  <c r="X51" i="15"/>
  <c r="W38" i="15"/>
  <c r="X38" i="15"/>
  <c r="V38" i="15"/>
  <c r="AD27" i="15"/>
  <c r="AE27" i="15"/>
  <c r="AF27" i="15"/>
  <c r="AC27" i="15"/>
  <c r="AD20" i="15"/>
  <c r="AE20" i="15"/>
  <c r="AF20" i="15"/>
  <c r="AD21" i="15"/>
  <c r="AE21" i="15"/>
  <c r="AF21" i="15"/>
  <c r="AC20" i="15"/>
  <c r="AC21" i="15"/>
  <c r="W26" i="15"/>
  <c r="X26" i="15"/>
  <c r="W27" i="15"/>
  <c r="X27" i="15"/>
  <c r="Y27" i="15"/>
  <c r="W28" i="15"/>
  <c r="X28" i="15"/>
  <c r="W29" i="15"/>
  <c r="X29" i="15"/>
  <c r="W30" i="15"/>
  <c r="X30" i="15"/>
  <c r="V27" i="15"/>
  <c r="V28" i="15"/>
  <c r="V29" i="15"/>
  <c r="V30" i="15"/>
  <c r="V26" i="15"/>
  <c r="W24" i="15"/>
  <c r="X24" i="15"/>
  <c r="V24" i="15"/>
  <c r="W14" i="15"/>
  <c r="X14" i="15"/>
  <c r="W15" i="15"/>
  <c r="X15" i="15"/>
  <c r="W16" i="15"/>
  <c r="X16" i="15"/>
  <c r="W20" i="15"/>
  <c r="X20" i="15"/>
  <c r="Y20" i="15"/>
  <c r="W21" i="15"/>
  <c r="X21" i="15"/>
  <c r="Y21" i="15"/>
  <c r="W22" i="15"/>
  <c r="X22" i="15"/>
  <c r="V15" i="15"/>
  <c r="V16" i="15"/>
  <c r="V20" i="15"/>
  <c r="V21" i="15"/>
  <c r="V22" i="15"/>
  <c r="V14" i="15"/>
  <c r="W11" i="15"/>
  <c r="V11" i="15"/>
  <c r="F34" i="15"/>
  <c r="F12" i="15"/>
  <c r="B4" i="15"/>
  <c r="B2" i="15"/>
  <c r="F20" i="6" a="1"/>
  <c r="F20" i="6" s="1"/>
  <c r="C31" i="6" s="1"/>
  <c r="C32" i="6" s="1"/>
  <c r="F19" i="6"/>
  <c r="E20" i="6" a="1"/>
  <c r="E20" i="6" s="1"/>
  <c r="C24" i="6" s="1"/>
  <c r="E19" i="6"/>
  <c r="D13" i="6"/>
  <c r="D14" i="6"/>
  <c r="D15" i="6"/>
  <c r="D16" i="6"/>
  <c r="D17" i="6"/>
  <c r="D12" i="6"/>
  <c r="E13" i="11" l="1"/>
  <c r="H20" i="11" s="1"/>
  <c r="D116" i="15"/>
  <c r="C116" i="15" s="1"/>
  <c r="D100" i="15"/>
  <c r="C101" i="15"/>
  <c r="C102" i="15"/>
  <c r="D115" i="15"/>
  <c r="AF139" i="15"/>
  <c r="AD139" i="15"/>
  <c r="AD137" i="15"/>
  <c r="AC139" i="15"/>
  <c r="AC138" i="15"/>
  <c r="AC140" i="15"/>
  <c r="AE139" i="15"/>
  <c r="AC141" i="15"/>
  <c r="AF141" i="15"/>
  <c r="AF138" i="15"/>
  <c r="AE141" i="15"/>
  <c r="AF140" i="15"/>
  <c r="AE137" i="15"/>
  <c r="AE140" i="15"/>
  <c r="G20" i="11"/>
  <c r="K20" i="11"/>
  <c r="J20" i="11"/>
  <c r="I20" i="11"/>
  <c r="D99" i="15" l="1"/>
  <c r="C100" i="15"/>
  <c r="C115" i="15"/>
  <c r="D114" i="15"/>
  <c r="J51" i="3"/>
  <c r="H79" i="3"/>
  <c r="H80" i="3" s="1"/>
  <c r="I79" i="3"/>
  <c r="I57" i="3" s="1"/>
  <c r="G79" i="3"/>
  <c r="G80" i="3" s="1"/>
  <c r="H57" i="3" l="1"/>
  <c r="J57" i="3" s="1"/>
  <c r="G57" i="3"/>
  <c r="D98" i="15"/>
  <c r="C99" i="15"/>
  <c r="D113" i="15"/>
  <c r="C114" i="15"/>
  <c r="D97" i="15" l="1"/>
  <c r="C98" i="15"/>
  <c r="D112" i="15"/>
  <c r="C113" i="15"/>
  <c r="K57" i="3"/>
  <c r="D96" i="15" l="1"/>
  <c r="C97" i="15"/>
  <c r="C112" i="15"/>
  <c r="D111" i="15"/>
  <c r="L57" i="3"/>
  <c r="M57" i="3"/>
  <c r="N57" i="3" l="1"/>
  <c r="D95" i="15"/>
  <c r="C96" i="15"/>
  <c r="C111" i="15"/>
  <c r="D110" i="15"/>
  <c r="O15" i="10"/>
  <c r="O16" i="10"/>
  <c r="O17" i="10"/>
  <c r="N18" i="10"/>
  <c r="O18" i="10"/>
  <c r="O19" i="10"/>
  <c r="O14" i="10"/>
  <c r="I19" i="10"/>
  <c r="M19" i="10" s="1"/>
  <c r="F19" i="10"/>
  <c r="C17" i="6" s="1"/>
  <c r="G17" i="6" s="1"/>
  <c r="I18" i="10"/>
  <c r="M18" i="10" s="1"/>
  <c r="F18" i="10"/>
  <c r="C16" i="6" s="1"/>
  <c r="G16" i="6" s="1"/>
  <c r="F17" i="10"/>
  <c r="F16" i="10"/>
  <c r="F15" i="10"/>
  <c r="F14" i="10"/>
  <c r="J83" i="8"/>
  <c r="Y72" i="15" s="1"/>
  <c r="AB72" i="15" s="1"/>
  <c r="J82" i="8"/>
  <c r="Y71" i="15" s="1"/>
  <c r="AB71" i="15" s="1"/>
  <c r="J81" i="8"/>
  <c r="Y70" i="15" s="1"/>
  <c r="AB70" i="15" s="1"/>
  <c r="J80" i="8"/>
  <c r="Y69" i="15" s="1"/>
  <c r="AB69" i="15" s="1"/>
  <c r="J74" i="8"/>
  <c r="Y58" i="15" s="1"/>
  <c r="AB58" i="15" s="1"/>
  <c r="J73" i="8"/>
  <c r="Y57" i="15" s="1"/>
  <c r="AB57" i="15" s="1"/>
  <c r="K122" i="8"/>
  <c r="L122" i="8"/>
  <c r="M122" i="8"/>
  <c r="N122" i="8"/>
  <c r="K116" i="8"/>
  <c r="L116" i="8"/>
  <c r="M116" i="8"/>
  <c r="N116" i="8"/>
  <c r="J116" i="8"/>
  <c r="K96" i="3"/>
  <c r="L96" i="3"/>
  <c r="M96" i="3"/>
  <c r="N96" i="3"/>
  <c r="K123" i="8"/>
  <c r="L123" i="8"/>
  <c r="M123" i="8"/>
  <c r="N123" i="8"/>
  <c r="K125" i="8"/>
  <c r="L125" i="8"/>
  <c r="M125" i="8"/>
  <c r="N125" i="8"/>
  <c r="J89" i="8"/>
  <c r="Y78" i="15" s="1"/>
  <c r="N19" i="10" l="1"/>
  <c r="I15" i="10"/>
  <c r="C13" i="6"/>
  <c r="G13" i="6" s="1"/>
  <c r="I17" i="10"/>
  <c r="C15" i="6"/>
  <c r="G15" i="6" s="1"/>
  <c r="I14" i="10"/>
  <c r="C12" i="6"/>
  <c r="G12" i="6" s="1"/>
  <c r="I16" i="10"/>
  <c r="C14" i="6"/>
  <c r="G14" i="6" s="1"/>
  <c r="O26" i="10"/>
  <c r="O23" i="10"/>
  <c r="O22" i="10"/>
  <c r="O24" i="10"/>
  <c r="O25" i="10"/>
  <c r="K81" i="8"/>
  <c r="K82" i="8"/>
  <c r="Z78" i="15"/>
  <c r="AB78" i="15"/>
  <c r="AC78" i="15" s="1"/>
  <c r="AD78" i="15" s="1"/>
  <c r="AE78" i="15" s="1"/>
  <c r="AF78" i="15" s="1"/>
  <c r="K89" i="8"/>
  <c r="L89" i="8" s="1"/>
  <c r="M89" i="8" s="1"/>
  <c r="N89" i="8" s="1"/>
  <c r="K74" i="8"/>
  <c r="K80" i="8"/>
  <c r="K83" i="8"/>
  <c r="L81" i="8"/>
  <c r="AC70" i="15"/>
  <c r="K73" i="8"/>
  <c r="D94" i="15"/>
  <c r="C94" i="15" s="1"/>
  <c r="C95" i="15"/>
  <c r="C110" i="15"/>
  <c r="D109" i="15"/>
  <c r="C109" i="15" s="1"/>
  <c r="K105" i="3"/>
  <c r="L105" i="3"/>
  <c r="M105" i="3"/>
  <c r="N105" i="3"/>
  <c r="J105" i="3"/>
  <c r="J96" i="3"/>
  <c r="J100" i="3"/>
  <c r="K90" i="3"/>
  <c r="L90" i="3"/>
  <c r="M90" i="3"/>
  <c r="N90" i="3"/>
  <c r="J90" i="3"/>
  <c r="H85" i="8"/>
  <c r="W74" i="15" s="1"/>
  <c r="I85" i="8"/>
  <c r="X74" i="15" s="1"/>
  <c r="G85" i="8"/>
  <c r="V74" i="15" s="1"/>
  <c r="J130" i="8"/>
  <c r="J125" i="8"/>
  <c r="J123" i="8"/>
  <c r="J122" i="8"/>
  <c r="H119" i="3"/>
  <c r="I119" i="3"/>
  <c r="G119" i="3"/>
  <c r="J115" i="3"/>
  <c r="N17" i="10" l="1"/>
  <c r="M17" i="10"/>
  <c r="M16" i="10"/>
  <c r="N16" i="10"/>
  <c r="N14" i="10"/>
  <c r="M14" i="10"/>
  <c r="M15" i="10"/>
  <c r="N15" i="10"/>
  <c r="AC71" i="15"/>
  <c r="L82" i="8"/>
  <c r="M81" i="8"/>
  <c r="AD70" i="15"/>
  <c r="AC57" i="15"/>
  <c r="L73" i="8"/>
  <c r="AC69" i="15"/>
  <c r="L80" i="8"/>
  <c r="AC72" i="15"/>
  <c r="L83" i="8"/>
  <c r="L74" i="8"/>
  <c r="AC58" i="15"/>
  <c r="J119" i="3"/>
  <c r="K119" i="3" s="1"/>
  <c r="L119" i="3" s="1"/>
  <c r="N26" i="10" l="1"/>
  <c r="N24" i="10"/>
  <c r="N25" i="10"/>
  <c r="N22" i="10"/>
  <c r="N23" i="10"/>
  <c r="M25" i="10"/>
  <c r="M24" i="10"/>
  <c r="M23" i="10"/>
  <c r="M22" i="10"/>
  <c r="M26" i="10"/>
  <c r="AD71" i="15"/>
  <c r="M82" i="8"/>
  <c r="M74" i="8"/>
  <c r="AD58" i="15"/>
  <c r="AD72" i="15"/>
  <c r="M83" i="8"/>
  <c r="AD69" i="15"/>
  <c r="M80" i="8"/>
  <c r="AD57" i="15"/>
  <c r="M73" i="8"/>
  <c r="N81" i="8"/>
  <c r="AF70" i="15" s="1"/>
  <c r="AE70" i="15"/>
  <c r="M119" i="3"/>
  <c r="N119" i="3" s="1"/>
  <c r="AE71" i="15" l="1"/>
  <c r="N82" i="8"/>
  <c r="AF71" i="15" s="1"/>
  <c r="AE57" i="15"/>
  <c r="N73" i="8"/>
  <c r="AF57" i="15" s="1"/>
  <c r="AE69" i="15"/>
  <c r="N80" i="8"/>
  <c r="AF69" i="15" s="1"/>
  <c r="AE72" i="15"/>
  <c r="N83" i="8"/>
  <c r="AF72" i="15" s="1"/>
  <c r="N74" i="8"/>
  <c r="AF58" i="15" s="1"/>
  <c r="AE58" i="15"/>
  <c r="J110" i="3"/>
  <c r="J84" i="3" l="1"/>
  <c r="H66" i="3"/>
  <c r="I66" i="3"/>
  <c r="H75" i="3"/>
  <c r="H76" i="3" s="1"/>
  <c r="I75" i="3"/>
  <c r="H77" i="3"/>
  <c r="H78" i="3" s="1"/>
  <c r="I77" i="3"/>
  <c r="G77" i="3"/>
  <c r="G78" i="3" s="1"/>
  <c r="G75" i="3"/>
  <c r="G76" i="3" s="1"/>
  <c r="G66" i="3"/>
  <c r="H62" i="3"/>
  <c r="H69" i="3" s="1"/>
  <c r="I62" i="3"/>
  <c r="H63" i="3"/>
  <c r="I63" i="3"/>
  <c r="H73" i="3"/>
  <c r="H74" i="3" s="1"/>
  <c r="I73" i="3"/>
  <c r="G73" i="3"/>
  <c r="G74" i="3" s="1"/>
  <c r="G63" i="3"/>
  <c r="G62" i="3"/>
  <c r="G69" i="3" s="1"/>
  <c r="H39" i="3"/>
  <c r="G39" i="3"/>
  <c r="J32" i="3"/>
  <c r="I32" i="3"/>
  <c r="I33" i="3" s="1"/>
  <c r="H32" i="3"/>
  <c r="H33" i="3" s="1"/>
  <c r="G29" i="3"/>
  <c r="H29" i="3"/>
  <c r="H28" i="3"/>
  <c r="G28" i="3"/>
  <c r="I29" i="3"/>
  <c r="I28" i="3"/>
  <c r="J28" i="3" s="1"/>
  <c r="K28" i="3" s="1"/>
  <c r="L28" i="3" s="1"/>
  <c r="M28" i="3" s="1"/>
  <c r="N28" i="3" s="1"/>
  <c r="J87" i="3" l="1"/>
  <c r="J91" i="3" l="1"/>
  <c r="J97" i="3" s="1"/>
  <c r="J79" i="8"/>
  <c r="H24" i="3"/>
  <c r="I24" i="3"/>
  <c r="G24" i="3"/>
  <c r="H13" i="3"/>
  <c r="J13" i="3"/>
  <c r="G20" i="3"/>
  <c r="G21" i="3" s="1"/>
  <c r="H20" i="3"/>
  <c r="H21" i="3" s="1"/>
  <c r="I20" i="3"/>
  <c r="I13" i="3"/>
  <c r="G7" i="3"/>
  <c r="H7" i="3" s="1"/>
  <c r="I7" i="3" s="1"/>
  <c r="J7" i="3" s="1"/>
  <c r="K7" i="3" s="1"/>
  <c r="L7" i="3" s="1"/>
  <c r="M7" i="3" s="1"/>
  <c r="N7" i="3" s="1"/>
  <c r="J93" i="8"/>
  <c r="J92" i="8"/>
  <c r="J67" i="8"/>
  <c r="J65" i="8"/>
  <c r="J64" i="8"/>
  <c r="J63" i="8"/>
  <c r="J59" i="8"/>
  <c r="J56" i="8"/>
  <c r="G44" i="8"/>
  <c r="H45" i="8"/>
  <c r="G45" i="8"/>
  <c r="H44" i="8"/>
  <c r="I45" i="8"/>
  <c r="I44" i="8"/>
  <c r="O64" i="9"/>
  <c r="O51" i="9"/>
  <c r="O46" i="9"/>
  <c r="O59" i="9"/>
  <c r="H120" i="9"/>
  <c r="H121" i="9" s="1"/>
  <c r="I120" i="9"/>
  <c r="I121" i="9" s="1"/>
  <c r="G120" i="9"/>
  <c r="G121" i="9" s="1"/>
  <c r="J49" i="8"/>
  <c r="J48" i="8"/>
  <c r="H117" i="9"/>
  <c r="I117" i="9"/>
  <c r="G117" i="9"/>
  <c r="H115" i="9"/>
  <c r="I115" i="9"/>
  <c r="G115" i="9"/>
  <c r="I27" i="8"/>
  <c r="X12" i="15" s="1"/>
  <c r="H27" i="8"/>
  <c r="W12" i="15" s="1"/>
  <c r="G27" i="8"/>
  <c r="V12" i="15" s="1"/>
  <c r="G103" i="9"/>
  <c r="H103" i="9"/>
  <c r="I103" i="9"/>
  <c r="G93" i="9"/>
  <c r="H93" i="9"/>
  <c r="I93" i="9"/>
  <c r="J93" i="9"/>
  <c r="H100" i="9"/>
  <c r="I100" i="9"/>
  <c r="G100" i="9"/>
  <c r="J97" i="9"/>
  <c r="I97" i="9"/>
  <c r="H97" i="9"/>
  <c r="K48" i="8" l="1"/>
  <c r="L48" i="8" s="1"/>
  <c r="M48" i="8" s="1"/>
  <c r="N48" i="8" s="1"/>
  <c r="F20" i="15"/>
  <c r="F21" i="15" s="1"/>
  <c r="K49" i="8"/>
  <c r="L49" i="8" s="1"/>
  <c r="M49" i="8" s="1"/>
  <c r="N49" i="8" s="1"/>
  <c r="F22" i="15"/>
  <c r="F23" i="15" s="1"/>
  <c r="L10" i="15" s="1"/>
  <c r="E21" i="10"/>
  <c r="F21" i="10" s="1"/>
  <c r="C11" i="6" s="1"/>
  <c r="G23" i="6" s="1"/>
  <c r="K64" i="8"/>
  <c r="Y47" i="15"/>
  <c r="AB47" i="15" s="1"/>
  <c r="K65" i="8"/>
  <c r="L65" i="8" s="1"/>
  <c r="M65" i="8" s="1"/>
  <c r="N65" i="8" s="1"/>
  <c r="Y48" i="15"/>
  <c r="K56" i="8"/>
  <c r="AC39" i="15" s="1"/>
  <c r="Y39" i="15"/>
  <c r="AB39" i="15" s="1"/>
  <c r="K59" i="8"/>
  <c r="Y42" i="15"/>
  <c r="AB42" i="15" s="1"/>
  <c r="K63" i="8"/>
  <c r="Y46" i="15"/>
  <c r="AB46" i="15" s="1"/>
  <c r="K67" i="8"/>
  <c r="Y50" i="15"/>
  <c r="AB50" i="15" s="1"/>
  <c r="K92" i="8"/>
  <c r="L92" i="8" s="1"/>
  <c r="M92" i="8" s="1"/>
  <c r="N92" i="8" s="1"/>
  <c r="Y81" i="15"/>
  <c r="K93" i="8"/>
  <c r="Y82" i="15"/>
  <c r="K84" i="3"/>
  <c r="K87" i="3" s="1"/>
  <c r="K79" i="8" s="1"/>
  <c r="L84" i="3" s="1"/>
  <c r="L87" i="3" s="1"/>
  <c r="Y63" i="15"/>
  <c r="AB63" i="15" s="1"/>
  <c r="AC63" i="15" s="1"/>
  <c r="AD63" i="15" s="1"/>
  <c r="AE63" i="15" s="1"/>
  <c r="AF63" i="15" s="1"/>
  <c r="F25" i="15"/>
  <c r="G21" i="10"/>
  <c r="D11" i="6" s="1"/>
  <c r="O117" i="9"/>
  <c r="H70" i="3"/>
  <c r="H71" i="3"/>
  <c r="I71" i="3"/>
  <c r="J71" i="3" s="1"/>
  <c r="K71" i="3" s="1"/>
  <c r="L71" i="3" s="1"/>
  <c r="M71" i="3" s="1"/>
  <c r="N71" i="3" s="1"/>
  <c r="I70" i="3"/>
  <c r="J70" i="3" s="1"/>
  <c r="K70" i="3" s="1"/>
  <c r="L70" i="3" s="1"/>
  <c r="M70" i="3" s="1"/>
  <c r="N70" i="3" s="1"/>
  <c r="G71" i="3"/>
  <c r="G70" i="3"/>
  <c r="L56" i="8"/>
  <c r="AD39" i="15" s="1"/>
  <c r="J24" i="3"/>
  <c r="K24" i="3" s="1"/>
  <c r="L24" i="3" s="1"/>
  <c r="O115" i="9"/>
  <c r="O120" i="9"/>
  <c r="O103" i="9"/>
  <c r="O100" i="9"/>
  <c r="L52" i="15" l="1"/>
  <c r="L55" i="15"/>
  <c r="L53" i="15"/>
  <c r="F64" i="15"/>
  <c r="K91" i="3"/>
  <c r="K97" i="3" s="1"/>
  <c r="L91" i="3"/>
  <c r="L97" i="3" s="1"/>
  <c r="L67" i="8"/>
  <c r="AC50" i="15"/>
  <c r="L63" i="8"/>
  <c r="AC46" i="15"/>
  <c r="F66" i="15"/>
  <c r="AA48" i="15"/>
  <c r="L59" i="8"/>
  <c r="AC42" i="15"/>
  <c r="L64" i="8"/>
  <c r="AC47" i="15"/>
  <c r="Z81" i="15"/>
  <c r="AB81" i="15"/>
  <c r="AC81" i="15" s="1"/>
  <c r="AD81" i="15" s="1"/>
  <c r="AE81" i="15" s="1"/>
  <c r="AF81" i="15" s="1"/>
  <c r="Z82" i="15"/>
  <c r="AB82" i="15"/>
  <c r="L93" i="8"/>
  <c r="AC82" i="15"/>
  <c r="G24" i="6"/>
  <c r="G25" i="6" s="1"/>
  <c r="G29" i="6" s="1"/>
  <c r="G11" i="6"/>
  <c r="G20" i="6" s="1" a="1"/>
  <c r="L79" i="8"/>
  <c r="M84" i="3" s="1"/>
  <c r="M87" i="3" s="1"/>
  <c r="M56" i="8"/>
  <c r="AE39" i="15" s="1"/>
  <c r="M24" i="3"/>
  <c r="N24" i="3" s="1"/>
  <c r="N97" i="9" a="1"/>
  <c r="N97" i="9" s="1"/>
  <c r="K96" i="9"/>
  <c r="K98" i="9"/>
  <c r="L98" i="9"/>
  <c r="L96" i="9"/>
  <c r="M63" i="8" l="1"/>
  <c r="AD46" i="15"/>
  <c r="AD47" i="15"/>
  <c r="M64" i="8"/>
  <c r="M59" i="8"/>
  <c r="AD42" i="15"/>
  <c r="M67" i="8"/>
  <c r="AD50" i="15"/>
  <c r="M93" i="8"/>
  <c r="AD82" i="15"/>
  <c r="G20" i="6"/>
  <c r="G19" i="6"/>
  <c r="N56" i="8"/>
  <c r="AF39" i="15" s="1"/>
  <c r="N98" i="9"/>
  <c r="N96" i="9"/>
  <c r="M96" i="9"/>
  <c r="M98" i="9"/>
  <c r="N67" i="8" l="1"/>
  <c r="AF50" i="15" s="1"/>
  <c r="AE50" i="15"/>
  <c r="N59" i="8"/>
  <c r="AF42" i="15" s="1"/>
  <c r="AE42" i="15"/>
  <c r="AE47" i="15"/>
  <c r="N64" i="8"/>
  <c r="AF47" i="15" s="1"/>
  <c r="N63" i="8"/>
  <c r="AF46" i="15" s="1"/>
  <c r="AE46" i="15"/>
  <c r="N93" i="8"/>
  <c r="AF82" i="15" s="1"/>
  <c r="AE82" i="15"/>
  <c r="M91" i="3"/>
  <c r="M97" i="3" s="1"/>
  <c r="M79" i="8"/>
  <c r="N84" i="3" s="1"/>
  <c r="N87" i="3" s="1"/>
  <c r="N79" i="8" s="1"/>
  <c r="G72" i="9"/>
  <c r="H72" i="9"/>
  <c r="H73" i="9" s="1"/>
  <c r="I72" i="9"/>
  <c r="G74" i="9"/>
  <c r="H74" i="9"/>
  <c r="I74" i="9"/>
  <c r="I75" i="9" s="1"/>
  <c r="H90" i="9"/>
  <c r="H91" i="9" s="1"/>
  <c r="I90" i="9"/>
  <c r="I91" i="9" s="1"/>
  <c r="G90" i="9"/>
  <c r="I87" i="9"/>
  <c r="J87" i="9"/>
  <c r="H87" i="9"/>
  <c r="K87" i="9" s="1"/>
  <c r="N91" i="3" l="1"/>
  <c r="N97" i="3" s="1"/>
  <c r="K86" i="9"/>
  <c r="K88" i="9"/>
  <c r="L87" i="9"/>
  <c r="O90" i="9"/>
  <c r="G91" i="9"/>
  <c r="I73" i="9"/>
  <c r="I76" i="9" s="1"/>
  <c r="H75" i="9"/>
  <c r="G76" i="9"/>
  <c r="O76" i="9" s="1"/>
  <c r="H76" i="9"/>
  <c r="I69" i="9"/>
  <c r="H69" i="9"/>
  <c r="G69" i="9"/>
  <c r="N68" i="9"/>
  <c r="I67" i="9"/>
  <c r="H67" i="9"/>
  <c r="N66" i="9"/>
  <c r="N63" i="9"/>
  <c r="I62" i="9"/>
  <c r="H62" i="9"/>
  <c r="N61" i="9"/>
  <c r="I56" i="9"/>
  <c r="H56" i="9"/>
  <c r="G56" i="9"/>
  <c r="I54" i="9"/>
  <c r="J53" i="9" s="1"/>
  <c r="H54" i="9"/>
  <c r="N55" i="9"/>
  <c r="N53" i="9"/>
  <c r="I49" i="9"/>
  <c r="H49" i="9"/>
  <c r="G111" i="9" l="1"/>
  <c r="G114" i="9"/>
  <c r="G108" i="9"/>
  <c r="I114" i="9"/>
  <c r="I111" i="9"/>
  <c r="I108" i="9"/>
  <c r="M87" i="9"/>
  <c r="L86" i="9"/>
  <c r="L88" i="9"/>
  <c r="H114" i="9"/>
  <c r="H111" i="9"/>
  <c r="H108" i="9"/>
  <c r="H77" i="9"/>
  <c r="I77" i="9"/>
  <c r="J61" i="9"/>
  <c r="J49" i="9"/>
  <c r="J55" i="9"/>
  <c r="G41" i="9"/>
  <c r="G40" i="9"/>
  <c r="I41" i="9"/>
  <c r="H41" i="9"/>
  <c r="I40" i="9"/>
  <c r="H40" i="9"/>
  <c r="H82" i="9"/>
  <c r="H83" i="9" s="1"/>
  <c r="I82" i="9"/>
  <c r="I83" i="9" s="1"/>
  <c r="J83" i="9" s="1"/>
  <c r="K83" i="9" s="1"/>
  <c r="L83" i="9" s="1"/>
  <c r="G82" i="9"/>
  <c r="I21" i="8"/>
  <c r="G37" i="9"/>
  <c r="G101" i="9" s="1"/>
  <c r="G25" i="9"/>
  <c r="G29" i="9"/>
  <c r="G33" i="9"/>
  <c r="G19" i="9"/>
  <c r="H37" i="9"/>
  <c r="H101" i="9" s="1"/>
  <c r="H33" i="9"/>
  <c r="H29" i="9"/>
  <c r="H25" i="9"/>
  <c r="H19" i="9"/>
  <c r="I37" i="9"/>
  <c r="I101" i="9" s="1"/>
  <c r="I33" i="9"/>
  <c r="I29" i="9"/>
  <c r="I25" i="9"/>
  <c r="I19" i="9"/>
  <c r="G7" i="9"/>
  <c r="H94" i="8"/>
  <c r="W84" i="15" s="1"/>
  <c r="G94" i="8"/>
  <c r="V84" i="15" s="1"/>
  <c r="H77" i="8"/>
  <c r="W61" i="15" s="1"/>
  <c r="G77" i="8"/>
  <c r="V61" i="15" s="1"/>
  <c r="H61" i="8"/>
  <c r="G61" i="8"/>
  <c r="I94" i="8"/>
  <c r="X84" i="15" s="1"/>
  <c r="I77" i="8"/>
  <c r="X61" i="15" s="1"/>
  <c r="I61" i="8"/>
  <c r="X11" i="15" l="1"/>
  <c r="I80" i="3"/>
  <c r="H69" i="8"/>
  <c r="W44" i="15"/>
  <c r="W53" i="15" s="1"/>
  <c r="I69" i="8"/>
  <c r="X44" i="15"/>
  <c r="X53" i="15" s="1"/>
  <c r="G69" i="8"/>
  <c r="V44" i="15"/>
  <c r="V53" i="15" s="1"/>
  <c r="I69" i="3"/>
  <c r="J69" i="3" s="1"/>
  <c r="K69" i="3" s="1"/>
  <c r="L69" i="3" s="1"/>
  <c r="M69" i="3" s="1"/>
  <c r="N69" i="3" s="1"/>
  <c r="I78" i="3"/>
  <c r="J78" i="3" s="1" a="1"/>
  <c r="I76" i="3"/>
  <c r="I74" i="3"/>
  <c r="H86" i="8"/>
  <c r="I86" i="8"/>
  <c r="I39" i="3"/>
  <c r="I21" i="3"/>
  <c r="M83" i="9"/>
  <c r="M86" i="9"/>
  <c r="M88" i="9"/>
  <c r="J108" i="9"/>
  <c r="J114" i="9"/>
  <c r="J111" i="9" a="1"/>
  <c r="J111" i="9" s="1"/>
  <c r="K111" i="9" s="1" a="1"/>
  <c r="K111" i="9" s="1"/>
  <c r="K108" i="9"/>
  <c r="N87" i="9"/>
  <c r="G86" i="8"/>
  <c r="G83" i="9"/>
  <c r="O82" i="9"/>
  <c r="J101" i="9"/>
  <c r="J68" i="9"/>
  <c r="K67" i="9"/>
  <c r="L67" i="9" s="1"/>
  <c r="M67" i="9" s="1"/>
  <c r="J66" i="9"/>
  <c r="J63" i="9"/>
  <c r="J50" i="9"/>
  <c r="J48" i="9"/>
  <c r="K61" i="9"/>
  <c r="K63" i="9"/>
  <c r="K53" i="9"/>
  <c r="K55" i="9"/>
  <c r="O25" i="9"/>
  <c r="O19" i="9"/>
  <c r="O29" i="9"/>
  <c r="O56" i="9"/>
  <c r="O33" i="9"/>
  <c r="O69" i="9"/>
  <c r="O37" i="9"/>
  <c r="H38" i="9"/>
  <c r="H42" i="9" s="1"/>
  <c r="I38" i="9"/>
  <c r="I42" i="9" s="1"/>
  <c r="G38" i="9"/>
  <c r="G42" i="9" s="1"/>
  <c r="D5" i="11"/>
  <c r="D5" i="10"/>
  <c r="C5" i="6"/>
  <c r="D5" i="3"/>
  <c r="J80" i="3" l="1"/>
  <c r="K80" i="3" s="1"/>
  <c r="L80" i="3"/>
  <c r="M80" i="3" s="1"/>
  <c r="N80" i="3" s="1"/>
  <c r="I95" i="8"/>
  <c r="X75" i="15"/>
  <c r="G95" i="8"/>
  <c r="V75" i="15"/>
  <c r="H95" i="8"/>
  <c r="W75" i="15"/>
  <c r="J74" i="3" a="1"/>
  <c r="J74" i="3" s="1"/>
  <c r="J76" i="3" a="1"/>
  <c r="J76" i="3" s="1"/>
  <c r="J78" i="3"/>
  <c r="J39" i="3" a="1"/>
  <c r="J39" i="3" s="1"/>
  <c r="L108" i="9"/>
  <c r="N83" i="9"/>
  <c r="M108" i="9"/>
  <c r="N108" i="9"/>
  <c r="L111" i="9" a="1"/>
  <c r="L111" i="9" s="1"/>
  <c r="M111" i="9" s="1" a="1"/>
  <c r="M111" i="9" s="1"/>
  <c r="N111" i="9" s="1" a="1"/>
  <c r="N111" i="9" s="1"/>
  <c r="G104" i="9"/>
  <c r="G118" i="9"/>
  <c r="L114" i="9"/>
  <c r="I104" i="9"/>
  <c r="I118" i="9"/>
  <c r="H104" i="9"/>
  <c r="H118" i="9"/>
  <c r="N88" i="9"/>
  <c r="N86" i="9"/>
  <c r="K114" i="9"/>
  <c r="K101" i="9"/>
  <c r="L101" i="9" s="1"/>
  <c r="L68" i="9"/>
  <c r="L66" i="9"/>
  <c r="K68" i="9"/>
  <c r="K66" i="9"/>
  <c r="M68" i="9"/>
  <c r="M66" i="9"/>
  <c r="L61" i="9"/>
  <c r="L63" i="9"/>
  <c r="L55" i="9"/>
  <c r="L53" i="9"/>
  <c r="O38" i="9"/>
  <c r="H97" i="8" l="1"/>
  <c r="W85" i="15"/>
  <c r="W87" i="15" s="1"/>
  <c r="G97" i="8"/>
  <c r="V85" i="15"/>
  <c r="V87" i="15" s="1"/>
  <c r="I97" i="8"/>
  <c r="X85" i="15"/>
  <c r="X87" i="15" s="1"/>
  <c r="K76" i="3" a="1"/>
  <c r="K76" i="3" s="1"/>
  <c r="L76" i="3" s="1" a="1"/>
  <c r="L76" i="3" s="1"/>
  <c r="M76" i="3" s="1" a="1"/>
  <c r="M76" i="3" s="1"/>
  <c r="K74" i="3" a="1"/>
  <c r="K74" i="3" s="1"/>
  <c r="K78" i="3" a="1"/>
  <c r="K78" i="3" s="1"/>
  <c r="K39" i="3" a="1"/>
  <c r="K39" i="3" s="1"/>
  <c r="J104" i="9" a="1"/>
  <c r="J104" i="9" s="1"/>
  <c r="K104" i="9" s="1" a="1"/>
  <c r="J118" i="9"/>
  <c r="M114" i="9"/>
  <c r="N114" i="9" s="1"/>
  <c r="M101" i="9"/>
  <c r="N101" i="9" s="1"/>
  <c r="M61" i="9"/>
  <c r="M63" i="9"/>
  <c r="M55" i="9"/>
  <c r="M53" i="9"/>
  <c r="B4" i="11"/>
  <c r="B2" i="11"/>
  <c r="B2" i="10"/>
  <c r="B2" i="6"/>
  <c r="L78" i="3" l="1" a="1"/>
  <c r="L78" i="3" s="1"/>
  <c r="M78" i="3" s="1" a="1"/>
  <c r="M78" i="3" s="1"/>
  <c r="N78" i="3" s="1" a="1"/>
  <c r="N78" i="3" s="1"/>
  <c r="L74" i="3" a="1"/>
  <c r="L74" i="3" s="1"/>
  <c r="M74" i="3" s="1" a="1"/>
  <c r="M74" i="3" s="1"/>
  <c r="N74" i="3" s="1" a="1"/>
  <c r="N74" i="3" s="1"/>
  <c r="N76" i="3" a="1"/>
  <c r="N76" i="3" s="1"/>
  <c r="K104" i="9"/>
  <c r="L39" i="3" a="1"/>
  <c r="L39" i="3" s="1"/>
  <c r="M39" i="3" s="1" a="1"/>
  <c r="M39" i="3" s="1"/>
  <c r="N39" i="3" s="1" a="1"/>
  <c r="N39" i="3" s="1"/>
  <c r="K118" i="9"/>
  <c r="L118" i="9" s="1"/>
  <c r="L104" i="9" a="1"/>
  <c r="L104" i="9" l="1"/>
  <c r="M104" i="9" s="1" a="1"/>
  <c r="M104" i="9" s="1"/>
  <c r="N104" i="9" s="1" a="1"/>
  <c r="N104" i="9" s="1"/>
  <c r="M118" i="9"/>
  <c r="N118" i="9" s="1"/>
  <c r="H7" i="9"/>
  <c r="I7" i="9" s="1"/>
  <c r="J7" i="9" s="1"/>
  <c r="K7" i="9" s="1"/>
  <c r="L7" i="9" s="1"/>
  <c r="M7" i="9" s="1"/>
  <c r="N7" i="9" s="1"/>
  <c r="G9" i="1"/>
  <c r="D5" i="9"/>
  <c r="K85" i="9" s="1"/>
  <c r="B4" i="9"/>
  <c r="B2" i="9"/>
  <c r="B4" i="3" l="1"/>
  <c r="B2" i="3"/>
  <c r="D5" i="8"/>
  <c r="B4" i="8"/>
  <c r="B2" i="8"/>
  <c r="H7" i="8"/>
  <c r="I7" i="8" s="1"/>
  <c r="J7" i="8" s="1"/>
  <c r="K7" i="8" l="1"/>
  <c r="L7" i="8" s="1"/>
  <c r="M7" i="8" s="1"/>
  <c r="N7" i="8" s="1"/>
  <c r="G16" i="1" s="1"/>
  <c r="G17" i="11"/>
  <c r="H17" i="11" s="1"/>
  <c r="I17" i="11" s="1"/>
  <c r="J17" i="11" s="1"/>
  <c r="K17" i="11" s="1"/>
  <c r="G11" i="1"/>
  <c r="G15" i="1"/>
  <c r="G17" i="1" l="1"/>
  <c r="N50" i="9" l="1"/>
  <c r="K49" i="9"/>
  <c r="N48" i="9"/>
  <c r="K50" i="9" l="1"/>
  <c r="K48" i="9"/>
  <c r="L48" i="9" l="1"/>
  <c r="L50" i="9"/>
  <c r="M48" i="9" l="1"/>
  <c r="M50" i="9"/>
  <c r="J47" i="9" l="1"/>
  <c r="J46" i="9" s="1"/>
  <c r="K47" i="9"/>
  <c r="L47" i="9"/>
  <c r="M47" i="9"/>
  <c r="N47" i="9"/>
  <c r="J52" i="9"/>
  <c r="J51" i="9" s="1"/>
  <c r="K52" i="9"/>
  <c r="L52" i="9"/>
  <c r="M52" i="9"/>
  <c r="N52" i="9"/>
  <c r="J60" i="9"/>
  <c r="J59" i="9" s="1"/>
  <c r="K60" i="9"/>
  <c r="L60" i="9"/>
  <c r="M60" i="9"/>
  <c r="N60" i="9"/>
  <c r="J65" i="9"/>
  <c r="J64" i="9" s="1"/>
  <c r="K65" i="9"/>
  <c r="L65" i="9"/>
  <c r="M65" i="9"/>
  <c r="N65" i="9"/>
  <c r="K84" i="9"/>
  <c r="L85" i="9"/>
  <c r="M85" i="9"/>
  <c r="N85" i="9"/>
  <c r="K95" i="9"/>
  <c r="K94" i="9" s="1"/>
  <c r="K93" i="9" s="1"/>
  <c r="L95" i="9"/>
  <c r="M95" i="9"/>
  <c r="N95" i="9"/>
  <c r="K64" i="9" l="1"/>
  <c r="L64" i="9" s="1"/>
  <c r="M64" i="9" s="1"/>
  <c r="N64" i="9" s="1"/>
  <c r="P64" i="9" s="1"/>
  <c r="L94" i="9"/>
  <c r="L93" i="9" s="1"/>
  <c r="L84" i="9"/>
  <c r="M84" i="9" s="1"/>
  <c r="N84" i="9" s="1"/>
  <c r="J72" i="9"/>
  <c r="J56" i="9"/>
  <c r="K46" i="9"/>
  <c r="K59" i="9"/>
  <c r="J69" i="9"/>
  <c r="K51" i="9"/>
  <c r="J74" i="9"/>
  <c r="J75" i="9" s="1"/>
  <c r="M94" i="9" l="1"/>
  <c r="N94" i="9" s="1"/>
  <c r="N93" i="9" s="1"/>
  <c r="K74" i="9"/>
  <c r="K75" i="9" s="1"/>
  <c r="L51" i="9"/>
  <c r="J113" i="9"/>
  <c r="J107" i="9"/>
  <c r="J110" i="9"/>
  <c r="L59" i="9"/>
  <c r="K69" i="9"/>
  <c r="K72" i="9"/>
  <c r="K56" i="9"/>
  <c r="L46" i="9"/>
  <c r="J73" i="9"/>
  <c r="J24" i="9"/>
  <c r="J36" i="9"/>
  <c r="J28" i="9"/>
  <c r="J18" i="9"/>
  <c r="J32" i="9"/>
  <c r="K36" i="9" l="1"/>
  <c r="K32" i="9"/>
  <c r="M93" i="9"/>
  <c r="K28" i="9"/>
  <c r="K24" i="9"/>
  <c r="K73" i="9"/>
  <c r="K76" i="9" s="1"/>
  <c r="K113" i="9"/>
  <c r="K107" i="9"/>
  <c r="K110" i="9"/>
  <c r="L69" i="9"/>
  <c r="M59" i="9"/>
  <c r="K18" i="9"/>
  <c r="J41" i="9"/>
  <c r="J115" i="9"/>
  <c r="J17" i="9"/>
  <c r="J31" i="9"/>
  <c r="J23" i="9"/>
  <c r="J35" i="9"/>
  <c r="J27" i="9"/>
  <c r="J76" i="9"/>
  <c r="L74" i="9"/>
  <c r="L75" i="9" s="1"/>
  <c r="M51" i="9"/>
  <c r="L72" i="9"/>
  <c r="L56" i="9"/>
  <c r="M46" i="9"/>
  <c r="L32" i="9" l="1"/>
  <c r="L28" i="9"/>
  <c r="K82" i="9"/>
  <c r="K23" i="8" s="1"/>
  <c r="K77" i="9"/>
  <c r="L73" i="9"/>
  <c r="L76" i="9" s="1"/>
  <c r="J77" i="9"/>
  <c r="J92" i="9" s="1"/>
  <c r="J82" i="9"/>
  <c r="K27" i="9"/>
  <c r="J29" i="9"/>
  <c r="J37" i="9"/>
  <c r="K35" i="9"/>
  <c r="L24" i="9"/>
  <c r="M74" i="9"/>
  <c r="M75" i="9" s="1"/>
  <c r="N51" i="9"/>
  <c r="K41" i="9"/>
  <c r="L18" i="9"/>
  <c r="M69" i="9"/>
  <c r="N59" i="9"/>
  <c r="L110" i="9"/>
  <c r="L113" i="9"/>
  <c r="L107" i="9"/>
  <c r="K115" i="9"/>
  <c r="K29" i="8" s="1"/>
  <c r="AC14" i="15" s="1"/>
  <c r="J25" i="9"/>
  <c r="K23" i="9"/>
  <c r="J33" i="9"/>
  <c r="K31" i="9"/>
  <c r="J19" i="9"/>
  <c r="K17" i="9"/>
  <c r="J40" i="9"/>
  <c r="L36" i="9"/>
  <c r="N46" i="9"/>
  <c r="M72" i="9"/>
  <c r="M56" i="9"/>
  <c r="J29" i="8"/>
  <c r="Y14" i="15" l="1"/>
  <c r="M32" i="9"/>
  <c r="L115" i="9"/>
  <c r="L29" i="8" s="1"/>
  <c r="AD14" i="15" s="1"/>
  <c r="M36" i="9"/>
  <c r="K37" i="9"/>
  <c r="K100" i="9" s="1"/>
  <c r="K25" i="8" s="1"/>
  <c r="L35" i="9"/>
  <c r="M110" i="9"/>
  <c r="M113" i="9"/>
  <c r="M107" i="9"/>
  <c r="N72" i="9"/>
  <c r="N56" i="9"/>
  <c r="P56" i="9" s="1"/>
  <c r="P46" i="9"/>
  <c r="L27" i="9"/>
  <c r="K29" i="9"/>
  <c r="K92" i="9"/>
  <c r="J91" i="9"/>
  <c r="J90" i="9" s="1"/>
  <c r="K19" i="9"/>
  <c r="L17" i="9"/>
  <c r="K40" i="9"/>
  <c r="L41" i="9"/>
  <c r="M18" i="9"/>
  <c r="J19" i="8"/>
  <c r="N69" i="9"/>
  <c r="P59" i="9"/>
  <c r="L82" i="9"/>
  <c r="L23" i="8" s="1"/>
  <c r="L77" i="9"/>
  <c r="J100" i="9"/>
  <c r="M73" i="9"/>
  <c r="M76" i="9" s="1"/>
  <c r="N74" i="9"/>
  <c r="N75" i="9" s="1"/>
  <c r="P51" i="9"/>
  <c r="J23" i="8"/>
  <c r="M28" i="9"/>
  <c r="K33" i="9"/>
  <c r="L31" i="9"/>
  <c r="K25" i="9"/>
  <c r="L23" i="9"/>
  <c r="J38" i="9"/>
  <c r="M24" i="9"/>
  <c r="N32" i="9" l="1"/>
  <c r="N36" i="9"/>
  <c r="N28" i="9"/>
  <c r="M115" i="9"/>
  <c r="M29" i="8" s="1"/>
  <c r="AE14" i="15" s="1"/>
  <c r="N24" i="9"/>
  <c r="J20" i="8"/>
  <c r="J21" i="8" s="1"/>
  <c r="Y11" i="15" s="1"/>
  <c r="J42" i="9"/>
  <c r="L25" i="9"/>
  <c r="M23" i="9"/>
  <c r="N18" i="9"/>
  <c r="M41" i="9"/>
  <c r="N110" i="9"/>
  <c r="N113" i="9"/>
  <c r="N107" i="9"/>
  <c r="P69" i="9"/>
  <c r="N73" i="9"/>
  <c r="N76" i="9" s="1"/>
  <c r="K38" i="9"/>
  <c r="K20" i="8" s="1"/>
  <c r="M82" i="9"/>
  <c r="M23" i="8" s="1"/>
  <c r="M77" i="9"/>
  <c r="L33" i="9"/>
  <c r="M31" i="9"/>
  <c r="L19" i="9"/>
  <c r="M17" i="9"/>
  <c r="L40" i="9"/>
  <c r="J25" i="8"/>
  <c r="K19" i="8"/>
  <c r="L37" i="9"/>
  <c r="L100" i="9" s="1"/>
  <c r="L25" i="8" s="1"/>
  <c r="M35" i="9"/>
  <c r="J24" i="8"/>
  <c r="M27" i="9"/>
  <c r="L29" i="9"/>
  <c r="L92" i="9"/>
  <c r="K91" i="9"/>
  <c r="K90" i="9" s="1"/>
  <c r="K24" i="8" s="1"/>
  <c r="N115" i="9" l="1"/>
  <c r="N29" i="8" s="1"/>
  <c r="AF14" i="15" s="1"/>
  <c r="N41" i="9"/>
  <c r="J73" i="3"/>
  <c r="J60" i="8" s="1"/>
  <c r="Y43" i="15" s="1"/>
  <c r="AB43" i="15" s="1"/>
  <c r="J20" i="3"/>
  <c r="J21" i="10"/>
  <c r="J79" i="3"/>
  <c r="J68" i="8" s="1"/>
  <c r="J75" i="3"/>
  <c r="J76" i="8" s="1"/>
  <c r="Y60" i="15" s="1"/>
  <c r="AB60" i="15" s="1"/>
  <c r="J38" i="3"/>
  <c r="J62" i="3"/>
  <c r="J57" i="8" s="1"/>
  <c r="Y40" i="15" s="1"/>
  <c r="AB40" i="15" s="1"/>
  <c r="J77" i="3"/>
  <c r="J84" i="8" s="1"/>
  <c r="M19" i="9"/>
  <c r="N17" i="9"/>
  <c r="M40" i="9"/>
  <c r="M29" i="9"/>
  <c r="N27" i="9"/>
  <c r="N29" i="9" s="1"/>
  <c r="P29" i="9" s="1"/>
  <c r="M33" i="9"/>
  <c r="N31" i="9"/>
  <c r="N33" i="9" s="1"/>
  <c r="P33" i="9" s="1"/>
  <c r="M25" i="9"/>
  <c r="N23" i="9"/>
  <c r="N25" i="9" s="1"/>
  <c r="L38" i="9"/>
  <c r="L20" i="8" s="1"/>
  <c r="M37" i="9"/>
  <c r="M100" i="9" s="1"/>
  <c r="M25" i="8" s="1"/>
  <c r="N35" i="9"/>
  <c r="N37" i="9" s="1"/>
  <c r="J117" i="9"/>
  <c r="J103" i="9"/>
  <c r="M92" i="9"/>
  <c r="L91" i="9"/>
  <c r="L90" i="9" s="1"/>
  <c r="L24" i="8" s="1"/>
  <c r="L19" i="8"/>
  <c r="K21" i="8"/>
  <c r="AC11" i="15" s="1"/>
  <c r="N82" i="9"/>
  <c r="N77" i="9"/>
  <c r="P76" i="9"/>
  <c r="K42" i="9"/>
  <c r="AC111" i="15" l="1"/>
  <c r="J112" i="8"/>
  <c r="Y73" i="15"/>
  <c r="AB73" i="15" s="1"/>
  <c r="J54" i="3"/>
  <c r="J56" i="3" s="1"/>
  <c r="J53" i="3" s="1"/>
  <c r="J52" i="3" s="1"/>
  <c r="J118" i="8" s="1"/>
  <c r="Y51" i="15"/>
  <c r="AB51" i="15" s="1"/>
  <c r="J111" i="8"/>
  <c r="P115" i="9"/>
  <c r="J107" i="8"/>
  <c r="J26" i="8"/>
  <c r="J27" i="8" s="1"/>
  <c r="K77" i="3"/>
  <c r="K84" i="8" s="1"/>
  <c r="K79" i="3"/>
  <c r="K68" i="8" s="1"/>
  <c r="K20" i="3"/>
  <c r="K75" i="3"/>
  <c r="K76" i="8" s="1"/>
  <c r="K38" i="3"/>
  <c r="K73" i="3"/>
  <c r="K60" i="8" s="1"/>
  <c r="K62" i="3"/>
  <c r="K57" i="8" s="1"/>
  <c r="AC40" i="15" s="1"/>
  <c r="M38" i="9"/>
  <c r="M20" i="8" s="1"/>
  <c r="J115" i="8"/>
  <c r="J14" i="3"/>
  <c r="J16" i="3" s="1"/>
  <c r="N19" i="9"/>
  <c r="N40" i="9"/>
  <c r="J30" i="8"/>
  <c r="M19" i="8"/>
  <c r="N100" i="9"/>
  <c r="P37" i="9"/>
  <c r="L21" i="8"/>
  <c r="AD11" i="15" s="1"/>
  <c r="K103" i="9"/>
  <c r="K26" i="8" s="1"/>
  <c r="K27" i="8" s="1"/>
  <c r="AC12" i="15" s="1"/>
  <c r="K117" i="9"/>
  <c r="K30" i="8" s="1"/>
  <c r="AC15" i="15" s="1"/>
  <c r="N23" i="8"/>
  <c r="P82" i="9"/>
  <c r="J117" i="8"/>
  <c r="J33" i="3"/>
  <c r="J34" i="3" s="1"/>
  <c r="J29" i="3"/>
  <c r="J44" i="3"/>
  <c r="J41" i="3" s="1"/>
  <c r="J35" i="3" s="1"/>
  <c r="K44" i="3"/>
  <c r="L44" i="3"/>
  <c r="M44" i="3"/>
  <c r="N44" i="3"/>
  <c r="N38" i="9"/>
  <c r="P25" i="9"/>
  <c r="L42" i="9"/>
  <c r="J109" i="8"/>
  <c r="N92" i="9"/>
  <c r="N91" i="9" s="1"/>
  <c r="N90" i="9" s="1"/>
  <c r="M91" i="9"/>
  <c r="M90" i="9" s="1"/>
  <c r="M24" i="8" s="1"/>
  <c r="G27" i="11" l="1"/>
  <c r="AD111" i="15"/>
  <c r="Y12" i="15"/>
  <c r="AC103" i="15"/>
  <c r="K111" i="8"/>
  <c r="AC60" i="15"/>
  <c r="AC107" i="15" s="1"/>
  <c r="K112" i="8"/>
  <c r="AC73" i="15"/>
  <c r="AC108" i="15" s="1"/>
  <c r="K109" i="8"/>
  <c r="AC43" i="15"/>
  <c r="K54" i="3"/>
  <c r="K56" i="3" s="1"/>
  <c r="K53" i="3" s="1"/>
  <c r="AC51" i="15"/>
  <c r="K51" i="3"/>
  <c r="Y15" i="15"/>
  <c r="M21" i="8"/>
  <c r="M42" i="9"/>
  <c r="M103" i="9" s="1"/>
  <c r="M26" i="8" s="1"/>
  <c r="M27" i="8" s="1"/>
  <c r="AE12" i="15" s="1"/>
  <c r="N24" i="8"/>
  <c r="P90" i="9"/>
  <c r="K115" i="8"/>
  <c r="K14" i="3"/>
  <c r="J36" i="3"/>
  <c r="J66" i="8" s="1"/>
  <c r="Y49" i="15" s="1"/>
  <c r="K32" i="3"/>
  <c r="K45" i="3"/>
  <c r="K41" i="3" s="1"/>
  <c r="K35" i="3" s="1"/>
  <c r="L45" i="3"/>
  <c r="K117" i="8"/>
  <c r="K33" i="3"/>
  <c r="N45" i="3"/>
  <c r="K29" i="3"/>
  <c r="M45" i="3"/>
  <c r="N25" i="8"/>
  <c r="P100" i="9"/>
  <c r="K13" i="3"/>
  <c r="J23" i="3"/>
  <c r="J63" i="3"/>
  <c r="J58" i="8" s="1"/>
  <c r="J66" i="3"/>
  <c r="J75" i="8" s="1"/>
  <c r="L103" i="9"/>
  <c r="L26" i="8" s="1"/>
  <c r="L27" i="8" s="1"/>
  <c r="AD12" i="15" s="1"/>
  <c r="L117" i="9"/>
  <c r="L30" i="8" s="1"/>
  <c r="AD15" i="15" s="1"/>
  <c r="J119" i="8"/>
  <c r="N20" i="8"/>
  <c r="P38" i="9"/>
  <c r="K63" i="3"/>
  <c r="K58" i="8" s="1"/>
  <c r="AC41" i="15" s="1"/>
  <c r="K66" i="3"/>
  <c r="K75" i="8" s="1"/>
  <c r="AC59" i="15" s="1"/>
  <c r="K107" i="8"/>
  <c r="N42" i="9"/>
  <c r="N19" i="8"/>
  <c r="P19" i="9"/>
  <c r="L62" i="3"/>
  <c r="L57" i="8" s="1"/>
  <c r="AD40" i="15" s="1"/>
  <c r="L77" i="3"/>
  <c r="L84" i="8" s="1"/>
  <c r="L73" i="3"/>
  <c r="L60" i="8" s="1"/>
  <c r="AD43" i="15" s="1"/>
  <c r="L79" i="3"/>
  <c r="L68" i="8" s="1"/>
  <c r="L20" i="3"/>
  <c r="L75" i="3"/>
  <c r="L76" i="8" s="1"/>
  <c r="L38" i="3"/>
  <c r="AC61" i="15" l="1"/>
  <c r="AC105" i="15"/>
  <c r="AD105" i="15"/>
  <c r="AD103" i="15"/>
  <c r="Y41" i="15"/>
  <c r="AB41" i="15" s="1"/>
  <c r="L112" i="8"/>
  <c r="AD73" i="15"/>
  <c r="AD108" i="15" s="1"/>
  <c r="L111" i="8"/>
  <c r="AD60" i="15"/>
  <c r="AD107" i="15" s="1"/>
  <c r="L54" i="3"/>
  <c r="M51" i="3" s="1"/>
  <c r="AD51" i="15"/>
  <c r="L51" i="3"/>
  <c r="F28" i="15"/>
  <c r="Y59" i="15"/>
  <c r="AB59" i="15" s="1"/>
  <c r="K52" i="3"/>
  <c r="AC112" i="15" s="1"/>
  <c r="AC113" i="15" s="1"/>
  <c r="M38" i="3"/>
  <c r="AE11" i="15"/>
  <c r="M117" i="9"/>
  <c r="M30" i="8" s="1"/>
  <c r="AE15" i="15" s="1"/>
  <c r="M79" i="3"/>
  <c r="M68" i="8" s="1"/>
  <c r="M77" i="3"/>
  <c r="M84" i="8" s="1"/>
  <c r="M20" i="3"/>
  <c r="M75" i="3"/>
  <c r="M76" i="8" s="1"/>
  <c r="M73" i="3"/>
  <c r="M60" i="8" s="1"/>
  <c r="M62" i="3"/>
  <c r="M57" i="8" s="1"/>
  <c r="K16" i="3"/>
  <c r="K23" i="3" s="1"/>
  <c r="K31" i="8" s="1"/>
  <c r="AC16" i="15" s="1"/>
  <c r="K34" i="3"/>
  <c r="K36" i="3" s="1"/>
  <c r="K66" i="8" s="1"/>
  <c r="M63" i="3"/>
  <c r="M58" i="8" s="1"/>
  <c r="AE41" i="15" s="1"/>
  <c r="M66" i="3"/>
  <c r="M75" i="8" s="1"/>
  <c r="AE59" i="15" s="1"/>
  <c r="J108" i="8"/>
  <c r="K108" i="8"/>
  <c r="N21" i="8"/>
  <c r="AF11" i="15" s="1"/>
  <c r="L63" i="3"/>
  <c r="L58" i="8" s="1"/>
  <c r="AD41" i="15" s="1"/>
  <c r="L66" i="3"/>
  <c r="L75" i="8" s="1"/>
  <c r="AD59" i="15" s="1"/>
  <c r="AD106" i="15" s="1"/>
  <c r="N103" i="9"/>
  <c r="N117" i="9"/>
  <c r="L33" i="3"/>
  <c r="L29" i="3"/>
  <c r="N46" i="3"/>
  <c r="L46" i="3"/>
  <c r="L41" i="3" s="1"/>
  <c r="L35" i="3" s="1"/>
  <c r="M46" i="3"/>
  <c r="L117" i="8"/>
  <c r="J77" i="8"/>
  <c r="Y61" i="15" s="1"/>
  <c r="J110" i="8"/>
  <c r="J31" i="8"/>
  <c r="J34" i="8" s="1"/>
  <c r="J17" i="3"/>
  <c r="L109" i="8"/>
  <c r="L14" i="3"/>
  <c r="L115" i="8"/>
  <c r="K110" i="8"/>
  <c r="K77" i="8"/>
  <c r="L107" i="8"/>
  <c r="AB61" i="15" l="1"/>
  <c r="AC104" i="15"/>
  <c r="AE111" i="15"/>
  <c r="AF111" i="15"/>
  <c r="AC95" i="15"/>
  <c r="K118" i="8"/>
  <c r="M33" i="3"/>
  <c r="M115" i="8"/>
  <c r="AE106" i="15"/>
  <c r="AE104" i="15"/>
  <c r="AD104" i="15"/>
  <c r="AD61" i="15"/>
  <c r="M111" i="8"/>
  <c r="AE60" i="15"/>
  <c r="M112" i="8"/>
  <c r="AE73" i="15"/>
  <c r="AE108" i="15" s="1"/>
  <c r="L56" i="3"/>
  <c r="L53" i="3" s="1"/>
  <c r="L52" i="3" s="1"/>
  <c r="AD112" i="15" s="1"/>
  <c r="AD113" i="15" s="1"/>
  <c r="M54" i="3"/>
  <c r="M56" i="3" s="1"/>
  <c r="M53" i="3" s="1"/>
  <c r="AE51" i="15"/>
  <c r="M107" i="8"/>
  <c r="AE40" i="15"/>
  <c r="M109" i="8"/>
  <c r="AE43" i="15"/>
  <c r="N47" i="3"/>
  <c r="M117" i="8"/>
  <c r="M47" i="3"/>
  <c r="M41" i="3" s="1"/>
  <c r="M35" i="3" s="1"/>
  <c r="M29" i="3"/>
  <c r="Y16" i="15"/>
  <c r="M14" i="3"/>
  <c r="H26" i="11"/>
  <c r="L13" i="3"/>
  <c r="L16" i="3" s="1"/>
  <c r="L32" i="3"/>
  <c r="L34" i="3" s="1"/>
  <c r="M108" i="8"/>
  <c r="G26" i="11"/>
  <c r="K17" i="3"/>
  <c r="J18" i="3"/>
  <c r="J62" i="8" s="1"/>
  <c r="Y45" i="15" s="1"/>
  <c r="J103" i="8"/>
  <c r="G24" i="11" s="1"/>
  <c r="L108" i="8"/>
  <c r="N26" i="8"/>
  <c r="N27" i="8" s="1"/>
  <c r="AF12" i="15" s="1"/>
  <c r="P103" i="9"/>
  <c r="K103" i="8"/>
  <c r="H24" i="11" s="1"/>
  <c r="K34" i="8"/>
  <c r="M77" i="8"/>
  <c r="M110" i="8"/>
  <c r="N30" i="8"/>
  <c r="AF15" i="15" s="1"/>
  <c r="P117" i="9"/>
  <c r="N38" i="3"/>
  <c r="N77" i="3"/>
  <c r="N84" i="8" s="1"/>
  <c r="N73" i="3"/>
  <c r="N60" i="8" s="1"/>
  <c r="N79" i="3"/>
  <c r="N68" i="8" s="1"/>
  <c r="N20" i="3"/>
  <c r="N75" i="3"/>
  <c r="N76" i="8" s="1"/>
  <c r="N62" i="3"/>
  <c r="N57" i="8" s="1"/>
  <c r="L77" i="8"/>
  <c r="L110" i="8"/>
  <c r="K119" i="8" l="1"/>
  <c r="H27" i="11"/>
  <c r="AC106" i="15"/>
  <c r="L118" i="8"/>
  <c r="I27" i="11" s="1"/>
  <c r="AE105" i="15"/>
  <c r="AE103" i="15"/>
  <c r="AE61" i="15"/>
  <c r="AE107" i="15"/>
  <c r="L65" i="15"/>
  <c r="N51" i="3"/>
  <c r="N111" i="8"/>
  <c r="AF60" i="15"/>
  <c r="AF107" i="15" s="1"/>
  <c r="N112" i="8"/>
  <c r="AF73" i="15"/>
  <c r="AF108" i="15" s="1"/>
  <c r="M52" i="3"/>
  <c r="AE112" i="15" s="1"/>
  <c r="AE113" i="15" s="1"/>
  <c r="N107" i="8"/>
  <c r="AF40" i="15"/>
  <c r="AF103" i="15" s="1"/>
  <c r="N54" i="3"/>
  <c r="N56" i="3" s="1"/>
  <c r="N53" i="3" s="1"/>
  <c r="AF51" i="15"/>
  <c r="N109" i="8"/>
  <c r="AF43" i="15"/>
  <c r="AF105" i="15" s="1"/>
  <c r="K36" i="8"/>
  <c r="J36" i="8"/>
  <c r="Y22" i="15"/>
  <c r="J26" i="11"/>
  <c r="I26" i="11"/>
  <c r="L23" i="3"/>
  <c r="L31" i="8" s="1"/>
  <c r="AD16" i="15" s="1"/>
  <c r="M13" i="3"/>
  <c r="M16" i="3" s="1"/>
  <c r="N66" i="3"/>
  <c r="N75" i="8" s="1"/>
  <c r="AF59" i="15" s="1"/>
  <c r="AF106" i="15" s="1"/>
  <c r="N63" i="3"/>
  <c r="N58" i="8" s="1"/>
  <c r="N14" i="3"/>
  <c r="N115" i="8"/>
  <c r="L36" i="3"/>
  <c r="L66" i="8" s="1"/>
  <c r="M32" i="3"/>
  <c r="M34" i="3" s="1"/>
  <c r="K18" i="3"/>
  <c r="K62" i="8" s="1"/>
  <c r="N117" i="8"/>
  <c r="N33" i="3"/>
  <c r="N29" i="3"/>
  <c r="N48" i="3"/>
  <c r="N41" i="3" s="1"/>
  <c r="N35" i="3" s="1"/>
  <c r="AC17" i="15" l="1"/>
  <c r="AD17" i="15"/>
  <c r="AD96" i="15" s="1"/>
  <c r="AE17" i="15"/>
  <c r="AE96" i="15" s="1"/>
  <c r="AF17" i="15"/>
  <c r="AF96" i="15" s="1"/>
  <c r="Z45" i="15"/>
  <c r="AB45" i="15" s="1"/>
  <c r="AD95" i="15"/>
  <c r="L119" i="8"/>
  <c r="M118" i="8"/>
  <c r="AF61" i="15"/>
  <c r="F69" i="15"/>
  <c r="N52" i="3"/>
  <c r="AF112" i="15" s="1"/>
  <c r="AF113" i="15" s="1"/>
  <c r="N108" i="8"/>
  <c r="AF41" i="15"/>
  <c r="H19" i="11"/>
  <c r="H21" i="11" s="1"/>
  <c r="H22" i="11" s="1"/>
  <c r="K21" i="10"/>
  <c r="L13" i="15" s="1"/>
  <c r="G19" i="11"/>
  <c r="G21" i="11" s="1"/>
  <c r="G22" i="11" s="1"/>
  <c r="Y24" i="15"/>
  <c r="H82" i="15" s="1"/>
  <c r="L17" i="3"/>
  <c r="L18" i="3" s="1"/>
  <c r="L62" i="8" s="1"/>
  <c r="N32" i="3"/>
  <c r="N34" i="3" s="1"/>
  <c r="N36" i="3" s="1"/>
  <c r="N66" i="8" s="1"/>
  <c r="M36" i="3"/>
  <c r="M66" i="8" s="1"/>
  <c r="N110" i="8"/>
  <c r="N77" i="8"/>
  <c r="M23" i="3"/>
  <c r="M31" i="8" s="1"/>
  <c r="AE16" i="15" s="1"/>
  <c r="N13" i="3"/>
  <c r="N16" i="3" s="1"/>
  <c r="L103" i="8"/>
  <c r="I24" i="11" s="1"/>
  <c r="L34" i="8"/>
  <c r="M119" i="8" l="1"/>
  <c r="J27" i="11"/>
  <c r="L14" i="15"/>
  <c r="AC96" i="15"/>
  <c r="AC45" i="15" s="1"/>
  <c r="AE95" i="15"/>
  <c r="N118" i="8"/>
  <c r="AF104" i="15"/>
  <c r="K26" i="11"/>
  <c r="L34" i="15"/>
  <c r="L54" i="15" s="1"/>
  <c r="Z52" i="15" s="1"/>
  <c r="AB52" i="15" s="1"/>
  <c r="L36" i="8"/>
  <c r="N23" i="3"/>
  <c r="N31" i="8" s="1"/>
  <c r="AF16" i="15" s="1"/>
  <c r="M103" i="8"/>
  <c r="J24" i="11" s="1"/>
  <c r="M34" i="8"/>
  <c r="M17" i="3"/>
  <c r="N119" i="8" l="1"/>
  <c r="K27" i="11"/>
  <c r="AD45" i="15"/>
  <c r="AF95" i="15"/>
  <c r="AC19" i="15"/>
  <c r="AD19" i="15"/>
  <c r="AE19" i="15"/>
  <c r="AF19" i="15"/>
  <c r="AF98" i="15" s="1"/>
  <c r="L58" i="15"/>
  <c r="I19" i="11"/>
  <c r="I21" i="11" s="1"/>
  <c r="I22" i="11" s="1"/>
  <c r="L36" i="15"/>
  <c r="L39" i="15"/>
  <c r="L37" i="15"/>
  <c r="L38" i="15"/>
  <c r="M36" i="8"/>
  <c r="N17" i="3"/>
  <c r="N18" i="3" s="1"/>
  <c r="N62" i="8" s="1"/>
  <c r="M18" i="3"/>
  <c r="M62" i="8" s="1"/>
  <c r="N103" i="8"/>
  <c r="K24" i="11" s="1"/>
  <c r="N34" i="8"/>
  <c r="AE45" i="15" l="1"/>
  <c r="AF45" i="15" s="1"/>
  <c r="AE98" i="15"/>
  <c r="AD98" i="15"/>
  <c r="AC98" i="15"/>
  <c r="AC52" i="15" s="1"/>
  <c r="F55" i="15"/>
  <c r="AA66" i="15" s="1"/>
  <c r="AB66" i="15" s="1"/>
  <c r="F54" i="15"/>
  <c r="AA65" i="15" s="1"/>
  <c r="AB65" i="15" s="1"/>
  <c r="F56" i="15"/>
  <c r="AA67" i="15" s="1"/>
  <c r="AB67" i="15" s="1"/>
  <c r="F53" i="15"/>
  <c r="J19" i="11"/>
  <c r="J21" i="11" s="1"/>
  <c r="J22" i="11" s="1"/>
  <c r="N36" i="8"/>
  <c r="AC166" i="15" l="1"/>
  <c r="AC119" i="15" s="1"/>
  <c r="AC165" i="15"/>
  <c r="AC118" i="15" s="1"/>
  <c r="AC164" i="15"/>
  <c r="AA64" i="15"/>
  <c r="AB64" i="15" s="1"/>
  <c r="AD52" i="15"/>
  <c r="AE52" i="15" s="1"/>
  <c r="AF52" i="15" s="1"/>
  <c r="K19" i="11"/>
  <c r="K21" i="11" s="1"/>
  <c r="K22" i="11" s="1"/>
  <c r="AC66" i="15" l="1"/>
  <c r="AC163" i="15"/>
  <c r="AD165" i="15" l="1"/>
  <c r="AD118" i="15" s="1"/>
  <c r="AD66" i="15" s="1"/>
  <c r="AC147" i="15"/>
  <c r="AC167" i="15"/>
  <c r="AE165" i="15" l="1"/>
  <c r="AE118" i="15" s="1"/>
  <c r="AE66" i="15" s="1"/>
  <c r="AE147" i="15" s="1"/>
  <c r="AD147" i="15"/>
  <c r="AF165" i="15" l="1"/>
  <c r="AF118" i="15" s="1"/>
  <c r="AF66" i="15" s="1"/>
  <c r="AF147" i="15" s="1"/>
  <c r="AE178" i="15" l="1"/>
  <c r="AE177" i="15"/>
  <c r="AF150" i="15"/>
  <c r="AF144" i="15"/>
  <c r="AD29" i="15"/>
  <c r="K97" i="8"/>
  <c r="K95" i="8"/>
  <c r="K86" i="8"/>
  <c r="K85" i="8"/>
  <c r="K94" i="8"/>
  <c r="K90" i="8"/>
  <c r="M97" i="8"/>
  <c r="M95" i="8"/>
  <c r="M86" i="8"/>
  <c r="M85" i="8"/>
  <c r="AE155" i="15"/>
  <c r="AB80" i="15"/>
  <c r="AC80" i="15"/>
  <c r="AD80" i="15"/>
  <c r="AE80" i="15"/>
  <c r="AF80" i="15"/>
  <c r="J25" i="11"/>
  <c r="J28" i="11"/>
  <c r="J32" i="11"/>
  <c r="AF99" i="15"/>
  <c r="AF148" i="15"/>
  <c r="N40" i="8"/>
  <c r="N120" i="9"/>
  <c r="L69" i="8"/>
  <c r="L61" i="8"/>
  <c r="L55" i="8"/>
  <c r="M40" i="8"/>
  <c r="M120" i="9"/>
  <c r="K69" i="8"/>
  <c r="K61" i="8"/>
  <c r="K55" i="8"/>
  <c r="AD126" i="15"/>
  <c r="L126" i="8"/>
  <c r="L121" i="8"/>
  <c r="L128" i="8"/>
  <c r="L131" i="8"/>
  <c r="M130" i="8"/>
  <c r="AD99" i="15"/>
  <c r="AD148" i="15"/>
  <c r="K126" i="8"/>
  <c r="K78" i="8"/>
  <c r="K121" i="8"/>
  <c r="AC101" i="15"/>
  <c r="AC26" i="15"/>
  <c r="AC121" i="15"/>
  <c r="AC178" i="15"/>
  <c r="AC177" i="15"/>
  <c r="I25" i="11"/>
  <c r="I28" i="11"/>
  <c r="I32" i="11"/>
  <c r="AD122" i="15"/>
  <c r="AD115" i="15"/>
  <c r="AD157" i="15"/>
  <c r="AD167" i="15"/>
  <c r="I13" i="11"/>
  <c r="I11" i="11"/>
  <c r="J104" i="8"/>
  <c r="G25" i="11"/>
  <c r="G28" i="11"/>
  <c r="G32" i="11"/>
  <c r="G33" i="11"/>
  <c r="G37" i="11"/>
  <c r="G39" i="11"/>
  <c r="Y87" i="15"/>
  <c r="Y85" i="15"/>
  <c r="O21" i="10"/>
  <c r="L21" i="10"/>
  <c r="AD178" i="15"/>
  <c r="AD177" i="15"/>
  <c r="AE166" i="15"/>
  <c r="AE119" i="15"/>
  <c r="L94" i="8"/>
  <c r="L90" i="8"/>
  <c r="AC175" i="15"/>
  <c r="AC170" i="15"/>
  <c r="AC150" i="15"/>
  <c r="AC144" i="15"/>
  <c r="AD163" i="15"/>
  <c r="AD116" i="15"/>
  <c r="L116" i="3"/>
  <c r="L104" i="8"/>
  <c r="AD100" i="15"/>
  <c r="AF44" i="15"/>
  <c r="AF124" i="15"/>
  <c r="AF127" i="15"/>
  <c r="AF38" i="15"/>
  <c r="AF97" i="15"/>
  <c r="AF117" i="15"/>
  <c r="AF164" i="15"/>
  <c r="J126" i="8"/>
  <c r="J121" i="8"/>
  <c r="M124" i="8"/>
  <c r="M105" i="8"/>
  <c r="L78" i="8"/>
  <c r="L85" i="8"/>
  <c r="L86" i="8"/>
  <c r="L95" i="8"/>
  <c r="L97" i="8"/>
  <c r="F72" i="15"/>
  <c r="K40" i="8"/>
  <c r="K120" i="9"/>
  <c r="AC100" i="15"/>
  <c r="H84" i="15"/>
  <c r="AD84" i="15"/>
  <c r="AD85" i="15"/>
  <c r="AD87" i="15"/>
  <c r="AF175" i="15"/>
  <c r="AF170" i="15"/>
  <c r="M69" i="8"/>
  <c r="M61" i="8"/>
  <c r="M55" i="8"/>
  <c r="AE53" i="15"/>
  <c r="AD119" i="15"/>
  <c r="AD166" i="15"/>
  <c r="AF83" i="15"/>
  <c r="AE83" i="15"/>
  <c r="AD83" i="15"/>
  <c r="AC83" i="15"/>
  <c r="AA83" i="15"/>
  <c r="AB83" i="15"/>
  <c r="AF100" i="15"/>
  <c r="AE97" i="15"/>
  <c r="Z49" i="15"/>
  <c r="AB49" i="15"/>
  <c r="AC49" i="15"/>
  <c r="AD49" i="15"/>
  <c r="AE49" i="15"/>
  <c r="AF49" i="15"/>
  <c r="AE148" i="15"/>
  <c r="AE99" i="15"/>
  <c r="N128" i="8"/>
  <c r="N131" i="8"/>
  <c r="N55" i="8"/>
  <c r="N61" i="8"/>
  <c r="N69" i="8"/>
  <c r="AE101" i="15"/>
  <c r="AE26" i="15"/>
  <c r="AE121" i="15"/>
  <c r="AE122" i="15"/>
  <c r="AE115" i="15"/>
  <c r="AE157" i="15"/>
  <c r="AE167" i="15"/>
  <c r="AB84" i="15"/>
  <c r="K128" i="8"/>
  <c r="K131" i="8"/>
  <c r="L130" i="8"/>
  <c r="AE126" i="15"/>
  <c r="J44" i="8"/>
  <c r="Y30" i="15"/>
  <c r="J45" i="8"/>
  <c r="AD97" i="15"/>
  <c r="N101" i="3"/>
  <c r="N101" i="8"/>
  <c r="N113" i="8"/>
  <c r="N93" i="3"/>
  <c r="N95" i="3"/>
  <c r="N98" i="3"/>
  <c r="N102" i="3"/>
  <c r="N45" i="8"/>
  <c r="N44" i="8"/>
  <c r="N111" i="3"/>
  <c r="AD44" i="15"/>
  <c r="AE149" i="15"/>
  <c r="J95" i="8"/>
  <c r="J97" i="8"/>
  <c r="AD121" i="15"/>
  <c r="AD26" i="15"/>
  <c r="AD101" i="15"/>
  <c r="AD53" i="15"/>
  <c r="AC97" i="15"/>
  <c r="AF167" i="15"/>
  <c r="AF157" i="15"/>
  <c r="AF115" i="15"/>
  <c r="AF122" i="15"/>
  <c r="AF62" i="15"/>
  <c r="AF74" i="15"/>
  <c r="AF75" i="15"/>
  <c r="AF158" i="15"/>
  <c r="Y53" i="15"/>
  <c r="Y44" i="15"/>
  <c r="Z79" i="15"/>
  <c r="AE117" i="15"/>
  <c r="AE164" i="15"/>
  <c r="K31" i="11"/>
  <c r="N39" i="8"/>
  <c r="N41" i="8"/>
  <c r="N116" i="3"/>
  <c r="N104" i="8"/>
  <c r="K25" i="11"/>
  <c r="K28" i="11"/>
  <c r="K32" i="11"/>
  <c r="E14" i="11"/>
  <c r="C23" i="6"/>
  <c r="C25" i="6"/>
  <c r="G28" i="6"/>
  <c r="G30" i="6"/>
  <c r="AE163" i="15"/>
  <c r="AE116" i="15"/>
  <c r="L91" i="8"/>
  <c r="AC158" i="15"/>
  <c r="AD75" i="15"/>
  <c r="AD74" i="15"/>
  <c r="AC155" i="15"/>
  <c r="AE29" i="15"/>
  <c r="J61" i="8"/>
  <c r="J69" i="8"/>
  <c r="N115" i="3"/>
  <c r="N117" i="3"/>
  <c r="N90" i="8"/>
  <c r="N94" i="8"/>
  <c r="AF67" i="15"/>
  <c r="D93" i="15"/>
  <c r="F57" i="15"/>
  <c r="H85" i="15"/>
  <c r="H87" i="15"/>
  <c r="D108" i="15"/>
  <c r="AE150" i="15"/>
  <c r="AE144" i="15"/>
  <c r="AD150" i="15"/>
  <c r="AD144" i="15"/>
  <c r="M126" i="8"/>
  <c r="M78" i="8"/>
  <c r="M121" i="8"/>
  <c r="AC148" i="15"/>
  <c r="AC99" i="15"/>
  <c r="AC67" i="15"/>
  <c r="AD67" i="15"/>
  <c r="AE67" i="15"/>
  <c r="AF166" i="15"/>
  <c r="AF119" i="15"/>
  <c r="N97" i="8"/>
  <c r="N95" i="8"/>
  <c r="N86" i="8"/>
  <c r="N85" i="8"/>
  <c r="AD62" i="15"/>
  <c r="AE62" i="15"/>
  <c r="AE74" i="15"/>
  <c r="AE75" i="15"/>
  <c r="L76" i="15"/>
  <c r="AA68" i="15"/>
  <c r="AB68" i="15"/>
  <c r="AC68" i="15"/>
  <c r="AD68" i="15"/>
  <c r="AE68" i="15"/>
  <c r="AF68" i="15"/>
  <c r="AF153" i="15"/>
  <c r="AF156" i="15"/>
  <c r="AF177" i="15"/>
  <c r="AF178" i="15"/>
  <c r="L120" i="9"/>
  <c r="L40" i="8"/>
  <c r="F24" i="15"/>
  <c r="F29" i="15"/>
  <c r="L11" i="15"/>
  <c r="L12" i="15"/>
  <c r="H83" i="15"/>
  <c r="M101" i="3"/>
  <c r="M93" i="3"/>
  <c r="M95" i="3"/>
  <c r="M98" i="3"/>
  <c r="M102" i="3"/>
  <c r="H32" i="11"/>
  <c r="K116" i="3"/>
  <c r="K104" i="8"/>
  <c r="H25" i="11"/>
  <c r="H28" i="11"/>
  <c r="AD48" i="15"/>
  <c r="AE48" i="15"/>
  <c r="AF48" i="15"/>
  <c r="AF53" i="15"/>
  <c r="M101" i="8"/>
  <c r="M113" i="8"/>
  <c r="M128" i="8"/>
  <c r="M131" i="8"/>
  <c r="N130" i="8"/>
  <c r="Y26" i="15"/>
  <c r="J105" i="8"/>
  <c r="J124" i="8"/>
  <c r="AE171" i="15"/>
  <c r="AE145" i="15"/>
  <c r="AC48" i="15"/>
  <c r="AC53" i="15"/>
  <c r="AF87" i="15"/>
  <c r="AF79" i="15"/>
  <c r="AF84" i="15"/>
  <c r="AF85" i="15"/>
  <c r="AF163" i="15"/>
  <c r="AF116" i="15"/>
  <c r="AD175" i="15"/>
  <c r="AD170" i="15"/>
  <c r="AC146" i="15"/>
  <c r="AD146" i="15"/>
  <c r="AD172" i="15"/>
  <c r="L44" i="8"/>
  <c r="L111" i="3"/>
  <c r="L45" i="8"/>
  <c r="AF149" i="15"/>
  <c r="AE38" i="15"/>
  <c r="AE44" i="15"/>
  <c r="P120" i="9"/>
  <c r="AD79" i="15"/>
  <c r="AE79" i="15"/>
  <c r="AE84" i="15"/>
  <c r="AE85" i="15"/>
  <c r="AE87" i="15"/>
  <c r="AC87" i="15"/>
  <c r="Y79" i="15"/>
  <c r="AB79" i="15"/>
  <c r="AC79" i="15"/>
  <c r="AC84" i="15"/>
  <c r="AC85" i="15"/>
  <c r="AD155" i="15"/>
  <c r="AF101" i="15"/>
  <c r="AF26" i="15"/>
  <c r="AF121" i="15"/>
  <c r="AC29" i="15"/>
  <c r="L82" i="15"/>
  <c r="L84" i="15"/>
  <c r="L85" i="15"/>
  <c r="AF30" i="15"/>
  <c r="AF93" i="15"/>
  <c r="AF109" i="15"/>
  <c r="AF155" i="15"/>
  <c r="K130" i="8"/>
  <c r="J102" i="3"/>
  <c r="K124" i="8"/>
  <c r="K105" i="8"/>
  <c r="N110" i="3"/>
  <c r="N113" i="3"/>
  <c r="N91" i="8"/>
  <c r="AE158" i="15"/>
  <c r="L110" i="3"/>
  <c r="L113" i="3"/>
  <c r="M110" i="3"/>
  <c r="M113" i="3"/>
  <c r="M91" i="8"/>
  <c r="AE172" i="15"/>
  <c r="AE146" i="15"/>
  <c r="AB74" i="15"/>
  <c r="AB75" i="15"/>
  <c r="AB85" i="15"/>
  <c r="AB87" i="15"/>
  <c r="N103" i="3"/>
  <c r="N78" i="8"/>
  <c r="N121" i="8"/>
  <c r="N126" i="8"/>
  <c r="Y28" i="15"/>
  <c r="F70" i="15"/>
  <c r="J86" i="8"/>
  <c r="Y75" i="15"/>
  <c r="M44" i="8"/>
  <c r="M111" i="3"/>
  <c r="M45" i="8"/>
  <c r="F58" i="15"/>
  <c r="T5" i="15"/>
  <c r="F52" i="15"/>
  <c r="AA38" i="15"/>
  <c r="J85" i="8"/>
  <c r="Y74" i="15"/>
  <c r="K44" i="8"/>
  <c r="K45" i="8"/>
  <c r="K111" i="3"/>
  <c r="AC44" i="15"/>
  <c r="AD149" i="15"/>
  <c r="L105" i="8"/>
  <c r="L124" i="8"/>
  <c r="AD145" i="15"/>
  <c r="AD171" i="15"/>
  <c r="AC145" i="15"/>
  <c r="K110" i="3"/>
  <c r="K113" i="3"/>
  <c r="K91" i="8"/>
  <c r="AF172" i="15"/>
  <c r="AF65" i="15"/>
  <c r="AD65" i="15"/>
  <c r="AE65" i="15"/>
  <c r="AF146" i="15"/>
  <c r="AC157" i="15"/>
  <c r="AC115" i="15"/>
  <c r="AC122" i="15"/>
  <c r="J78" i="8"/>
  <c r="Y62" i="15"/>
  <c r="AB62" i="15"/>
  <c r="AC62" i="15"/>
  <c r="AC74" i="15"/>
  <c r="AC75" i="15"/>
  <c r="AE18" i="15"/>
  <c r="AE22" i="15"/>
  <c r="AE24" i="15"/>
  <c r="AE28" i="15"/>
  <c r="AE30" i="15"/>
  <c r="AE93" i="15"/>
  <c r="AE109" i="15"/>
  <c r="AE124" i="15"/>
  <c r="AE127" i="15"/>
  <c r="AF126" i="15"/>
  <c r="F73" i="15"/>
  <c r="Z48" i="15"/>
  <c r="AB48" i="15"/>
  <c r="AB53" i="15"/>
  <c r="AF64" i="15"/>
  <c r="AF145" i="15"/>
  <c r="AC171" i="15"/>
  <c r="AC116" i="15"/>
  <c r="AC64" i="15"/>
  <c r="AD64" i="15"/>
  <c r="AE64" i="15"/>
  <c r="AF171" i="15"/>
  <c r="K115" i="3"/>
  <c r="K117" i="3"/>
  <c r="L115" i="3"/>
  <c r="L117" i="3"/>
  <c r="M115" i="3"/>
  <c r="M117" i="3"/>
  <c r="M90" i="8"/>
  <c r="M94" i="8"/>
  <c r="AC18" i="15"/>
  <c r="AC22" i="15"/>
  <c r="AC24" i="15"/>
  <c r="AC28" i="15"/>
  <c r="AC30" i="15"/>
  <c r="AC93" i="15"/>
  <c r="AC109" i="15"/>
  <c r="AC124" i="15"/>
  <c r="AC127" i="15"/>
  <c r="AC38" i="15"/>
  <c r="AD153" i="15"/>
  <c r="AD156" i="15"/>
  <c r="AD158" i="15"/>
  <c r="AD18" i="15"/>
  <c r="AD22" i="15"/>
  <c r="AD24" i="15"/>
  <c r="AD28" i="15"/>
  <c r="AD30" i="15"/>
  <c r="AD93" i="15"/>
  <c r="AD109" i="15"/>
  <c r="AD124" i="15"/>
  <c r="AD127" i="15"/>
  <c r="AD38" i="15"/>
  <c r="AE153" i="15"/>
  <c r="AE156" i="15"/>
  <c r="AE170" i="15"/>
  <c r="AE175" i="15"/>
  <c r="M106" i="3"/>
  <c r="M37" i="8"/>
  <c r="M39" i="8"/>
  <c r="M41" i="8"/>
  <c r="M116" i="3"/>
  <c r="M104" i="8"/>
  <c r="AE100" i="15"/>
  <c r="AC153" i="15"/>
  <c r="AC156" i="15"/>
  <c r="AC172" i="15"/>
  <c r="AC117" i="15"/>
  <c r="AC65" i="15"/>
  <c r="AD164" i="15"/>
  <c r="AD117" i="15"/>
  <c r="L102" i="3"/>
  <c r="L106" i="3"/>
  <c r="L37" i="8"/>
  <c r="L39" i="8"/>
  <c r="L41" i="8"/>
  <c r="L101" i="8"/>
  <c r="L113" i="8"/>
  <c r="L93" i="3"/>
  <c r="L95" i="3"/>
  <c r="L98" i="3"/>
  <c r="L101" i="3"/>
  <c r="J116" i="3"/>
  <c r="J117" i="3"/>
  <c r="J90" i="8"/>
  <c r="J94" i="8"/>
  <c r="Y84" i="15"/>
  <c r="F65" i="15"/>
  <c r="F67" i="15"/>
  <c r="L70" i="15"/>
  <c r="L72" i="15"/>
  <c r="AF18" i="15"/>
  <c r="AF22" i="15"/>
  <c r="AF24" i="15"/>
  <c r="AF28" i="15"/>
  <c r="AF29" i="15"/>
  <c r="J120" i="9"/>
  <c r="J40" i="8"/>
  <c r="Y29" i="15"/>
  <c r="M21" i="10"/>
  <c r="H21" i="10"/>
  <c r="I21" i="10"/>
  <c r="N21" i="10"/>
  <c r="J111" i="3"/>
  <c r="J113" i="3"/>
  <c r="J91" i="8"/>
  <c r="Y80" i="15"/>
  <c r="Z80" i="15"/>
  <c r="AC149" i="15"/>
  <c r="AC126" i="15"/>
  <c r="J128" i="8"/>
  <c r="J131" i="8"/>
  <c r="J55" i="8"/>
  <c r="Y38" i="15"/>
  <c r="AB38" i="15"/>
  <c r="AB44" i="15"/>
  <c r="N124" i="8"/>
  <c r="K103" i="3"/>
  <c r="L100" i="3"/>
  <c r="L103" i="3"/>
  <c r="M100" i="3"/>
  <c r="M103" i="3"/>
  <c r="N100" i="3"/>
  <c r="N106" i="3"/>
  <c r="N37" i="8"/>
  <c r="N105" i="8"/>
  <c r="K102" i="3"/>
  <c r="J106" i="3"/>
  <c r="J37" i="8"/>
  <c r="J39" i="8"/>
  <c r="J41" i="8"/>
  <c r="J101" i="8"/>
  <c r="J113" i="8"/>
  <c r="J93" i="3"/>
  <c r="J95" i="3"/>
  <c r="J98" i="3"/>
  <c r="J101" i="3"/>
  <c r="J103" i="3"/>
  <c r="K100" i="3"/>
  <c r="K106" i="3"/>
  <c r="K37" i="8"/>
  <c r="K39" i="8"/>
  <c r="K41" i="8"/>
  <c r="K101" i="8"/>
  <c r="K113" i="8"/>
  <c r="K93" i="3"/>
  <c r="K95" i="3"/>
  <c r="K98" i="3"/>
  <c r="K101" i="3"/>
</calcChain>
</file>

<file path=xl/sharedStrings.xml><?xml version="1.0" encoding="utf-8"?>
<sst xmlns="http://schemas.openxmlformats.org/spreadsheetml/2006/main" count="765" uniqueCount="481">
  <si>
    <t>Company Name</t>
  </si>
  <si>
    <t>Date</t>
  </si>
  <si>
    <t>Forecast</t>
  </si>
  <si>
    <t>\</t>
  </si>
  <si>
    <t>Units:</t>
  </si>
  <si>
    <t>Ticker</t>
  </si>
  <si>
    <t>Last Historical</t>
  </si>
  <si>
    <t>Selected Scenario</t>
  </si>
  <si>
    <t>Model Start Date</t>
  </si>
  <si>
    <t>Model End Date</t>
  </si>
  <si>
    <t>No. of Years Projected</t>
  </si>
  <si>
    <t>Years</t>
  </si>
  <si>
    <t>Days</t>
  </si>
  <si>
    <t>Days in an Year</t>
  </si>
  <si>
    <t xml:space="preserve">Hardcode </t>
  </si>
  <si>
    <t>Calculation</t>
  </si>
  <si>
    <t>Reference</t>
  </si>
  <si>
    <t>Assumptions</t>
  </si>
  <si>
    <t>Notes</t>
  </si>
  <si>
    <t>Caution</t>
  </si>
  <si>
    <t>Cell Reference</t>
  </si>
  <si>
    <t>Model Assumption</t>
  </si>
  <si>
    <t>Templete:</t>
  </si>
  <si>
    <t>Period type:</t>
  </si>
  <si>
    <t>Source:</t>
  </si>
  <si>
    <t xml:space="preserve">Decimals: </t>
  </si>
  <si>
    <t>Standard</t>
  </si>
  <si>
    <t>Annual</t>
  </si>
  <si>
    <t>Currency:</t>
  </si>
  <si>
    <t>Reported</t>
  </si>
  <si>
    <t>Company Website</t>
  </si>
  <si>
    <t>Default</t>
  </si>
  <si>
    <t>CAGR</t>
  </si>
  <si>
    <t>Dashboard</t>
  </si>
  <si>
    <t>#</t>
  </si>
  <si>
    <t>Income statement</t>
  </si>
  <si>
    <t>Financial statements</t>
  </si>
  <si>
    <t>Active Scenario</t>
  </si>
  <si>
    <t>Street</t>
  </si>
  <si>
    <t>25A - 30E</t>
  </si>
  <si>
    <t>22A - 25A</t>
  </si>
  <si>
    <t>Schedule</t>
  </si>
  <si>
    <t>Working capital schedule</t>
  </si>
  <si>
    <t>Financials</t>
  </si>
  <si>
    <t>Statements</t>
  </si>
  <si>
    <t>&lt;-Back to dashboard</t>
  </si>
  <si>
    <t>Valuation</t>
  </si>
  <si>
    <t>WACC</t>
  </si>
  <si>
    <t>&lt;- Go back to the top</t>
  </si>
  <si>
    <t>EBIT</t>
  </si>
  <si>
    <t>Less: Income taxes</t>
  </si>
  <si>
    <t>NOPAT</t>
  </si>
  <si>
    <t>Add: Depreciation and Amortisation</t>
  </si>
  <si>
    <t>Add/Less: Change in Working capital</t>
  </si>
  <si>
    <t>Less: Capital Expenditure</t>
  </si>
  <si>
    <t>Free Cash Flow to Firm</t>
  </si>
  <si>
    <t>Valuation parameters</t>
  </si>
  <si>
    <t>Valuation as on specified date</t>
  </si>
  <si>
    <t>Date of year ending</t>
  </si>
  <si>
    <t>Enterprise value</t>
  </si>
  <si>
    <t>Less: Debt</t>
  </si>
  <si>
    <t>Add: Cash</t>
  </si>
  <si>
    <t>Table of Contents</t>
  </si>
  <si>
    <t>Particulars</t>
  </si>
  <si>
    <t>EBITDA</t>
  </si>
  <si>
    <t>Balance sheet</t>
  </si>
  <si>
    <t>Debt Schedule</t>
  </si>
  <si>
    <t>Equity schedule</t>
  </si>
  <si>
    <t>USD</t>
  </si>
  <si>
    <r>
      <t xml:space="preserve">Tax rate </t>
    </r>
    <r>
      <rPr>
        <i/>
        <sz val="10"/>
        <color theme="1"/>
        <rFont val="Aptos"/>
        <family val="2"/>
      </rPr>
      <t>(%)</t>
    </r>
  </si>
  <si>
    <t>Marginal Tax Rate (%)</t>
  </si>
  <si>
    <t>WACC (%)</t>
  </si>
  <si>
    <t>Terminal Growth Rate (%)</t>
  </si>
  <si>
    <t>DENN</t>
  </si>
  <si>
    <t>Revenue:</t>
  </si>
  <si>
    <t>Company restaurant sales</t>
  </si>
  <si>
    <t>Franchise and license revenue</t>
  </si>
  <si>
    <t>Total operating revenue</t>
  </si>
  <si>
    <t>Product costs</t>
  </si>
  <si>
    <t>Payroll and benefits</t>
  </si>
  <si>
    <t>Occupancy</t>
  </si>
  <si>
    <t>Other operating expenses</t>
  </si>
  <si>
    <t>General and administrative expenses</t>
  </si>
  <si>
    <t>Depreciation and amortization</t>
  </si>
  <si>
    <t>Goodwill impairment charges</t>
  </si>
  <si>
    <t>Total operating costs and expenses, net</t>
  </si>
  <si>
    <t>Operating income</t>
  </si>
  <si>
    <t>Interest expense, net</t>
  </si>
  <si>
    <t>Other nonoperating income, net</t>
  </si>
  <si>
    <t>Net income before income taxes</t>
  </si>
  <si>
    <t>Provision for income taxes</t>
  </si>
  <si>
    <t>Net income</t>
  </si>
  <si>
    <t>Costs of company restaurant sales:</t>
  </si>
  <si>
    <t>Total costs of company restaurant sales</t>
  </si>
  <si>
    <t xml:space="preserve">Costs of franchise and license revenue </t>
  </si>
  <si>
    <t>Operating (gains), losses and other charges, net</t>
  </si>
  <si>
    <t>Earnings per Share</t>
  </si>
  <si>
    <t>Diluted</t>
  </si>
  <si>
    <t xml:space="preserve">Basic </t>
  </si>
  <si>
    <t>Weighted Average Shares Outstanding</t>
  </si>
  <si>
    <t>Assets</t>
  </si>
  <si>
    <t>Current assets:</t>
  </si>
  <si>
    <t>Cash and cash equivalents</t>
  </si>
  <si>
    <t>Investments</t>
  </si>
  <si>
    <t>Receivables, net</t>
  </si>
  <si>
    <t>Inventories</t>
  </si>
  <si>
    <t>Assets held for sale</t>
  </si>
  <si>
    <t>Prepaid and other current assets</t>
  </si>
  <si>
    <t>Total current assets</t>
  </si>
  <si>
    <t>Operating lease right-of-use assets, net</t>
  </si>
  <si>
    <t>Goodwill</t>
  </si>
  <si>
    <t>Intangible assets, net</t>
  </si>
  <si>
    <t>Deferred financing costs, net</t>
  </si>
  <si>
    <t>Other noncurrent assets</t>
  </si>
  <si>
    <t>Total assets</t>
  </si>
  <si>
    <t>Liabilities</t>
  </si>
  <si>
    <t>Current liabilities:</t>
  </si>
  <si>
    <t>Current finance lease liabilities</t>
  </si>
  <si>
    <t>Current operating lease liabilities</t>
  </si>
  <si>
    <t>Accounts payable</t>
  </si>
  <si>
    <t>Other current liabilities</t>
  </si>
  <si>
    <t>Total current liabilities</t>
  </si>
  <si>
    <t>Long-term debt</t>
  </si>
  <si>
    <t>Noncurrent finance lease liabilities</t>
  </si>
  <si>
    <t>Noncurrent operating lease liabilities</t>
  </si>
  <si>
    <t>Liability for insurance claims, less current portion</t>
  </si>
  <si>
    <t>Deferred income taxes, net</t>
  </si>
  <si>
    <t>Other noncurrent liabilities</t>
  </si>
  <si>
    <t>Total long-term liabilities</t>
  </si>
  <si>
    <t>Total liabilities</t>
  </si>
  <si>
    <t>Shareholders' deficit</t>
  </si>
  <si>
    <t>Paid-in capital</t>
  </si>
  <si>
    <t>Deficit</t>
  </si>
  <si>
    <t>Accumulated other comprehensive loss, net</t>
  </si>
  <si>
    <t>Total shareholders' deficit</t>
  </si>
  <si>
    <t>Total liabilities and shareholders' deficit</t>
  </si>
  <si>
    <t xml:space="preserve">Property, net of accumulated depreciation </t>
  </si>
  <si>
    <t>Financing lease right-of-use assets, net</t>
  </si>
  <si>
    <t>Common Stock</t>
  </si>
  <si>
    <t>Treasury stock</t>
  </si>
  <si>
    <t>Historicals</t>
  </si>
  <si>
    <t>Historicals / Forecast</t>
  </si>
  <si>
    <t>Month / Year (A/E)</t>
  </si>
  <si>
    <t xml:space="preserve">Denny's </t>
  </si>
  <si>
    <t>Keke's</t>
  </si>
  <si>
    <t>Others (Keke's)</t>
  </si>
  <si>
    <t>Royalties</t>
  </si>
  <si>
    <t>Advertising revenue</t>
  </si>
  <si>
    <t>Company restaurant sales:</t>
  </si>
  <si>
    <t>Total company restaurant sales</t>
  </si>
  <si>
    <t>Initial and other fees</t>
  </si>
  <si>
    <t>Occupancy revenue</t>
  </si>
  <si>
    <t>Franchise and license revenue:</t>
  </si>
  <si>
    <t>Total Franchise and license revenue</t>
  </si>
  <si>
    <t>Total</t>
  </si>
  <si>
    <t xml:space="preserve">Analysis </t>
  </si>
  <si>
    <t>Company-owned restaurants</t>
  </si>
  <si>
    <t>Franchised restaurants</t>
  </si>
  <si>
    <t>Total no. of restaurants</t>
  </si>
  <si>
    <t>22A - 24A</t>
  </si>
  <si>
    <t>25E - 29E</t>
  </si>
  <si>
    <t>Products sold in restaurants are affected by commodity pricing and are subject to price volatility. (PPIACO)</t>
  </si>
  <si>
    <t>Total Revenue</t>
  </si>
  <si>
    <t>Total revenue from Denny's</t>
  </si>
  <si>
    <t>Total revenue from Keke's</t>
  </si>
  <si>
    <t>Senarios</t>
  </si>
  <si>
    <t>Optimistic</t>
  </si>
  <si>
    <t>Pessimistic</t>
  </si>
  <si>
    <t>(In $ thousands, except per share amounts)</t>
  </si>
  <si>
    <t>Growth (YoY %)</t>
  </si>
  <si>
    <t>Total human capital</t>
  </si>
  <si>
    <r>
      <t xml:space="preserve">Cost forecast </t>
    </r>
    <r>
      <rPr>
        <b/>
        <i/>
        <sz val="11"/>
        <color theme="1"/>
        <rFont val="Aptos"/>
        <family val="2"/>
      </rPr>
      <t>($ thousands)</t>
    </r>
  </si>
  <si>
    <t>Revenue Forecast ($ thousands)</t>
  </si>
  <si>
    <t>Product costs per restaurant</t>
  </si>
  <si>
    <t>Average Hourly Earnings of All Employees ($/Hr)</t>
  </si>
  <si>
    <t>Average Yearly Earnings ($)</t>
  </si>
  <si>
    <t xml:space="preserve">8-hour shift, 26 days a month, 12-months an year including benefits </t>
  </si>
  <si>
    <t>The average hourly earnings in calculated using average of all the payroll and benefits of employees in an restaurant</t>
  </si>
  <si>
    <t>Total human capital per year is linked to an increase in % of total restaurants per year</t>
  </si>
  <si>
    <t>Advertising costs</t>
  </si>
  <si>
    <t>Occupancy costs</t>
  </si>
  <si>
    <t>Other direct costs</t>
  </si>
  <si>
    <t>Advertising costs per Franchised store</t>
  </si>
  <si>
    <t>Occupancy costs per Franchised store</t>
  </si>
  <si>
    <t>Other direct costs per Franchised store</t>
  </si>
  <si>
    <t>Total costs of franchise and license rev.</t>
  </si>
  <si>
    <t>G&amp;A / Revenue (%)</t>
  </si>
  <si>
    <t>Occupancy cost / Occupancy Rev. (%)</t>
  </si>
  <si>
    <t>Other operating expenses / Revenue (%)</t>
  </si>
  <si>
    <t>Payroll per Employees ($)</t>
  </si>
  <si>
    <t xml:space="preserve">Costs of franchise &amp; license costs are linked to the % YoY growth in no. of franchised stores </t>
  </si>
  <si>
    <t>Income taxes / PBT (%)</t>
  </si>
  <si>
    <t>(Producer Price Index by Commodity: All Commodities)</t>
  </si>
  <si>
    <t>Occupancy costs linked to occupancy revenue</t>
  </si>
  <si>
    <t>Other operating costs linked to total revenue</t>
  </si>
  <si>
    <t>Check</t>
  </si>
  <si>
    <t>Producer commodity prices</t>
  </si>
  <si>
    <t xml:space="preserve">Property, plant and equipment </t>
  </si>
  <si>
    <t>Opening balance of Gross PP&amp;E</t>
  </si>
  <si>
    <t>PP&amp;E and Intangible schedule</t>
  </si>
  <si>
    <t>Additons to PP&amp;E</t>
  </si>
  <si>
    <t>Disposal of PP&amp;E</t>
  </si>
  <si>
    <t>Closing balance of Gross PP&amp;E</t>
  </si>
  <si>
    <t>Closing balance of Net, PP&amp;E</t>
  </si>
  <si>
    <t>Depreciation of PP&amp;E</t>
  </si>
  <si>
    <t>CapEx as a % of Revenue</t>
  </si>
  <si>
    <t xml:space="preserve">Intangible Assets </t>
  </si>
  <si>
    <t>Opening balance of Intangible assets</t>
  </si>
  <si>
    <t xml:space="preserve">Additions to intangibles </t>
  </si>
  <si>
    <t>Closing balance of Intangible assets</t>
  </si>
  <si>
    <t>Closing balance of Net, Intangibles</t>
  </si>
  <si>
    <t>CapEx related to PP&amp;E</t>
  </si>
  <si>
    <t>Depreciation as a % of Gross closing PP&amp;E</t>
  </si>
  <si>
    <t>CapEx related to intangibles</t>
  </si>
  <si>
    <t>Intangible assets with indefinte life</t>
  </si>
  <si>
    <t>Intangible assets with definte life</t>
  </si>
  <si>
    <t>Less: Accumulated amortization</t>
  </si>
  <si>
    <t>Less: Accumulated depreciation</t>
  </si>
  <si>
    <t>Amortization of Intangibles (existing)</t>
  </si>
  <si>
    <t>Amortization of Intangibles (new)</t>
  </si>
  <si>
    <t>Total Amortization of Intangibles</t>
  </si>
  <si>
    <t>Other non-current assets</t>
  </si>
  <si>
    <t>Opening balance of NCA</t>
  </si>
  <si>
    <t>Additons to NCA</t>
  </si>
  <si>
    <t>Closing balance of NCA</t>
  </si>
  <si>
    <t>Less: Amortization of NCA</t>
  </si>
  <si>
    <t>Current assets</t>
  </si>
  <si>
    <t>Current liabilities</t>
  </si>
  <si>
    <t>Turnover ratio</t>
  </si>
  <si>
    <t>Prepaid and other current as a % of revenue</t>
  </si>
  <si>
    <t>Other current liabilities as a % of revenue</t>
  </si>
  <si>
    <t>Other noncurrent liabilities as a % of revenue</t>
  </si>
  <si>
    <t>Issuance of new debt</t>
  </si>
  <si>
    <t>Closing balance of debt</t>
  </si>
  <si>
    <t>Opening balance of debt</t>
  </si>
  <si>
    <t>Interst Expenses</t>
  </si>
  <si>
    <t>Interest rate</t>
  </si>
  <si>
    <t>SOFR + 2.25%</t>
  </si>
  <si>
    <t>Cash Flow Statement</t>
  </si>
  <si>
    <t>Add/Less: Non-cash items</t>
  </si>
  <si>
    <t>Depreciation &amp; Amortization</t>
  </si>
  <si>
    <t>Opening balance of deficit</t>
  </si>
  <si>
    <t>Add: Net Income</t>
  </si>
  <si>
    <t>Closing balance of deficit</t>
  </si>
  <si>
    <t>Opening balance of Paid in Capital</t>
  </si>
  <si>
    <t>Add: Share Based compensation</t>
  </si>
  <si>
    <t>Closing balance of Paid in Capital</t>
  </si>
  <si>
    <t>Share based compensation as a % of PAT</t>
  </si>
  <si>
    <t>Less: Dividends Paid</t>
  </si>
  <si>
    <t>Share-based compensation</t>
  </si>
  <si>
    <t>Change in working capital</t>
  </si>
  <si>
    <t>Receivables</t>
  </si>
  <si>
    <t>Cash flow from operating activities</t>
  </si>
  <si>
    <t>Interest expenses</t>
  </si>
  <si>
    <t>Purchases for PP&amp;E</t>
  </si>
  <si>
    <t>Additions to Intangibles</t>
  </si>
  <si>
    <t>Cash flow from investing activities</t>
  </si>
  <si>
    <t>Revolver</t>
  </si>
  <si>
    <t>Repayment of Long-term debt</t>
  </si>
  <si>
    <t>Payments of dividends issued for the year</t>
  </si>
  <si>
    <t>Cash flow from financing activities</t>
  </si>
  <si>
    <t>Net cash flow for the year</t>
  </si>
  <si>
    <t>Cash at the beginning of the year</t>
  </si>
  <si>
    <t>Cash at the end of the year</t>
  </si>
  <si>
    <t>Beginning revolver balance</t>
  </si>
  <si>
    <t>Closing revolver balance</t>
  </si>
  <si>
    <t>Less: Repayment of debt</t>
  </si>
  <si>
    <t>Less: Repayment of revolver debt</t>
  </si>
  <si>
    <t>SOFR Curve</t>
  </si>
  <si>
    <t xml:space="preserve"> </t>
  </si>
  <si>
    <t>Cash flow before debt repayment</t>
  </si>
  <si>
    <t>Less: Minimum cash balance</t>
  </si>
  <si>
    <t>Cash flow available for debt</t>
  </si>
  <si>
    <t xml:space="preserve">Draw on revolver </t>
  </si>
  <si>
    <t>Less: Repayment of Long-term Debt</t>
  </si>
  <si>
    <t>Less: Payment of interest expenses</t>
  </si>
  <si>
    <t>Net cash after debt repayment</t>
  </si>
  <si>
    <t>Interest expenses on revolver</t>
  </si>
  <si>
    <t>SOFR + 1.25%</t>
  </si>
  <si>
    <t>Revolver draw (Repayment)</t>
  </si>
  <si>
    <t>Additions (Disposal) to NCA</t>
  </si>
  <si>
    <t>Company name</t>
  </si>
  <si>
    <t xml:space="preserve">Share price </t>
  </si>
  <si>
    <t>Diluted Shares</t>
  </si>
  <si>
    <t>Equity Value</t>
  </si>
  <si>
    <t xml:space="preserve">Debt </t>
  </si>
  <si>
    <t xml:space="preserve">Cash </t>
  </si>
  <si>
    <t>Enterprise Value</t>
  </si>
  <si>
    <t xml:space="preserve">Revenue </t>
  </si>
  <si>
    <t>Net Income</t>
  </si>
  <si>
    <t>EV/Revenue</t>
  </si>
  <si>
    <t>EV/EBITDA</t>
  </si>
  <si>
    <t>P/E Multiple</t>
  </si>
  <si>
    <t>Dine Brands Global, Inc.</t>
  </si>
  <si>
    <t>IHP.F</t>
  </si>
  <si>
    <t>(In $ Millions, except per share amounts and shares outstanding)</t>
  </si>
  <si>
    <r>
      <t xml:space="preserve">Comparable companies - US-based operating family-style dine-in &amp; QSR's </t>
    </r>
    <r>
      <rPr>
        <b/>
        <i/>
        <sz val="10"/>
        <color theme="1"/>
        <rFont val="Aptos"/>
        <family val="2"/>
      </rPr>
      <t>(In $ Millions)</t>
    </r>
  </si>
  <si>
    <t>Cracker Barrel Old Country Store, Inc.</t>
  </si>
  <si>
    <t>CBRL</t>
  </si>
  <si>
    <t>Texas Roadhouse, Inc.</t>
  </si>
  <si>
    <t>TXRH</t>
  </si>
  <si>
    <t>Brinker International, Inc.</t>
  </si>
  <si>
    <t>EAT</t>
  </si>
  <si>
    <t>Darden Restaurants, Inc.</t>
  </si>
  <si>
    <t>DRI</t>
  </si>
  <si>
    <t>Papa John's International, Inc.</t>
  </si>
  <si>
    <t>PZZA</t>
  </si>
  <si>
    <t>Other noncurrent assets as a % of revenue</t>
  </si>
  <si>
    <t xml:space="preserve">Amortization of NCA </t>
  </si>
  <si>
    <t>Amortization of NCA as a % of NCA</t>
  </si>
  <si>
    <t>Maxminum</t>
  </si>
  <si>
    <t>Median</t>
  </si>
  <si>
    <t>25th percentile</t>
  </si>
  <si>
    <t>Minimum</t>
  </si>
  <si>
    <t>75th percentile</t>
  </si>
  <si>
    <t>Valuation statistics</t>
  </si>
  <si>
    <t>Company Comparables</t>
  </si>
  <si>
    <t>Tax Rate</t>
  </si>
  <si>
    <t>Levered Beta</t>
  </si>
  <si>
    <t>Un-Levered Beta</t>
  </si>
  <si>
    <t>Average</t>
  </si>
  <si>
    <t>Cost of Debt</t>
  </si>
  <si>
    <t>Pre-Tax Cost of debt</t>
  </si>
  <si>
    <t>Post-Tax Cost of debt</t>
  </si>
  <si>
    <t>Cost of Equity</t>
  </si>
  <si>
    <t>Risk free rate</t>
  </si>
  <si>
    <t>Equity risk premium</t>
  </si>
  <si>
    <t>Country risk</t>
  </si>
  <si>
    <t>Weighted average cost of capital</t>
  </si>
  <si>
    <t>Denny's Diner</t>
  </si>
  <si>
    <t>Add: Share-based compensation</t>
  </si>
  <si>
    <t>(Except for the dashboard, and others)</t>
  </si>
  <si>
    <t>LBO Model</t>
  </si>
  <si>
    <t>Transaction Assumptions</t>
  </si>
  <si>
    <t>Current share price:</t>
  </si>
  <si>
    <t>Offer premium:</t>
  </si>
  <si>
    <t>Offer price per share:</t>
  </si>
  <si>
    <t>Leverage ratio:</t>
  </si>
  <si>
    <t>Equity purchase price:</t>
  </si>
  <si>
    <t>Enterprise value:</t>
  </si>
  <si>
    <t>EBITDA purchase multiple:</t>
  </si>
  <si>
    <t>Debt required:</t>
  </si>
  <si>
    <t>Equity used:</t>
  </si>
  <si>
    <t>EBITDA exit multiple:</t>
  </si>
  <si>
    <t>Purchase price calculation</t>
  </si>
  <si>
    <t>Basic equity value:</t>
  </si>
  <si>
    <t>Basic shares outstanding:</t>
  </si>
  <si>
    <t>Diluted shares outstanding:</t>
  </si>
  <si>
    <t>Diluted equity value:</t>
  </si>
  <si>
    <t>Less: Cash &amp; cash equivalents:</t>
  </si>
  <si>
    <t>Add: Other liabilities:</t>
  </si>
  <si>
    <t>Add: Preferred stock:</t>
  </si>
  <si>
    <t>Add: Minority interest:</t>
  </si>
  <si>
    <t>Add: Debt:</t>
  </si>
  <si>
    <t>Financing fee (%):</t>
  </si>
  <si>
    <t>Advisory fee (%):</t>
  </si>
  <si>
    <t>Legal &amp; Misc. fees (%):</t>
  </si>
  <si>
    <t>Debt Assumptions</t>
  </si>
  <si>
    <t>Term Loan A (%):</t>
  </si>
  <si>
    <t>Term Loan B (%):</t>
  </si>
  <si>
    <t>Subordinated debt (%):</t>
  </si>
  <si>
    <t>Mezzanine finance (%):</t>
  </si>
  <si>
    <t>Debt Required:</t>
  </si>
  <si>
    <t>Revolver:</t>
  </si>
  <si>
    <t>Term Loan A :</t>
  </si>
  <si>
    <t>Term Loan B :</t>
  </si>
  <si>
    <t>Subordinated debt :</t>
  </si>
  <si>
    <t>Mezzanine finance :</t>
  </si>
  <si>
    <t>Principal repayment (%)</t>
  </si>
  <si>
    <t>Interest rates (%)</t>
  </si>
  <si>
    <t>SOFR + 300</t>
  </si>
  <si>
    <t>SOFR + 400</t>
  </si>
  <si>
    <t>SOFR + 150</t>
  </si>
  <si>
    <t>N/A</t>
  </si>
  <si>
    <t>Sources &amp; Uses</t>
  </si>
  <si>
    <t>Sources</t>
  </si>
  <si>
    <t>Uses</t>
  </si>
  <si>
    <t>Excess cash:</t>
  </si>
  <si>
    <t>Term Loan A:</t>
  </si>
  <si>
    <t>Total Sources</t>
  </si>
  <si>
    <t>Equity Value of Company:</t>
  </si>
  <si>
    <t>Total Uses</t>
  </si>
  <si>
    <t>Investor equity:</t>
  </si>
  <si>
    <t>Advisory fee :</t>
  </si>
  <si>
    <t>Legal &amp; Misc. fees :</t>
  </si>
  <si>
    <t>Debit</t>
  </si>
  <si>
    <t>Credit</t>
  </si>
  <si>
    <t>Revenue</t>
  </si>
  <si>
    <t>Costs of company restaurant sales</t>
  </si>
  <si>
    <t>Historical</t>
  </si>
  <si>
    <t>Transaction Adjustments</t>
  </si>
  <si>
    <t>Minimum Cash Balance:</t>
  </si>
  <si>
    <t>Initial Cash Balance:</t>
  </si>
  <si>
    <t>Goodwill Creation &amp; Balance sheet Adjustments</t>
  </si>
  <si>
    <t>Goodwill calculation</t>
  </si>
  <si>
    <t>Equity purchase value:</t>
  </si>
  <si>
    <t>Less: Seller book value:</t>
  </si>
  <si>
    <t>Total allocable purchase premium:</t>
  </si>
  <si>
    <t>Add: Write-off of existing goodwill:</t>
  </si>
  <si>
    <t>Fixed asset-write up</t>
  </si>
  <si>
    <t>PP&amp;E write-up (%):</t>
  </si>
  <si>
    <t>PP&amp;E write-up amount:</t>
  </si>
  <si>
    <t>Depreciation period (Years):</t>
  </si>
  <si>
    <t>Intangible asset-write up</t>
  </si>
  <si>
    <t>Purchase price to allocate:</t>
  </si>
  <si>
    <t>% allocated to intangibles:</t>
  </si>
  <si>
    <t>Intangilbes write-up amount:</t>
  </si>
  <si>
    <t>Amortization period (Years):</t>
  </si>
  <si>
    <t>Less: Write-up of PP&amp;E:</t>
  </si>
  <si>
    <t>Less: Write-up of Intangibles:</t>
  </si>
  <si>
    <t>Less: Write-up of DTL:</t>
  </si>
  <si>
    <t>Add: New Deferred tax liabilities:</t>
  </si>
  <si>
    <t>Total goodwill created:</t>
  </si>
  <si>
    <t>Financing fees amortization period:</t>
  </si>
  <si>
    <t>New deferred tax liability:</t>
  </si>
  <si>
    <t>Income Statement</t>
  </si>
  <si>
    <t>Balance Sheet</t>
  </si>
  <si>
    <t>Tax Rate:</t>
  </si>
  <si>
    <t>Denny's Diner LBO model as of FY 2025</t>
  </si>
  <si>
    <t>Capitalised Financing fees</t>
  </si>
  <si>
    <t>Deferred tax liability</t>
  </si>
  <si>
    <t>Sponsor Common Equity</t>
  </si>
  <si>
    <t>*</t>
  </si>
  <si>
    <t>Depreciation of PP&amp;E Write-Up:</t>
  </si>
  <si>
    <t>New Intangibles Amortization:</t>
  </si>
  <si>
    <t>Amortization of Financing Fees:</t>
  </si>
  <si>
    <t>Accrual of Mezzanine:</t>
  </si>
  <si>
    <t>* capex as a % of revenue (3%)</t>
  </si>
  <si>
    <t>Capitalised Financing fee :</t>
  </si>
  <si>
    <t>Additon (disposal) of NCA</t>
  </si>
  <si>
    <t>*add share based compensation</t>
  </si>
  <si>
    <t>*add net income and less dividends paid</t>
  </si>
  <si>
    <t>Interest rate assumption</t>
  </si>
  <si>
    <t>SOFR</t>
  </si>
  <si>
    <t>Int. Rate</t>
  </si>
  <si>
    <t>SOFR curve:</t>
  </si>
  <si>
    <t>Interest Income (Expenses) Calculation</t>
  </si>
  <si>
    <t>Cash:</t>
  </si>
  <si>
    <t>Effective cash interest rate:</t>
  </si>
  <si>
    <t>Net Interest Income (Expenses)</t>
  </si>
  <si>
    <t>Source of funds</t>
  </si>
  <si>
    <t>Beginning cash balance</t>
  </si>
  <si>
    <t>Add: Cash flow available for debt payments</t>
  </si>
  <si>
    <t>Subtotal before Revolver</t>
  </si>
  <si>
    <t>Revolver borrowing required</t>
  </si>
  <si>
    <t>Total source of funds</t>
  </si>
  <si>
    <t>Use of funds</t>
  </si>
  <si>
    <t>Mandatory debt payments</t>
  </si>
  <si>
    <t>Optional debt payments</t>
  </si>
  <si>
    <t>Long-term Debt:</t>
  </si>
  <si>
    <t>Cash generated on balance sheet</t>
  </si>
  <si>
    <t>Total use of funds</t>
  </si>
  <si>
    <t>Purchases on CapEx (New)</t>
  </si>
  <si>
    <t>Long-term debt (Existing)</t>
  </si>
  <si>
    <t>Investor Returns</t>
  </si>
  <si>
    <t>EBITDA Multiple</t>
  </si>
  <si>
    <t>Investor return</t>
  </si>
  <si>
    <t>IRR:</t>
  </si>
  <si>
    <t>Sensitivity Analysis - 5-Year IRR and Purchase Premium vs. Exit Multiple</t>
  </si>
  <si>
    <t>Exit Multiple</t>
  </si>
  <si>
    <t>Purchase Premium / Per Share Price</t>
  </si>
  <si>
    <t>Sensitivity Analysis - 5-Year IRR and Purchase Premium vs. Leverage ratio</t>
  </si>
  <si>
    <t>Leverage Ratio</t>
  </si>
  <si>
    <t>Weightage</t>
  </si>
  <si>
    <t>Equity</t>
  </si>
  <si>
    <t>Debt</t>
  </si>
  <si>
    <t xml:space="preserve">Total </t>
  </si>
  <si>
    <t>Dicount Rate</t>
  </si>
  <si>
    <t>Terminal Value</t>
  </si>
  <si>
    <t>PV of Cash Flows</t>
  </si>
  <si>
    <t>Add: Investments &amp; Securities</t>
  </si>
  <si>
    <t>No. of Shares</t>
  </si>
  <si>
    <t>Price per Share</t>
  </si>
  <si>
    <t xml:space="preserve">Current Price </t>
  </si>
  <si>
    <t>Discount | (Premium)</t>
  </si>
  <si>
    <t>Implied Price per Share</t>
  </si>
  <si>
    <t>DCF Valuation</t>
  </si>
  <si>
    <t>FCF</t>
  </si>
  <si>
    <t>D</t>
  </si>
  <si>
    <t>DCF</t>
  </si>
  <si>
    <t>Sl.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</si>
</sst>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3" formatCode="_ * #,##0.00_ ;_ * \-#,##0.00_ ;_ * &quot;-&quot;??_ ;_ @_ "/>
    <numFmt numFmtId="164" formatCode="_ * #,##0.0_ ;_ * \-#,##0.0_ ;_ * &quot;-&quot;??_ ;_ @_ "/>
    <numFmt numFmtId="165" formatCode="mmm/yy\ \A"/>
    <numFmt numFmtId="166" formatCode="mmm/yy\ \E"/>
    <numFmt numFmtId="167" formatCode="#,##0.0"/>
    <numFmt numFmtId="168" formatCode="#,##0;\(#,##0\);\ \-"/>
    <numFmt numFmtId="169" formatCode="0.0%"/>
    <numFmt numFmtId="170" formatCode="0.0"/>
    <numFmt numFmtId="172" formatCode="&quot;FY&quot;\ yyyy\ &quot;A&quot;"/>
    <numFmt numFmtId="173" formatCode="&quot;FY&quot;\ yyyy\ &quot;E&quot;"/>
    <numFmt numFmtId="174" formatCode="#,##0.00;\(#,##0.00\);\ \-"/>
    <numFmt numFmtId="175" formatCode="_-[$$-409]* #,##0.00_ ;_-[$$-409]* \-#,##0.00\ ;_-[$$-409]* &quot;-&quot;??_ ;_-@_ "/>
    <numFmt numFmtId="176" formatCode="_-[$$-409]* #,##0_ ;_-[$$-409]* \-#,##0\ ;_-[$$-409]* &quot;-&quot;??_ ;_-@_ "/>
    <numFmt numFmtId="177" formatCode="0.00\ \x"/>
    <numFmt numFmtId="178" formatCode="_-[$$-409]* #,##0_ ;_-[$$-409]* \(#,##0\)\ ;_-[$$-409]* &quot;-&quot;_ ;_-@_ "/>
    <numFmt numFmtId="179" formatCode="0.0E+00"/>
    <numFmt numFmtId="180" formatCode="0.0%;\(0.0%\)"/>
    <numFmt numFmtId="181" formatCode="_(&quot;$&quot;* #,##0.00_);_(&quot;$&quot;* \(#,##0.00\);_(&quot;$&quot;* &quot;-&quot;??_);_(@_)"/>
    <numFmt numFmtId="182" formatCode="0.0\ \x"/>
    <numFmt numFmtId="183" formatCode="_ * #,##0_ ;_ * \-#,##0_ ;_ * &quot;-&quot;??_ ;_ @_ "/>
  </numFmts>
  <fonts count="4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sz val="11"/>
      <color theme="0"/>
      <name val="Arial"/>
      <family val="2"/>
    </font>
    <font>
      <sz val="11"/>
      <color rgb="FFFF0000"/>
      <name val="Calibri"/>
      <family val="2"/>
    </font>
    <font>
      <sz val="10"/>
      <color rgb="FF0000FF"/>
      <name val="Arial"/>
      <family val="2"/>
    </font>
    <font>
      <u/>
      <sz val="11"/>
      <color theme="10"/>
      <name val="Calibri"/>
      <family val="2"/>
    </font>
    <font>
      <b/>
      <sz val="11"/>
      <color theme="3"/>
      <name val="Calibri"/>
      <family val="2"/>
    </font>
    <font>
      <sz val="18"/>
      <color rgb="FF001440"/>
      <name val="Arial Black"/>
      <family val="2"/>
    </font>
    <font>
      <sz val="10"/>
      <color theme="1"/>
      <name val="Aptos"/>
      <family val="2"/>
    </font>
    <font>
      <b/>
      <sz val="12"/>
      <color theme="0"/>
      <name val="Aptos"/>
      <family val="2"/>
    </font>
    <font>
      <b/>
      <sz val="10"/>
      <color theme="0"/>
      <name val="Aptos"/>
      <family val="2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u/>
      <sz val="10"/>
      <color theme="1"/>
      <name val="Aptos"/>
      <family val="2"/>
    </font>
    <font>
      <sz val="11"/>
      <color rgb="FFFF0000"/>
      <name val="Aptos"/>
      <family val="2"/>
    </font>
    <font>
      <b/>
      <sz val="10"/>
      <color theme="1"/>
      <name val="Aptos"/>
      <family val="2"/>
    </font>
    <font>
      <sz val="11"/>
      <color rgb="FF0000FF"/>
      <name val="Aptos"/>
      <family val="2"/>
    </font>
    <font>
      <sz val="11"/>
      <color rgb="FF00B000"/>
      <name val="Aptos"/>
      <family val="2"/>
    </font>
    <font>
      <sz val="11"/>
      <color theme="0"/>
      <name val="Aptos"/>
      <family val="2"/>
    </font>
    <font>
      <sz val="10"/>
      <color theme="0"/>
      <name val="Aptos"/>
      <family val="2"/>
    </font>
    <font>
      <b/>
      <sz val="11"/>
      <color theme="0"/>
      <name val="Aptos"/>
      <family val="2"/>
    </font>
    <font>
      <u/>
      <sz val="11"/>
      <color theme="10"/>
      <name val="Aptos"/>
      <family val="2"/>
    </font>
    <font>
      <i/>
      <sz val="10"/>
      <color theme="1"/>
      <name val="Aptos"/>
      <family val="2"/>
    </font>
    <font>
      <sz val="10"/>
      <color rgb="FF232526"/>
      <name val="Aptos"/>
      <family val="2"/>
    </font>
    <font>
      <sz val="11"/>
      <color rgb="FF232526"/>
      <name val="Aptos"/>
      <family val="2"/>
    </font>
    <font>
      <b/>
      <i/>
      <sz val="10"/>
      <color theme="1"/>
      <name val="Aptos"/>
      <family val="2"/>
    </font>
    <font>
      <b/>
      <sz val="11"/>
      <color rgb="FFD91400"/>
      <name val="Aptos"/>
      <family val="2"/>
    </font>
    <font>
      <b/>
      <sz val="11"/>
      <color rgb="FF007C32"/>
      <name val="Aptos"/>
      <family val="2"/>
    </font>
    <font>
      <i/>
      <sz val="10"/>
      <color theme="0"/>
      <name val="Aptos"/>
      <family val="2"/>
    </font>
    <font>
      <u/>
      <sz val="10"/>
      <color theme="10"/>
      <name val="Aptos"/>
      <family val="2"/>
    </font>
    <font>
      <i/>
      <sz val="10"/>
      <color theme="0" tint="-0.14999847407452621"/>
      <name val="Aptos"/>
      <family val="2"/>
    </font>
    <font>
      <sz val="10"/>
      <color theme="1"/>
      <name val="Calibri"/>
      <family val="2"/>
    </font>
    <font>
      <b/>
      <i/>
      <sz val="11"/>
      <color theme="1"/>
      <name val="Aptos"/>
      <family val="2"/>
    </font>
    <font>
      <i/>
      <sz val="10"/>
      <color theme="1"/>
      <name val="Calibri"/>
      <family val="2"/>
    </font>
    <font>
      <b/>
      <sz val="10"/>
      <color rgb="FF232526"/>
      <name val="Aptos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rgb="FF00B000"/>
      <name val="Calibri"/>
      <family val="2"/>
    </font>
    <font>
      <sz val="11"/>
      <color rgb="FF0000FF"/>
      <name val="Calibri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b/>
      <sz val="11"/>
      <color rgb="FF0000FF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001440"/>
        <bgColor indexed="64"/>
      </patternFill>
    </fill>
    <fill>
      <patternFill patternType="solid">
        <fgColor rgb="FF00004D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4FFAF"/>
        <bgColor rgb="FFF4FFAF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3" applyNumberFormat="0" applyFont="0" applyAlignment="0" applyProtection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167" fontId="7" fillId="6" borderId="0"/>
    <xf numFmtId="0" fontId="8" fillId="0" borderId="0" applyNumberFormat="0" applyFill="0" applyBorder="0" applyAlignment="0" applyProtection="0"/>
    <xf numFmtId="0" fontId="9" fillId="0" borderId="20" applyNumberFormat="0" applyFill="0" applyAlignment="0" applyProtection="0"/>
    <xf numFmtId="0" fontId="10" fillId="0" borderId="0"/>
    <xf numFmtId="0" fontId="4" fillId="0" borderId="0"/>
    <xf numFmtId="0" fontId="43" fillId="0" borderId="0"/>
    <xf numFmtId="43" fontId="1" fillId="0" borderId="0" applyFont="0" applyFill="0" applyBorder="0" applyAlignment="0" applyProtection="0"/>
  </cellStyleXfs>
  <cellXfs count="398">
    <xf numFmtId="0" fontId="0" fillId="0" borderId="0" xfId="0"/>
    <xf numFmtId="0" fontId="4" fillId="0" borderId="0" xfId="0" applyFont="1"/>
    <xf numFmtId="0" fontId="5" fillId="4" borderId="0" xfId="0" applyFont="1" applyFill="1"/>
    <xf numFmtId="0" fontId="2" fillId="4" borderId="0" xfId="0" applyFont="1" applyFill="1"/>
    <xf numFmtId="0" fontId="3" fillId="4" borderId="0" xfId="0" applyFont="1" applyFill="1"/>
    <xf numFmtId="0" fontId="4" fillId="0" borderId="0" xfId="8"/>
    <xf numFmtId="0" fontId="12" fillId="4" borderId="0" xfId="0" applyFont="1" applyFill="1"/>
    <xf numFmtId="0" fontId="13" fillId="3" borderId="0" xfId="0" applyFont="1" applyFill="1"/>
    <xf numFmtId="0" fontId="14" fillId="5" borderId="0" xfId="0" applyFont="1" applyFill="1"/>
    <xf numFmtId="0" fontId="15" fillId="5" borderId="0" xfId="0" applyFont="1" applyFill="1"/>
    <xf numFmtId="0" fontId="11" fillId="0" borderId="0" xfId="0" applyFont="1"/>
    <xf numFmtId="0" fontId="11" fillId="0" borderId="0" xfId="0" applyFont="1" applyAlignment="1">
      <alignment horizontal="center"/>
    </xf>
    <xf numFmtId="0" fontId="18" fillId="0" borderId="4" xfId="0" applyFont="1" applyBorder="1"/>
    <xf numFmtId="0" fontId="16" fillId="0" borderId="0" xfId="0" applyFont="1"/>
    <xf numFmtId="0" fontId="15" fillId="0" borderId="0" xfId="0" applyFont="1"/>
    <xf numFmtId="0" fontId="15" fillId="0" borderId="0" xfId="0" applyFont="1" applyAlignment="1">
      <alignment wrapText="1"/>
    </xf>
    <xf numFmtId="0" fontId="12" fillId="3" borderId="0" xfId="0" applyFont="1" applyFill="1"/>
    <xf numFmtId="0" fontId="21" fillId="3" borderId="0" xfId="0" applyFont="1" applyFill="1"/>
    <xf numFmtId="0" fontId="21" fillId="3" borderId="1" xfId="0" applyFont="1" applyFill="1" applyBorder="1"/>
    <xf numFmtId="0" fontId="22" fillId="3" borderId="0" xfId="0" applyFont="1" applyFill="1"/>
    <xf numFmtId="0" fontId="22" fillId="3" borderId="7" xfId="0" applyFont="1" applyFill="1" applyBorder="1"/>
    <xf numFmtId="165" fontId="13" fillId="3" borderId="14" xfId="0" applyNumberFormat="1" applyFont="1" applyFill="1" applyBorder="1"/>
    <xf numFmtId="165" fontId="13" fillId="3" borderId="0" xfId="0" applyNumberFormat="1" applyFont="1" applyFill="1"/>
    <xf numFmtId="166" fontId="13" fillId="3" borderId="14" xfId="0" applyNumberFormat="1" applyFont="1" applyFill="1" applyBorder="1"/>
    <xf numFmtId="166" fontId="13" fillId="3" borderId="8" xfId="0" applyNumberFormat="1" applyFont="1" applyFill="1" applyBorder="1"/>
    <xf numFmtId="15" fontId="13" fillId="3" borderId="14" xfId="0" applyNumberFormat="1" applyFont="1" applyFill="1" applyBorder="1" applyAlignment="1">
      <alignment horizontal="right"/>
    </xf>
    <xf numFmtId="0" fontId="13" fillId="3" borderId="8" xfId="0" applyFont="1" applyFill="1" applyBorder="1" applyAlignment="1">
      <alignment horizontal="right"/>
    </xf>
    <xf numFmtId="0" fontId="11" fillId="0" borderId="15" xfId="0" applyFont="1" applyBorder="1"/>
    <xf numFmtId="0" fontId="11" fillId="0" borderId="7" xfId="0" applyFont="1" applyBorder="1"/>
    <xf numFmtId="0" fontId="24" fillId="0" borderId="0" xfId="5" applyFont="1"/>
    <xf numFmtId="0" fontId="21" fillId="5" borderId="0" xfId="0" applyFont="1" applyFill="1"/>
    <xf numFmtId="0" fontId="18" fillId="0" borderId="0" xfId="0" applyFont="1"/>
    <xf numFmtId="0" fontId="18" fillId="5" borderId="0" xfId="0" applyFont="1" applyFill="1"/>
    <xf numFmtId="0" fontId="11" fillId="0" borderId="0" xfId="8" applyFont="1"/>
    <xf numFmtId="0" fontId="24" fillId="5" borderId="0" xfId="5" applyFont="1" applyFill="1"/>
    <xf numFmtId="0" fontId="22" fillId="5" borderId="0" xfId="0" applyFont="1" applyFill="1"/>
    <xf numFmtId="0" fontId="11" fillId="5" borderId="0" xfId="0" applyFont="1" applyFill="1"/>
    <xf numFmtId="0" fontId="11" fillId="0" borderId="0" xfId="0" applyFont="1" applyAlignment="1">
      <alignment horizontal="left" indent="1"/>
    </xf>
    <xf numFmtId="168" fontId="11" fillId="0" borderId="0" xfId="0" applyNumberFormat="1" applyFont="1"/>
    <xf numFmtId="14" fontId="26" fillId="7" borderId="0" xfId="0" applyNumberFormat="1" applyFont="1" applyFill="1" applyAlignment="1">
      <alignment horizontal="left" vertical="center"/>
    </xf>
    <xf numFmtId="4" fontId="11" fillId="7" borderId="0" xfId="0" applyNumberFormat="1" applyFont="1" applyFill="1" applyAlignment="1">
      <alignment horizontal="left" vertical="center" wrapText="1" readingOrder="1"/>
    </xf>
    <xf numFmtId="4" fontId="27" fillId="7" borderId="0" xfId="0" applyNumberFormat="1" applyFont="1" applyFill="1" applyAlignment="1">
      <alignment horizontal="right" vertical="center" wrapText="1"/>
    </xf>
    <xf numFmtId="4" fontId="11" fillId="0" borderId="0" xfId="0" applyNumberFormat="1" applyFont="1"/>
    <xf numFmtId="169" fontId="26" fillId="7" borderId="0" xfId="2" applyNumberFormat="1" applyFont="1" applyFill="1" applyAlignment="1">
      <alignment horizontal="right" vertical="center" wrapText="1"/>
    </xf>
    <xf numFmtId="10" fontId="11" fillId="0" borderId="0" xfId="0" applyNumberFormat="1" applyFont="1"/>
    <xf numFmtId="0" fontId="11" fillId="7" borderId="0" xfId="0" applyFont="1" applyFill="1" applyAlignment="1">
      <alignment horizontal="left" vertical="center" wrapText="1" readingOrder="1"/>
    </xf>
    <xf numFmtId="0" fontId="27" fillId="7" borderId="0" xfId="0" applyFont="1" applyFill="1" applyAlignment="1">
      <alignment horizontal="right" vertical="center" wrapText="1"/>
    </xf>
    <xf numFmtId="10" fontId="29" fillId="7" borderId="0" xfId="0" applyNumberFormat="1" applyFont="1" applyFill="1" applyAlignment="1">
      <alignment horizontal="right" vertical="center" readingOrder="1"/>
    </xf>
    <xf numFmtId="10" fontId="30" fillId="7" borderId="0" xfId="0" applyNumberFormat="1" applyFont="1" applyFill="1" applyAlignment="1">
      <alignment horizontal="right" vertical="center" readingOrder="1"/>
    </xf>
    <xf numFmtId="0" fontId="23" fillId="3" borderId="0" xfId="0" applyFont="1" applyFill="1"/>
    <xf numFmtId="167" fontId="11" fillId="0" borderId="0" xfId="0" applyNumberFormat="1" applyFont="1"/>
    <xf numFmtId="2" fontId="11" fillId="0" borderId="0" xfId="0" applyNumberFormat="1" applyFont="1"/>
    <xf numFmtId="0" fontId="25" fillId="0" borderId="0" xfId="0" applyFont="1"/>
    <xf numFmtId="10" fontId="11" fillId="0" borderId="0" xfId="2" applyNumberFormat="1" applyFont="1"/>
    <xf numFmtId="0" fontId="11" fillId="2" borderId="21" xfId="1" applyFont="1" applyBorder="1"/>
    <xf numFmtId="0" fontId="11" fillId="2" borderId="22" xfId="1" applyFont="1" applyBorder="1"/>
    <xf numFmtId="0" fontId="11" fillId="2" borderId="23" xfId="1" applyFont="1" applyBorder="1"/>
    <xf numFmtId="14" fontId="11" fillId="2" borderId="3" xfId="1" applyNumberFormat="1" applyFont="1"/>
    <xf numFmtId="10" fontId="11" fillId="2" borderId="3" xfId="1" applyNumberFormat="1" applyFont="1"/>
    <xf numFmtId="0" fontId="13" fillId="4" borderId="0" xfId="0" applyFont="1" applyFill="1"/>
    <xf numFmtId="10" fontId="25" fillId="0" borderId="0" xfId="2" applyNumberFormat="1" applyFont="1"/>
    <xf numFmtId="0" fontId="11" fillId="0" borderId="0" xfId="0" applyFont="1" applyAlignment="1">
      <alignment horizontal="left" indent="2"/>
    </xf>
    <xf numFmtId="168" fontId="18" fillId="0" borderId="0" xfId="0" applyNumberFormat="1" applyFont="1"/>
    <xf numFmtId="170" fontId="11" fillId="0" borderId="0" xfId="0" applyNumberFormat="1" applyFont="1"/>
    <xf numFmtId="0" fontId="31" fillId="3" borderId="0" xfId="0" applyFont="1" applyFill="1"/>
    <xf numFmtId="0" fontId="32" fillId="0" borderId="0" xfId="5" applyFont="1"/>
    <xf numFmtId="0" fontId="11" fillId="0" borderId="24" xfId="0" applyFont="1" applyBorder="1"/>
    <xf numFmtId="0" fontId="18" fillId="2" borderId="5" xfId="1" applyFont="1" applyBorder="1"/>
    <xf numFmtId="14" fontId="11" fillId="2" borderId="3" xfId="1" applyNumberFormat="1" applyFont="1" applyAlignment="1">
      <alignment horizontal="left"/>
    </xf>
    <xf numFmtId="164" fontId="11" fillId="2" borderId="3" xfId="1" applyNumberFormat="1" applyFont="1" applyAlignment="1">
      <alignment horizontal="left"/>
    </xf>
    <xf numFmtId="164" fontId="11" fillId="2" borderId="3" xfId="1" applyNumberFormat="1" applyFont="1" applyAlignment="1"/>
    <xf numFmtId="0" fontId="11" fillId="0" borderId="0" xfId="8" applyFont="1" applyAlignment="1">
      <alignment horizontal="left" indent="1"/>
    </xf>
    <xf numFmtId="0" fontId="11" fillId="0" borderId="0" xfId="8" applyFont="1" applyAlignment="1">
      <alignment horizontal="left" indent="2"/>
    </xf>
    <xf numFmtId="0" fontId="18" fillId="0" borderId="0" xfId="8" applyFont="1" applyAlignment="1">
      <alignment horizontal="left" indent="2"/>
    </xf>
    <xf numFmtId="0" fontId="18" fillId="0" borderId="0" xfId="8" applyFont="1"/>
    <xf numFmtId="0" fontId="18" fillId="0" borderId="0" xfId="8" applyFont="1" applyAlignment="1">
      <alignment horizontal="left" indent="1"/>
    </xf>
    <xf numFmtId="0" fontId="11" fillId="0" borderId="0" xfId="8" applyFont="1" applyAlignment="1">
      <alignment horizontal="left"/>
    </xf>
    <xf numFmtId="0" fontId="18" fillId="0" borderId="0" xfId="8" applyFont="1" applyAlignment="1">
      <alignment horizontal="left"/>
    </xf>
    <xf numFmtId="2" fontId="11" fillId="0" borderId="0" xfId="8" applyNumberFormat="1" applyFont="1"/>
    <xf numFmtId="0" fontId="0" fillId="0" borderId="0" xfId="0" applyAlignment="1">
      <alignment vertical="top"/>
    </xf>
    <xf numFmtId="168" fontId="11" fillId="0" borderId="0" xfId="8" applyNumberFormat="1" applyFont="1"/>
    <xf numFmtId="168" fontId="18" fillId="0" borderId="0" xfId="8" applyNumberFormat="1" applyFont="1"/>
    <xf numFmtId="172" fontId="14" fillId="5" borderId="0" xfId="0" applyNumberFormat="1" applyFont="1" applyFill="1"/>
    <xf numFmtId="173" fontId="14" fillId="5" borderId="0" xfId="0" applyNumberFormat="1" applyFont="1" applyFill="1"/>
    <xf numFmtId="3" fontId="11" fillId="0" borderId="0" xfId="8" applyNumberFormat="1" applyFont="1"/>
    <xf numFmtId="11" fontId="11" fillId="0" borderId="0" xfId="8" applyNumberFormat="1" applyFont="1"/>
    <xf numFmtId="0" fontId="18" fillId="0" borderId="0" xfId="8" applyFont="1" applyAlignment="1">
      <alignment horizontal="left" indent="3"/>
    </xf>
    <xf numFmtId="3" fontId="18" fillId="0" borderId="0" xfId="8" applyNumberFormat="1" applyFont="1"/>
    <xf numFmtId="0" fontId="16" fillId="0" borderId="0" xfId="8" applyFont="1"/>
    <xf numFmtId="169" fontId="11" fillId="0" borderId="0" xfId="2" applyNumberFormat="1" applyFont="1"/>
    <xf numFmtId="169" fontId="11" fillId="0" borderId="0" xfId="8" applyNumberFormat="1" applyFont="1"/>
    <xf numFmtId="169" fontId="28" fillId="0" borderId="0" xfId="2" applyNumberFormat="1" applyFont="1"/>
    <xf numFmtId="3" fontId="11" fillId="0" borderId="0" xfId="0" applyNumberFormat="1" applyFont="1"/>
    <xf numFmtId="0" fontId="18" fillId="0" borderId="0" xfId="0" applyFont="1" applyAlignment="1">
      <alignment horizontal="left" indent="1"/>
    </xf>
    <xf numFmtId="0" fontId="18" fillId="0" borderId="0" xfId="0" applyFont="1" applyAlignment="1">
      <alignment horizontal="left" indent="3"/>
    </xf>
    <xf numFmtId="11" fontId="18" fillId="0" borderId="0" xfId="0" applyNumberFormat="1" applyFont="1" applyAlignment="1">
      <alignment horizontal="left" indent="1"/>
    </xf>
    <xf numFmtId="170" fontId="11" fillId="0" borderId="0" xfId="8" applyNumberFormat="1" applyFont="1"/>
    <xf numFmtId="3" fontId="18" fillId="0" borderId="0" xfId="0" applyNumberFormat="1" applyFont="1"/>
    <xf numFmtId="0" fontId="31" fillId="4" borderId="0" xfId="0" applyFont="1" applyFill="1"/>
    <xf numFmtId="169" fontId="11" fillId="2" borderId="3" xfId="2" applyNumberFormat="1" applyFont="1" applyFill="1" applyBorder="1"/>
    <xf numFmtId="10" fontId="33" fillId="0" borderId="0" xfId="8" applyNumberFormat="1" applyFont="1"/>
    <xf numFmtId="0" fontId="33" fillId="0" borderId="0" xfId="8" applyFont="1"/>
    <xf numFmtId="9" fontId="33" fillId="0" borderId="0" xfId="8" applyNumberFormat="1" applyFont="1"/>
    <xf numFmtId="0" fontId="34" fillId="0" borderId="0" xfId="0" applyFont="1"/>
    <xf numFmtId="0" fontId="32" fillId="5" borderId="0" xfId="5" applyFont="1" applyFill="1"/>
    <xf numFmtId="169" fontId="11" fillId="0" borderId="0" xfId="0" applyNumberFormat="1" applyFont="1"/>
    <xf numFmtId="2" fontId="11" fillId="0" borderId="0" xfId="2" applyNumberFormat="1" applyFont="1"/>
    <xf numFmtId="10" fontId="33" fillId="0" borderId="0" xfId="0" applyNumberFormat="1" applyFont="1"/>
    <xf numFmtId="0" fontId="33" fillId="0" borderId="0" xfId="0" applyFont="1"/>
    <xf numFmtId="1" fontId="11" fillId="0" borderId="0" xfId="2" applyNumberFormat="1" applyFont="1"/>
    <xf numFmtId="1" fontId="11" fillId="0" borderId="0" xfId="0" applyNumberFormat="1" applyFont="1"/>
    <xf numFmtId="0" fontId="11" fillId="0" borderId="0" xfId="0" applyFont="1" applyAlignment="1">
      <alignment horizontal="left"/>
    </xf>
    <xf numFmtId="0" fontId="36" fillId="0" borderId="0" xfId="0" applyFont="1"/>
    <xf numFmtId="0" fontId="6" fillId="0" borderId="0" xfId="3"/>
    <xf numFmtId="0" fontId="11" fillId="0" borderId="0" xfId="8" applyFont="1" applyAlignment="1">
      <alignment horizontal="left" indent="3"/>
    </xf>
    <xf numFmtId="172" fontId="18" fillId="5" borderId="0" xfId="0" applyNumberFormat="1" applyFont="1" applyFill="1"/>
    <xf numFmtId="173" fontId="18" fillId="5" borderId="0" xfId="0" applyNumberFormat="1" applyFont="1" applyFill="1"/>
    <xf numFmtId="0" fontId="11" fillId="8" borderId="0" xfId="0" applyFont="1" applyFill="1"/>
    <xf numFmtId="10" fontId="11" fillId="0" borderId="0" xfId="8" applyNumberFormat="1" applyFont="1"/>
    <xf numFmtId="2" fontId="6" fillId="0" borderId="0" xfId="3" applyNumberFormat="1"/>
    <xf numFmtId="3" fontId="18" fillId="0" borderId="25" xfId="0" applyNumberFormat="1" applyFont="1" applyBorder="1"/>
    <xf numFmtId="168" fontId="18" fillId="0" borderId="25" xfId="8" applyNumberFormat="1" applyFont="1" applyBorder="1"/>
    <xf numFmtId="168" fontId="18" fillId="0" borderId="25" xfId="0" applyNumberFormat="1" applyFont="1" applyBorder="1"/>
    <xf numFmtId="0" fontId="11" fillId="8" borderId="0" xfId="8" applyFont="1" applyFill="1"/>
    <xf numFmtId="0" fontId="18" fillId="8" borderId="0" xfId="8" applyFont="1" applyFill="1"/>
    <xf numFmtId="0" fontId="18" fillId="8" borderId="0" xfId="0" applyFont="1" applyFill="1"/>
    <xf numFmtId="174" fontId="11" fillId="0" borderId="0" xfId="0" applyNumberFormat="1" applyFont="1"/>
    <xf numFmtId="174" fontId="11" fillId="0" borderId="28" xfId="0" applyNumberFormat="1" applyFont="1" applyBorder="1"/>
    <xf numFmtId="0" fontId="11" fillId="0" borderId="29" xfId="0" applyFont="1" applyBorder="1"/>
    <xf numFmtId="0" fontId="11" fillId="0" borderId="30" xfId="0" applyFont="1" applyBorder="1"/>
    <xf numFmtId="174" fontId="11" fillId="0" borderId="30" xfId="0" applyNumberFormat="1" applyFont="1" applyBorder="1"/>
    <xf numFmtId="174" fontId="11" fillId="0" borderId="31" xfId="0" applyNumberFormat="1" applyFont="1" applyBorder="1"/>
    <xf numFmtId="0" fontId="18" fillId="8" borderId="16" xfId="0" applyFont="1" applyFill="1" applyBorder="1"/>
    <xf numFmtId="0" fontId="18" fillId="8" borderId="4" xfId="0" applyFont="1" applyFill="1" applyBorder="1"/>
    <xf numFmtId="0" fontId="18" fillId="8" borderId="32" xfId="0" applyFont="1" applyFill="1" applyBorder="1"/>
    <xf numFmtId="0" fontId="11" fillId="9" borderId="26" xfId="0" applyFont="1" applyFill="1" applyBorder="1"/>
    <xf numFmtId="174" fontId="11" fillId="9" borderId="25" xfId="0" applyNumberFormat="1" applyFont="1" applyFill="1" applyBorder="1"/>
    <xf numFmtId="174" fontId="11" fillId="9" borderId="27" xfId="0" applyNumberFormat="1" applyFont="1" applyFill="1" applyBorder="1"/>
    <xf numFmtId="0" fontId="11" fillId="9" borderId="24" xfId="0" applyFont="1" applyFill="1" applyBorder="1"/>
    <xf numFmtId="174" fontId="11" fillId="9" borderId="0" xfId="0" applyNumberFormat="1" applyFont="1" applyFill="1"/>
    <xf numFmtId="174" fontId="11" fillId="9" borderId="28" xfId="0" applyNumberFormat="1" applyFont="1" applyFill="1" applyBorder="1"/>
    <xf numFmtId="0" fontId="11" fillId="9" borderId="29" xfId="0" applyFont="1" applyFill="1" applyBorder="1"/>
    <xf numFmtId="174" fontId="11" fillId="9" borderId="30" xfId="0" applyNumberFormat="1" applyFont="1" applyFill="1" applyBorder="1"/>
    <xf numFmtId="174" fontId="11" fillId="9" borderId="31" xfId="0" applyNumberFormat="1" applyFont="1" applyFill="1" applyBorder="1"/>
    <xf numFmtId="0" fontId="18" fillId="8" borderId="24" xfId="0" applyFont="1" applyFill="1" applyBorder="1"/>
    <xf numFmtId="174" fontId="18" fillId="8" borderId="0" xfId="0" applyNumberFormat="1" applyFont="1" applyFill="1"/>
    <xf numFmtId="174" fontId="18" fillId="8" borderId="28" xfId="0" applyNumberFormat="1" applyFont="1" applyFill="1" applyBorder="1"/>
    <xf numFmtId="0" fontId="11" fillId="0" borderId="16" xfId="0" applyFont="1" applyBorder="1"/>
    <xf numFmtId="0" fontId="11" fillId="0" borderId="4" xfId="0" applyFont="1" applyBorder="1"/>
    <xf numFmtId="174" fontId="11" fillId="0" borderId="4" xfId="0" applyNumberFormat="1" applyFont="1" applyBorder="1"/>
    <xf numFmtId="174" fontId="11" fillId="0" borderId="32" xfId="0" applyNumberFormat="1" applyFont="1" applyBorder="1"/>
    <xf numFmtId="10" fontId="11" fillId="7" borderId="0" xfId="2" applyNumberFormat="1" applyFont="1" applyFill="1" applyAlignment="1">
      <alignment horizontal="right" vertical="center" wrapText="1" readingOrder="1"/>
    </xf>
    <xf numFmtId="4" fontId="26" fillId="7" borderId="0" xfId="0" applyNumberFormat="1" applyFont="1" applyFill="1" applyAlignment="1">
      <alignment vertical="center"/>
    </xf>
    <xf numFmtId="14" fontId="26" fillId="7" borderId="25" xfId="0" applyNumberFormat="1" applyFont="1" applyFill="1" applyBorder="1" applyAlignment="1">
      <alignment horizontal="left" vertical="center"/>
    </xf>
    <xf numFmtId="4" fontId="11" fillId="7" borderId="25" xfId="0" applyNumberFormat="1" applyFont="1" applyFill="1" applyBorder="1" applyAlignment="1">
      <alignment horizontal="left" vertical="center" wrapText="1" readingOrder="1"/>
    </xf>
    <xf numFmtId="169" fontId="26" fillId="7" borderId="25" xfId="2" applyNumberFormat="1" applyFont="1" applyFill="1" applyBorder="1" applyAlignment="1">
      <alignment horizontal="right" vertical="center" wrapText="1"/>
    </xf>
    <xf numFmtId="4" fontId="27" fillId="7" borderId="25" xfId="0" applyNumberFormat="1" applyFont="1" applyFill="1" applyBorder="1" applyAlignment="1">
      <alignment horizontal="right" vertical="center" wrapText="1"/>
    </xf>
    <xf numFmtId="4" fontId="11" fillId="7" borderId="0" xfId="0" applyNumberFormat="1" applyFont="1" applyFill="1" applyAlignment="1">
      <alignment horizontal="right" vertical="center" wrapText="1" readingOrder="1"/>
    </xf>
    <xf numFmtId="2" fontId="26" fillId="7" borderId="0" xfId="2" applyNumberFormat="1" applyFont="1" applyFill="1" applyBorder="1" applyAlignment="1">
      <alignment horizontal="right" vertical="center" wrapText="1"/>
    </xf>
    <xf numFmtId="10" fontId="26" fillId="7" borderId="0" xfId="2" applyNumberFormat="1" applyFont="1" applyFill="1" applyBorder="1" applyAlignment="1">
      <alignment horizontal="right" vertical="center" wrapText="1"/>
    </xf>
    <xf numFmtId="2" fontId="26" fillId="7" borderId="0" xfId="0" applyNumberFormat="1" applyFont="1" applyFill="1" applyAlignment="1">
      <alignment horizontal="right" vertical="center"/>
    </xf>
    <xf numFmtId="169" fontId="37" fillId="7" borderId="25" xfId="2" applyNumberFormat="1" applyFont="1" applyFill="1" applyBorder="1" applyAlignment="1">
      <alignment horizontal="left" vertical="center" wrapText="1"/>
    </xf>
    <xf numFmtId="10" fontId="26" fillId="7" borderId="25" xfId="2" applyNumberFormat="1" applyFont="1" applyFill="1" applyBorder="1" applyAlignment="1">
      <alignment horizontal="right" vertical="center" wrapText="1"/>
    </xf>
    <xf numFmtId="4" fontId="26" fillId="7" borderId="25" xfId="0" applyNumberFormat="1" applyFont="1" applyFill="1" applyBorder="1" applyAlignment="1">
      <alignment horizontal="right" vertical="center" wrapText="1"/>
    </xf>
    <xf numFmtId="169" fontId="37" fillId="7" borderId="30" xfId="2" applyNumberFormat="1" applyFont="1" applyFill="1" applyBorder="1" applyAlignment="1">
      <alignment horizontal="left" vertical="center" wrapText="1"/>
    </xf>
    <xf numFmtId="10" fontId="26" fillId="7" borderId="30" xfId="2" applyNumberFormat="1" applyFont="1" applyFill="1" applyBorder="1" applyAlignment="1">
      <alignment horizontal="right" vertical="center" wrapText="1"/>
    </xf>
    <xf numFmtId="4" fontId="26" fillId="7" borderId="30" xfId="0" applyNumberFormat="1" applyFont="1" applyFill="1" applyBorder="1" applyAlignment="1">
      <alignment horizontal="right" vertical="center" wrapText="1"/>
    </xf>
    <xf numFmtId="14" fontId="37" fillId="7" borderId="30" xfId="0" applyNumberFormat="1" applyFont="1" applyFill="1" applyBorder="1" applyAlignment="1">
      <alignment horizontal="left" vertical="center"/>
    </xf>
    <xf numFmtId="4" fontId="11" fillId="7" borderId="30" xfId="0" applyNumberFormat="1" applyFont="1" applyFill="1" applyBorder="1" applyAlignment="1">
      <alignment horizontal="left" vertical="center" wrapText="1" readingOrder="1"/>
    </xf>
    <xf numFmtId="0" fontId="18" fillId="0" borderId="30" xfId="0" applyFont="1" applyBorder="1" applyAlignment="1">
      <alignment horizontal="left"/>
    </xf>
    <xf numFmtId="4" fontId="37" fillId="7" borderId="30" xfId="0" applyNumberFormat="1" applyFont="1" applyFill="1" applyBorder="1" applyAlignment="1">
      <alignment vertical="center"/>
    </xf>
    <xf numFmtId="14" fontId="26" fillId="7" borderId="30" xfId="0" applyNumberFormat="1" applyFont="1" applyFill="1" applyBorder="1" applyAlignment="1">
      <alignment horizontal="left" vertical="center"/>
    </xf>
    <xf numFmtId="2" fontId="11" fillId="7" borderId="0" xfId="2" applyNumberFormat="1" applyFont="1" applyFill="1" applyAlignment="1">
      <alignment horizontal="right" vertical="center" wrapText="1" readingOrder="1"/>
    </xf>
    <xf numFmtId="0" fontId="38" fillId="0" borderId="0" xfId="0" applyFont="1"/>
    <xf numFmtId="176" fontId="0" fillId="0" borderId="0" xfId="0" applyNumberFormat="1"/>
    <xf numFmtId="168" fontId="0" fillId="0" borderId="0" xfId="0" applyNumberFormat="1"/>
    <xf numFmtId="177" fontId="0" fillId="0" borderId="0" xfId="0" applyNumberFormat="1"/>
    <xf numFmtId="0" fontId="38" fillId="8" borderId="16" xfId="0" applyFont="1" applyFill="1" applyBorder="1"/>
    <xf numFmtId="0" fontId="0" fillId="8" borderId="4" xfId="0" applyFill="1" applyBorder="1"/>
    <xf numFmtId="0" fontId="0" fillId="8" borderId="32" xfId="0" applyFill="1" applyBorder="1"/>
    <xf numFmtId="0" fontId="38" fillId="0" borderId="25" xfId="0" applyFont="1" applyBorder="1"/>
    <xf numFmtId="0" fontId="0" fillId="0" borderId="25" xfId="0" applyBorder="1"/>
    <xf numFmtId="172" fontId="18" fillId="8" borderId="5" xfId="0" applyNumberFormat="1" applyFont="1" applyFill="1" applyBorder="1" applyAlignment="1">
      <alignment horizontal="center"/>
    </xf>
    <xf numFmtId="173" fontId="18" fillId="8" borderId="5" xfId="0" applyNumberFormat="1" applyFont="1" applyFill="1" applyBorder="1" applyAlignment="1">
      <alignment horizontal="center"/>
    </xf>
    <xf numFmtId="176" fontId="38" fillId="0" borderId="25" xfId="0" applyNumberFormat="1" applyFont="1" applyBorder="1"/>
    <xf numFmtId="0" fontId="0" fillId="0" borderId="0" xfId="0" applyAlignment="1">
      <alignment horizontal="right"/>
    </xf>
    <xf numFmtId="0" fontId="22" fillId="8" borderId="25" xfId="0" applyFont="1" applyFill="1" applyBorder="1"/>
    <xf numFmtId="0" fontId="22" fillId="8" borderId="27" xfId="0" applyFont="1" applyFill="1" applyBorder="1"/>
    <xf numFmtId="0" fontId="22" fillId="8" borderId="30" xfId="0" applyFont="1" applyFill="1" applyBorder="1"/>
    <xf numFmtId="0" fontId="22" fillId="8" borderId="31" xfId="0" applyFont="1" applyFill="1" applyBorder="1"/>
    <xf numFmtId="0" fontId="0" fillId="0" borderId="0" xfId="0" applyAlignment="1">
      <alignment horizontal="left" indent="1"/>
    </xf>
    <xf numFmtId="172" fontId="18" fillId="8" borderId="16" xfId="0" applyNumberFormat="1" applyFont="1" applyFill="1" applyBorder="1" applyAlignment="1">
      <alignment horizontal="center"/>
    </xf>
    <xf numFmtId="173" fontId="18" fillId="8" borderId="32" xfId="0" applyNumberFormat="1" applyFont="1" applyFill="1" applyBorder="1" applyAlignment="1">
      <alignment horizontal="center"/>
    </xf>
    <xf numFmtId="0" fontId="0" fillId="0" borderId="24" xfId="0" applyBorder="1"/>
    <xf numFmtId="0" fontId="0" fillId="0" borderId="28" xfId="0" applyBorder="1"/>
    <xf numFmtId="0" fontId="0" fillId="0" borderId="30" xfId="0" applyBorder="1"/>
    <xf numFmtId="178" fontId="0" fillId="0" borderId="0" xfId="0" applyNumberFormat="1"/>
    <xf numFmtId="3" fontId="0" fillId="0" borderId="0" xfId="0" applyNumberFormat="1"/>
    <xf numFmtId="0" fontId="39" fillId="0" borderId="0" xfId="0" applyFont="1"/>
    <xf numFmtId="168" fontId="0" fillId="0" borderId="28" xfId="0" applyNumberFormat="1" applyBorder="1"/>
    <xf numFmtId="0" fontId="38" fillId="0" borderId="30" xfId="0" applyFont="1" applyBorder="1"/>
    <xf numFmtId="176" fontId="0" fillId="0" borderId="24" xfId="0" applyNumberFormat="1" applyBorder="1"/>
    <xf numFmtId="175" fontId="38" fillId="0" borderId="0" xfId="0" applyNumberFormat="1" applyFont="1"/>
    <xf numFmtId="168" fontId="0" fillId="0" borderId="24" xfId="0" applyNumberFormat="1" applyBorder="1"/>
    <xf numFmtId="0" fontId="11" fillId="0" borderId="25" xfId="8" applyFont="1" applyBorder="1" applyAlignment="1">
      <alignment horizontal="left" indent="2"/>
    </xf>
    <xf numFmtId="0" fontId="0" fillId="0" borderId="27" xfId="0" applyBorder="1"/>
    <xf numFmtId="0" fontId="11" fillId="0" borderId="30" xfId="8" applyFont="1" applyBorder="1" applyAlignment="1">
      <alignment horizontal="left" indent="2"/>
    </xf>
    <xf numFmtId="0" fontId="11" fillId="0" borderId="25" xfId="8" applyFont="1" applyBorder="1"/>
    <xf numFmtId="0" fontId="11" fillId="0" borderId="30" xfId="8" applyFont="1" applyBorder="1"/>
    <xf numFmtId="0" fontId="11" fillId="0" borderId="4" xfId="8" applyFont="1" applyBorder="1"/>
    <xf numFmtId="0" fontId="0" fillId="0" borderId="4" xfId="0" applyBorder="1"/>
    <xf numFmtId="0" fontId="38" fillId="0" borderId="16" xfId="0" applyFont="1" applyBorder="1"/>
    <xf numFmtId="10" fontId="41" fillId="0" borderId="0" xfId="0" applyNumberFormat="1" applyFont="1"/>
    <xf numFmtId="0" fontId="0" fillId="8" borderId="0" xfId="0" applyFill="1"/>
    <xf numFmtId="0" fontId="0" fillId="8" borderId="28" xfId="0" applyFill="1" applyBorder="1"/>
    <xf numFmtId="0" fontId="0" fillId="8" borderId="25" xfId="0" applyFill="1" applyBorder="1"/>
    <xf numFmtId="0" fontId="0" fillId="8" borderId="27" xfId="0" applyFill="1" applyBorder="1"/>
    <xf numFmtId="0" fontId="0" fillId="8" borderId="30" xfId="0" applyFill="1" applyBorder="1"/>
    <xf numFmtId="0" fontId="0" fillId="8" borderId="31" xfId="0" applyFill="1" applyBorder="1"/>
    <xf numFmtId="0" fontId="11" fillId="0" borderId="25" xfId="0" applyFont="1" applyBorder="1" applyAlignment="1">
      <alignment horizontal="left" indent="1"/>
    </xf>
    <xf numFmtId="0" fontId="11" fillId="0" borderId="30" xfId="0" applyFont="1" applyBorder="1" applyAlignment="1">
      <alignment horizontal="left" indent="1"/>
    </xf>
    <xf numFmtId="0" fontId="11" fillId="0" borderId="4" xfId="8" applyFont="1" applyBorder="1" applyAlignment="1">
      <alignment horizontal="left" indent="2"/>
    </xf>
    <xf numFmtId="0" fontId="18" fillId="0" borderId="30" xfId="8" applyFont="1" applyBorder="1" applyAlignment="1">
      <alignment horizontal="left" indent="3"/>
    </xf>
    <xf numFmtId="0" fontId="0" fillId="0" borderId="25" xfId="0" applyBorder="1" applyAlignment="1">
      <alignment horizontal="left" indent="3"/>
    </xf>
    <xf numFmtId="0" fontId="0" fillId="0" borderId="0" xfId="0" applyAlignment="1">
      <alignment horizontal="left" indent="3"/>
    </xf>
    <xf numFmtId="0" fontId="11" fillId="0" borderId="30" xfId="8" applyFont="1" applyBorder="1" applyAlignment="1">
      <alignment horizontal="left" indent="3"/>
    </xf>
    <xf numFmtId="0" fontId="18" fillId="0" borderId="4" xfId="8" applyFont="1" applyBorder="1" applyAlignment="1">
      <alignment horizontal="left" indent="2"/>
    </xf>
    <xf numFmtId="177" fontId="0" fillId="0" borderId="28" xfId="0" applyNumberFormat="1" applyBorder="1"/>
    <xf numFmtId="176" fontId="0" fillId="0" borderId="28" xfId="0" applyNumberFormat="1" applyBorder="1"/>
    <xf numFmtId="0" fontId="0" fillId="0" borderId="32" xfId="0" applyBorder="1"/>
    <xf numFmtId="177" fontId="0" fillId="0" borderId="24" xfId="0" applyNumberFormat="1" applyBorder="1"/>
    <xf numFmtId="178" fontId="0" fillId="0" borderId="24" xfId="0" applyNumberFormat="1" applyBorder="1"/>
    <xf numFmtId="10" fontId="38" fillId="0" borderId="16" xfId="0" applyNumberFormat="1" applyFont="1" applyBorder="1"/>
    <xf numFmtId="0" fontId="42" fillId="0" borderId="0" xfId="0" applyFont="1"/>
    <xf numFmtId="182" fontId="38" fillId="9" borderId="4" xfId="9" applyNumberFormat="1" applyFont="1" applyFill="1" applyBorder="1" applyAlignment="1">
      <alignment horizontal="center"/>
    </xf>
    <xf numFmtId="0" fontId="44" fillId="5" borderId="26" xfId="0" applyFont="1" applyFill="1" applyBorder="1"/>
    <xf numFmtId="0" fontId="44" fillId="5" borderId="25" xfId="0" applyFont="1" applyFill="1" applyBorder="1"/>
    <xf numFmtId="0" fontId="42" fillId="5" borderId="25" xfId="0" applyFont="1" applyFill="1" applyBorder="1" applyAlignment="1">
      <alignment horizontal="centerContinuous"/>
    </xf>
    <xf numFmtId="0" fontId="42" fillId="5" borderId="27" xfId="0" applyFont="1" applyFill="1" applyBorder="1" applyAlignment="1">
      <alignment horizontal="centerContinuous"/>
    </xf>
    <xf numFmtId="0" fontId="44" fillId="5" borderId="24" xfId="0" applyFont="1" applyFill="1" applyBorder="1"/>
    <xf numFmtId="180" fontId="44" fillId="9" borderId="26" xfId="0" applyNumberFormat="1" applyFont="1" applyFill="1" applyBorder="1"/>
    <xf numFmtId="181" fontId="42" fillId="9" borderId="24" xfId="9" applyNumberFormat="1" applyFont="1" applyFill="1" applyBorder="1"/>
    <xf numFmtId="169" fontId="42" fillId="9" borderId="28" xfId="9" applyNumberFormat="1" applyFont="1" applyFill="1" applyBorder="1" applyAlignment="1">
      <alignment horizontal="center"/>
    </xf>
    <xf numFmtId="181" fontId="42" fillId="9" borderId="29" xfId="9" applyNumberFormat="1" applyFont="1" applyFill="1" applyBorder="1"/>
    <xf numFmtId="169" fontId="42" fillId="9" borderId="31" xfId="9" applyNumberFormat="1" applyFont="1" applyFill="1" applyBorder="1" applyAlignment="1">
      <alignment horizontal="center"/>
    </xf>
    <xf numFmtId="180" fontId="45" fillId="9" borderId="25" xfId="0" applyNumberFormat="1" applyFont="1" applyFill="1" applyBorder="1"/>
    <xf numFmtId="180" fontId="0" fillId="0" borderId="26" xfId="0" applyNumberFormat="1" applyBorder="1"/>
    <xf numFmtId="180" fontId="0" fillId="0" borderId="25" xfId="0" applyNumberFormat="1" applyBorder="1"/>
    <xf numFmtId="180" fontId="0" fillId="0" borderId="27" xfId="0" applyNumberFormat="1" applyBorder="1"/>
    <xf numFmtId="180" fontId="0" fillId="0" borderId="24" xfId="0" applyNumberFormat="1" applyBorder="1"/>
    <xf numFmtId="180" fontId="0" fillId="0" borderId="28" xfId="0" applyNumberFormat="1" applyBorder="1"/>
    <xf numFmtId="180" fontId="0" fillId="0" borderId="29" xfId="0" applyNumberFormat="1" applyBorder="1"/>
    <xf numFmtId="180" fontId="0" fillId="0" borderId="30" xfId="0" applyNumberFormat="1" applyBorder="1"/>
    <xf numFmtId="180" fontId="0" fillId="0" borderId="31" xfId="0" applyNumberFormat="1" applyBorder="1"/>
    <xf numFmtId="181" fontId="42" fillId="10" borderId="24" xfId="9" applyNumberFormat="1" applyFont="1" applyFill="1" applyBorder="1"/>
    <xf numFmtId="169" fontId="42" fillId="10" borderId="28" xfId="9" applyNumberFormat="1" applyFont="1" applyFill="1" applyBorder="1" applyAlignment="1">
      <alignment horizontal="center"/>
    </xf>
    <xf numFmtId="180" fontId="0" fillId="10" borderId="28" xfId="0" applyNumberFormat="1" applyFill="1" applyBorder="1"/>
    <xf numFmtId="182" fontId="38" fillId="10" borderId="4" xfId="9" applyNumberFormat="1" applyFont="1" applyFill="1" applyBorder="1" applyAlignment="1">
      <alignment horizontal="center"/>
    </xf>
    <xf numFmtId="180" fontId="0" fillId="10" borderId="30" xfId="0" applyNumberFormat="1" applyFill="1" applyBorder="1"/>
    <xf numFmtId="180" fontId="0" fillId="10" borderId="24" xfId="0" applyNumberFormat="1" applyFill="1" applyBorder="1"/>
    <xf numFmtId="180" fontId="0" fillId="10" borderId="25" xfId="0" applyNumberFormat="1" applyFill="1" applyBorder="1"/>
    <xf numFmtId="180" fontId="0" fillId="10" borderId="0" xfId="0" applyNumberFormat="1" applyFill="1"/>
    <xf numFmtId="180" fontId="38" fillId="10" borderId="0" xfId="0" applyNumberFormat="1" applyFont="1" applyFill="1"/>
    <xf numFmtId="182" fontId="38" fillId="9" borderId="32" xfId="9" applyNumberFormat="1" applyFont="1" applyFill="1" applyBorder="1" applyAlignment="1">
      <alignment horizontal="center"/>
    </xf>
    <xf numFmtId="180" fontId="0" fillId="0" borderId="0" xfId="0" applyNumberFormat="1"/>
    <xf numFmtId="168" fontId="38" fillId="2" borderId="3" xfId="1" applyNumberFormat="1" applyFont="1"/>
    <xf numFmtId="175" fontId="46" fillId="0" borderId="0" xfId="0" applyNumberFormat="1" applyFont="1"/>
    <xf numFmtId="9" fontId="41" fillId="0" borderId="0" xfId="0" applyNumberFormat="1" applyFont="1"/>
    <xf numFmtId="177" fontId="41" fillId="0" borderId="0" xfId="0" applyNumberFormat="1" applyFont="1"/>
    <xf numFmtId="3" fontId="41" fillId="0" borderId="0" xfId="0" applyNumberFormat="1" applyFont="1"/>
    <xf numFmtId="176" fontId="41" fillId="0" borderId="0" xfId="0" applyNumberFormat="1" applyFont="1"/>
    <xf numFmtId="0" fontId="41" fillId="0" borderId="0" xfId="0" applyFont="1"/>
    <xf numFmtId="178" fontId="41" fillId="0" borderId="0" xfId="0" applyNumberFormat="1" applyFont="1"/>
    <xf numFmtId="0" fontId="0" fillId="0" borderId="0" xfId="0" applyAlignment="1">
      <alignment horizontal="center"/>
    </xf>
    <xf numFmtId="0" fontId="0" fillId="0" borderId="24" xfId="0" applyBorder="1" applyAlignment="1">
      <alignment horizontal="center"/>
    </xf>
    <xf numFmtId="0" fontId="0" fillId="0" borderId="28" xfId="0" applyBorder="1" applyAlignment="1">
      <alignment horizontal="center"/>
    </xf>
    <xf numFmtId="168" fontId="11" fillId="0" borderId="0" xfId="8" applyNumberFormat="1" applyFont="1" applyAlignment="1">
      <alignment horizontal="center"/>
    </xf>
    <xf numFmtId="168" fontId="0" fillId="0" borderId="24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28" xfId="0" applyNumberFormat="1" applyBorder="1" applyAlignment="1">
      <alignment horizontal="center"/>
    </xf>
    <xf numFmtId="168" fontId="11" fillId="0" borderId="25" xfId="8" applyNumberFormat="1" applyFont="1" applyBorder="1" applyAlignment="1">
      <alignment horizontal="center"/>
    </xf>
    <xf numFmtId="168" fontId="0" fillId="0" borderId="26" xfId="0" applyNumberFormat="1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27" xfId="0" applyNumberFormat="1" applyBorder="1" applyAlignment="1">
      <alignment horizontal="center"/>
    </xf>
    <xf numFmtId="168" fontId="11" fillId="0" borderId="30" xfId="8" applyNumberFormat="1" applyFont="1" applyBorder="1" applyAlignment="1">
      <alignment horizontal="center"/>
    </xf>
    <xf numFmtId="168" fontId="0" fillId="0" borderId="29" xfId="0" applyNumberFormat="1" applyBorder="1" applyAlignment="1">
      <alignment horizontal="center"/>
    </xf>
    <xf numFmtId="168" fontId="0" fillId="0" borderId="30" xfId="0" applyNumberFormat="1" applyBorder="1" applyAlignment="1">
      <alignment horizontal="center"/>
    </xf>
    <xf numFmtId="168" fontId="0" fillId="0" borderId="31" xfId="0" applyNumberFormat="1" applyBorder="1" applyAlignment="1">
      <alignment horizontal="center"/>
    </xf>
    <xf numFmtId="168" fontId="18" fillId="0" borderId="0" xfId="8" applyNumberFormat="1" applyFont="1" applyAlignment="1">
      <alignment horizontal="center"/>
    </xf>
    <xf numFmtId="168" fontId="38" fillId="0" borderId="24" xfId="0" applyNumberFormat="1" applyFont="1" applyBorder="1" applyAlignment="1">
      <alignment horizontal="center"/>
    </xf>
    <xf numFmtId="168" fontId="38" fillId="0" borderId="0" xfId="0" applyNumberFormat="1" applyFont="1" applyAlignment="1">
      <alignment horizontal="center"/>
    </xf>
    <xf numFmtId="168" fontId="38" fillId="0" borderId="28" xfId="0" applyNumberFormat="1" applyFont="1" applyBorder="1" applyAlignment="1">
      <alignment horizontal="center"/>
    </xf>
    <xf numFmtId="168" fontId="11" fillId="0" borderId="4" xfId="8" applyNumberFormat="1" applyFont="1" applyBorder="1" applyAlignment="1">
      <alignment horizontal="center"/>
    </xf>
    <xf numFmtId="168" fontId="0" fillId="0" borderId="16" xfId="0" applyNumberFormat="1" applyBorder="1" applyAlignment="1">
      <alignment horizontal="center"/>
    </xf>
    <xf numFmtId="168" fontId="0" fillId="0" borderId="32" xfId="0" applyNumberFormat="1" applyBorder="1" applyAlignment="1">
      <alignment horizontal="center"/>
    </xf>
    <xf numFmtId="168" fontId="18" fillId="0" borderId="30" xfId="8" applyNumberFormat="1" applyFont="1" applyBorder="1" applyAlignment="1">
      <alignment horizontal="center"/>
    </xf>
    <xf numFmtId="168" fontId="38" fillId="0" borderId="29" xfId="0" applyNumberFormat="1" applyFont="1" applyBorder="1" applyAlignment="1">
      <alignment horizontal="center"/>
    </xf>
    <xf numFmtId="168" fontId="38" fillId="0" borderId="30" xfId="0" applyNumberFormat="1" applyFont="1" applyBorder="1" applyAlignment="1">
      <alignment horizontal="center"/>
    </xf>
    <xf numFmtId="168" fontId="38" fillId="0" borderId="31" xfId="0" applyNumberFormat="1" applyFont="1" applyBorder="1" applyAlignment="1">
      <alignment horizontal="center"/>
    </xf>
    <xf numFmtId="168" fontId="18" fillId="0" borderId="4" xfId="8" applyNumberFormat="1" applyFont="1" applyBorder="1" applyAlignment="1">
      <alignment horizontal="center"/>
    </xf>
    <xf numFmtId="168" fontId="38" fillId="0" borderId="16" xfId="0" applyNumberFormat="1" applyFont="1" applyBorder="1" applyAlignment="1">
      <alignment horizontal="center"/>
    </xf>
    <xf numFmtId="168" fontId="38" fillId="0" borderId="32" xfId="0" applyNumberFormat="1" applyFont="1" applyBorder="1" applyAlignment="1">
      <alignment horizontal="center"/>
    </xf>
    <xf numFmtId="168" fontId="0" fillId="0" borderId="4" xfId="0" applyNumberFormat="1" applyBorder="1" applyAlignment="1">
      <alignment horizontal="center"/>
    </xf>
    <xf numFmtId="0" fontId="6" fillId="0" borderId="0" xfId="3" applyAlignment="1">
      <alignment horizontal="center"/>
    </xf>
    <xf numFmtId="168" fontId="6" fillId="0" borderId="0" xfId="3" applyNumberFormat="1" applyAlignment="1">
      <alignment horizontal="center"/>
    </xf>
    <xf numFmtId="179" fontId="6" fillId="0" borderId="0" xfId="3" applyNumberFormat="1" applyAlignment="1">
      <alignment horizontal="center"/>
    </xf>
    <xf numFmtId="0" fontId="0" fillId="0" borderId="26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38" fillId="0" borderId="29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168" fontId="38" fillId="0" borderId="26" xfId="0" applyNumberFormat="1" applyFont="1" applyBorder="1" applyAlignment="1">
      <alignment horizontal="center"/>
    </xf>
    <xf numFmtId="168" fontId="38" fillId="0" borderId="25" xfId="0" applyNumberFormat="1" applyFont="1" applyBorder="1" applyAlignment="1">
      <alignment horizontal="center"/>
    </xf>
    <xf numFmtId="168" fontId="38" fillId="0" borderId="4" xfId="0" applyNumberFormat="1" applyFont="1" applyBorder="1" applyAlignment="1">
      <alignment horizontal="center"/>
    </xf>
    <xf numFmtId="0" fontId="0" fillId="8" borderId="24" xfId="0" applyFill="1" applyBorder="1"/>
    <xf numFmtId="0" fontId="0" fillId="8" borderId="26" xfId="0" applyFill="1" applyBorder="1"/>
    <xf numFmtId="0" fontId="0" fillId="8" borderId="29" xfId="0" applyFill="1" applyBorder="1"/>
    <xf numFmtId="10" fontId="40" fillId="0" borderId="0" xfId="0" applyNumberFormat="1" applyFont="1" applyAlignment="1">
      <alignment horizontal="center"/>
    </xf>
    <xf numFmtId="10" fontId="41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/>
    </xf>
    <xf numFmtId="0" fontId="38" fillId="0" borderId="0" xfId="0" applyFont="1" applyAlignment="1">
      <alignment horizontal="center"/>
    </xf>
    <xf numFmtId="0" fontId="18" fillId="0" borderId="30" xfId="0" applyFont="1" applyBorder="1"/>
    <xf numFmtId="2" fontId="11" fillId="0" borderId="25" xfId="0" applyNumberFormat="1" applyFont="1" applyBorder="1"/>
    <xf numFmtId="10" fontId="11" fillId="7" borderId="0" xfId="0" applyNumberFormat="1" applyFont="1" applyFill="1" applyAlignment="1">
      <alignment horizontal="left" vertical="center" wrapText="1" readingOrder="1"/>
    </xf>
    <xf numFmtId="10" fontId="11" fillId="7" borderId="30" xfId="0" applyNumberFormat="1" applyFont="1" applyFill="1" applyBorder="1" applyAlignment="1">
      <alignment horizontal="left" vertical="center" wrapText="1" readingOrder="1"/>
    </xf>
    <xf numFmtId="10" fontId="11" fillId="7" borderId="0" xfId="2" applyNumberFormat="1" applyFont="1" applyFill="1" applyAlignment="1">
      <alignment horizontal="right" vertical="center" readingOrder="1"/>
    </xf>
    <xf numFmtId="166" fontId="13" fillId="4" borderId="0" xfId="0" applyNumberFormat="1" applyFont="1" applyFill="1"/>
    <xf numFmtId="168" fontId="11" fillId="0" borderId="30" xfId="0" applyNumberFormat="1" applyFont="1" applyBorder="1"/>
    <xf numFmtId="175" fontId="18" fillId="0" borderId="4" xfId="0" applyNumberFormat="1" applyFont="1" applyBorder="1"/>
    <xf numFmtId="175" fontId="11" fillId="2" borderId="3" xfId="1" applyNumberFormat="1" applyFont="1"/>
    <xf numFmtId="183" fontId="11" fillId="0" borderId="0" xfId="10" applyNumberFormat="1" applyFont="1"/>
    <xf numFmtId="0" fontId="13" fillId="3" borderId="1" xfId="0" applyFont="1" applyFill="1" applyBorder="1" applyAlignment="1">
      <alignment horizontal="center"/>
    </xf>
    <xf numFmtId="0" fontId="13" fillId="3" borderId="6" xfId="0" applyFont="1" applyFill="1" applyBorder="1" applyAlignment="1">
      <alignment horizontal="center"/>
    </xf>
    <xf numFmtId="0" fontId="13" fillId="3" borderId="9" xfId="0" applyFont="1" applyFill="1" applyBorder="1" applyAlignment="1">
      <alignment horizontal="center"/>
    </xf>
    <xf numFmtId="0" fontId="13" fillId="3" borderId="10" xfId="0" applyFont="1" applyFill="1" applyBorder="1" applyAlignment="1">
      <alignment horizontal="center"/>
    </xf>
    <xf numFmtId="0" fontId="23" fillId="3" borderId="9" xfId="0" applyFont="1" applyFill="1" applyBorder="1" applyAlignment="1">
      <alignment horizontal="center"/>
    </xf>
    <xf numFmtId="0" fontId="23" fillId="3" borderId="11" xfId="0" applyFont="1" applyFill="1" applyBorder="1" applyAlignment="1">
      <alignment horizontal="center"/>
    </xf>
    <xf numFmtId="0" fontId="23" fillId="3" borderId="2" xfId="0" applyFont="1" applyFill="1" applyBorder="1" applyAlignment="1">
      <alignment horizontal="center" vertical="center"/>
    </xf>
    <xf numFmtId="0" fontId="23" fillId="3" borderId="12" xfId="0" applyFont="1" applyFill="1" applyBorder="1" applyAlignment="1">
      <alignment horizontal="center" vertical="center"/>
    </xf>
    <xf numFmtId="0" fontId="23" fillId="3" borderId="13" xfId="0" applyFont="1" applyFill="1" applyBorder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11" fillId="0" borderId="0" xfId="8" applyFont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15" fillId="0" borderId="5" xfId="0" applyFont="1" applyBorder="1"/>
    <xf numFmtId="0" fontId="15" fillId="0" borderId="16" xfId="0" applyFont="1" applyBorder="1"/>
    <xf numFmtId="0" fontId="20" fillId="0" borderId="5" xfId="0" applyFont="1" applyBorder="1"/>
    <xf numFmtId="0" fontId="17" fillId="0" borderId="17" xfId="3" applyFont="1" applyBorder="1"/>
    <xf numFmtId="167" fontId="19" fillId="6" borderId="19" xfId="4" applyFont="1" applyBorder="1"/>
    <xf numFmtId="0" fontId="15" fillId="2" borderId="18" xfId="1" applyFont="1" applyBorder="1"/>
    <xf numFmtId="0" fontId="11" fillId="2" borderId="3" xfId="1" applyFont="1" applyAlignment="1">
      <alignment horizontal="left"/>
    </xf>
    <xf numFmtId="14" fontId="11" fillId="2" borderId="3" xfId="1" applyNumberFormat="1" applyFont="1" applyAlignment="1">
      <alignment horizontal="left"/>
    </xf>
    <xf numFmtId="0" fontId="16" fillId="0" borderId="0" xfId="0" applyFont="1" applyAlignment="1">
      <alignment horizontal="center"/>
    </xf>
    <xf numFmtId="0" fontId="19" fillId="0" borderId="5" xfId="0" applyFont="1" applyBorder="1"/>
    <xf numFmtId="165" fontId="13" fillId="3" borderId="9" xfId="0" applyNumberFormat="1" applyFont="1" applyFill="1" applyBorder="1" applyAlignment="1">
      <alignment horizontal="center"/>
    </xf>
    <xf numFmtId="165" fontId="13" fillId="3" borderId="10" xfId="0" applyNumberFormat="1" applyFont="1" applyFill="1" applyBorder="1" applyAlignment="1">
      <alignment horizontal="center"/>
    </xf>
    <xf numFmtId="165" fontId="13" fillId="3" borderId="11" xfId="0" applyNumberFormat="1" applyFont="1" applyFill="1" applyBorder="1" applyAlignment="1">
      <alignment horizontal="center"/>
    </xf>
    <xf numFmtId="0" fontId="11" fillId="2" borderId="21" xfId="1" applyFont="1" applyBorder="1"/>
    <xf numFmtId="0" fontId="11" fillId="2" borderId="22" xfId="1" applyFont="1" applyBorder="1"/>
    <xf numFmtId="0" fontId="11" fillId="2" borderId="23" xfId="1" applyFont="1" applyBorder="1"/>
    <xf numFmtId="173" fontId="18" fillId="8" borderId="5" xfId="0" applyNumberFormat="1" applyFont="1" applyFill="1" applyBorder="1" applyAlignment="1">
      <alignment horizontal="center"/>
    </xf>
    <xf numFmtId="0" fontId="42" fillId="5" borderId="24" xfId="0" applyFont="1" applyFill="1" applyBorder="1" applyAlignment="1">
      <alignment horizontal="center" vertical="center" textRotation="90" wrapText="1"/>
    </xf>
    <xf numFmtId="0" fontId="42" fillId="5" borderId="29" xfId="0" applyFont="1" applyFill="1" applyBorder="1" applyAlignment="1">
      <alignment horizontal="center" vertical="center" textRotation="90" wrapText="1"/>
    </xf>
    <xf numFmtId="0" fontId="18" fillId="8" borderId="26" xfId="0" applyFont="1" applyFill="1" applyBorder="1" applyAlignment="1">
      <alignment horizontal="center" vertical="center"/>
    </xf>
    <xf numFmtId="0" fontId="18" fillId="8" borderId="25" xfId="0" applyFont="1" applyFill="1" applyBorder="1" applyAlignment="1">
      <alignment horizontal="center" vertical="center"/>
    </xf>
    <xf numFmtId="0" fontId="18" fillId="8" borderId="29" xfId="0" applyFont="1" applyFill="1" applyBorder="1" applyAlignment="1">
      <alignment horizontal="center" vertical="center"/>
    </xf>
    <xf numFmtId="0" fontId="18" fillId="8" borderId="30" xfId="0" applyFont="1" applyFill="1" applyBorder="1" applyAlignment="1">
      <alignment horizontal="center" vertical="center"/>
    </xf>
    <xf numFmtId="172" fontId="18" fillId="8" borderId="5" xfId="0" applyNumberFormat="1" applyFont="1" applyFill="1" applyBorder="1" applyAlignment="1">
      <alignment horizontal="center"/>
    </xf>
    <xf numFmtId="172" fontId="18" fillId="8" borderId="16" xfId="0" applyNumberFormat="1" applyFont="1" applyFill="1" applyBorder="1" applyAlignment="1">
      <alignment horizontal="center"/>
    </xf>
    <xf numFmtId="173" fontId="18" fillId="8" borderId="32" xfId="0" applyNumberFormat="1" applyFont="1" applyFill="1" applyBorder="1" applyAlignment="1">
      <alignment horizontal="center"/>
    </xf>
    <xf numFmtId="14" fontId="37" fillId="11" borderId="25" xfId="0" applyNumberFormat="1" applyFont="1" applyFill="1" applyBorder="1" applyAlignment="1">
      <alignment horizontal="left" vertical="center"/>
    </xf>
    <xf numFmtId="10" fontId="18" fillId="11" borderId="25" xfId="2" applyNumberFormat="1" applyFont="1" applyFill="1" applyBorder="1" applyAlignment="1">
      <alignment horizontal="right" vertical="center" wrapText="1" readingOrder="1"/>
    </xf>
    <xf numFmtId="4" fontId="37" fillId="11" borderId="25" xfId="0" applyNumberFormat="1" applyFont="1" applyFill="1" applyBorder="1" applyAlignment="1">
      <alignment vertical="center"/>
    </xf>
    <xf numFmtId="0" fontId="18" fillId="11" borderId="25" xfId="0" applyFont="1" applyFill="1" applyBorder="1"/>
    <xf numFmtId="0" fontId="11" fillId="11" borderId="25" xfId="0" applyFont="1" applyFill="1" applyBorder="1"/>
    <xf numFmtId="2" fontId="18" fillId="11" borderId="25" xfId="0" applyNumberFormat="1" applyFont="1" applyFill="1" applyBorder="1"/>
    <xf numFmtId="14" fontId="26" fillId="11" borderId="25" xfId="0" applyNumberFormat="1" applyFont="1" applyFill="1" applyBorder="1" applyAlignment="1">
      <alignment horizontal="left" vertical="center"/>
    </xf>
    <xf numFmtId="0" fontId="18" fillId="12" borderId="16" xfId="0" applyFont="1" applyFill="1" applyBorder="1" applyAlignment="1">
      <alignment horizontal="center"/>
    </xf>
    <xf numFmtId="0" fontId="18" fillId="12" borderId="4" xfId="0" applyFont="1" applyFill="1" applyBorder="1" applyAlignment="1">
      <alignment horizontal="center"/>
    </xf>
    <xf numFmtId="4" fontId="37" fillId="12" borderId="4" xfId="0" applyNumberFormat="1" applyFont="1" applyFill="1" applyBorder="1" applyAlignment="1">
      <alignment horizontal="center" wrapText="1"/>
    </xf>
    <xf numFmtId="14" fontId="37" fillId="12" borderId="4" xfId="0" applyNumberFormat="1" applyFont="1" applyFill="1" applyBorder="1" applyAlignment="1">
      <alignment horizontal="center"/>
    </xf>
    <xf numFmtId="4" fontId="18" fillId="12" borderId="32" xfId="0" applyNumberFormat="1" applyFont="1" applyFill="1" applyBorder="1" applyAlignment="1">
      <alignment horizontal="center" wrapText="1" readingOrder="1"/>
    </xf>
    <xf numFmtId="0" fontId="11" fillId="0" borderId="0" xfId="0" applyFont="1" applyBorder="1"/>
    <xf numFmtId="0" fontId="15" fillId="0" borderId="0" xfId="0" applyFont="1" applyBorder="1"/>
    <xf numFmtId="0" fontId="1" fillId="0" borderId="24" xfId="5" applyFont="1" applyBorder="1" applyAlignment="1">
      <alignment horizontal="left" indent="1"/>
    </xf>
    <xf numFmtId="0" fontId="18" fillId="0" borderId="30" xfId="0" applyFont="1" applyBorder="1" applyAlignment="1">
      <alignment horizontal="center"/>
    </xf>
    <xf numFmtId="0" fontId="14" fillId="0" borderId="24" xfId="6" applyFont="1" applyBorder="1" applyAlignment="1">
      <alignment horizontal="left" indent="1"/>
    </xf>
    <xf numFmtId="0" fontId="1" fillId="0" borderId="24" xfId="5" applyFont="1" applyBorder="1" applyAlignment="1">
      <alignment horizontal="left" indent="2"/>
    </xf>
    <xf numFmtId="0" fontId="18" fillId="0" borderId="29" xfId="0" applyFont="1" applyBorder="1" applyAlignment="1">
      <alignment horizontal="center"/>
    </xf>
    <xf numFmtId="0" fontId="18" fillId="0" borderId="30" xfId="0" applyFont="1" applyBorder="1" applyAlignment="1">
      <alignment horizontal="center"/>
    </xf>
    <xf numFmtId="0" fontId="14" fillId="5" borderId="29" xfId="0" applyFont="1" applyFill="1" applyBorder="1" applyAlignment="1">
      <alignment horizontal="center"/>
    </xf>
    <xf numFmtId="0" fontId="14" fillId="5" borderId="30" xfId="0" applyFont="1" applyFill="1" applyBorder="1" applyAlignment="1">
      <alignment horizontal="center"/>
    </xf>
    <xf numFmtId="0" fontId="11" fillId="0" borderId="25" xfId="0" applyFont="1" applyBorder="1" applyAlignment="1">
      <alignment horizontal="center"/>
    </xf>
    <xf numFmtId="0" fontId="15" fillId="5" borderId="26" xfId="0" applyFont="1" applyFill="1" applyBorder="1"/>
    <xf numFmtId="0" fontId="15" fillId="5" borderId="25" xfId="0" applyFont="1" applyFill="1" applyBorder="1"/>
  </cellXfs>
  <cellStyles count="11">
    <cellStyle name="Assumption" xfId="4" xr:uid="{13E0F060-244A-4114-804B-D04C2B579D70}"/>
    <cellStyle name="Comma" xfId="10" builtinId="3"/>
    <cellStyle name="Heading 3" xfId="6" builtinId="18"/>
    <cellStyle name="Hyperlink" xfId="5" builtinId="8"/>
    <cellStyle name="Normal" xfId="0" builtinId="0"/>
    <cellStyle name="Normal 2" xfId="9" xr:uid="{C9B24AB3-6715-4671-8850-E280676AA35A}"/>
    <cellStyle name="Normal_1" xfId="8" xr:uid="{84F30508-1BA6-480D-880A-10F79C0DAE3A}"/>
    <cellStyle name="Note" xfId="1" builtinId="10"/>
    <cellStyle name="Percent" xfId="2" builtinId="5"/>
    <cellStyle name="Title ERP" xfId="7" xr:uid="{77A82A11-F05B-46F3-BC2E-2128335B1F29}"/>
    <cellStyle name="Warning Text" xfId="3" builtinId="11"/>
  </cellStyles>
  <dxfs count="0"/>
  <tableStyles count="0" defaultTableStyle="TableStyleMedium2" defaultPivotStyle="PivotStyleLight16"/>
  <colors>
    <mruColors>
      <color rgb="FF0000FF"/>
      <color rgb="FF00B000"/>
      <color rgb="FF001440"/>
      <color rgb="FF00006C"/>
      <color rgb="FF00004D"/>
      <color rgb="FFF4FFAF"/>
      <color rgb="FF6666CC"/>
      <color rgb="FF8DA9DB"/>
      <color rgb="FF008000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826EC-05B6-4765-9112-E5A4EA942541}">
  <dimension ref="B2:V37"/>
  <sheetViews>
    <sheetView showGridLines="0" tabSelected="1" workbookViewId="0">
      <selection activeCell="I39" sqref="I39"/>
    </sheetView>
  </sheetViews>
  <sheetFormatPr defaultRowHeight="13.2" x14ac:dyDescent="0.25"/>
  <cols>
    <col min="1" max="1" width="1.88671875" style="1" customWidth="1"/>
    <col min="2" max="5" width="8.88671875" style="1"/>
    <col min="6" max="6" width="9.77734375" style="1" customWidth="1"/>
    <col min="7" max="7" width="17.77734375" style="1" customWidth="1"/>
    <col min="8" max="8" width="5.44140625" style="1" customWidth="1"/>
    <col min="9" max="10" width="11.33203125" style="1" customWidth="1"/>
    <col min="11" max="11" width="15.33203125" style="1" customWidth="1"/>
    <col min="12" max="12" width="7.88671875" style="1" customWidth="1"/>
    <col min="13" max="13" width="8.44140625" style="1" customWidth="1"/>
    <col min="14" max="14" width="11.33203125" style="1" customWidth="1"/>
    <col min="15" max="15" width="6" style="1" customWidth="1"/>
    <col min="16" max="16" width="9.21875" style="1" bestFit="1" customWidth="1"/>
    <col min="17" max="16384" width="8.88671875" style="1"/>
  </cols>
  <sheetData>
    <row r="2" spans="2:22" ht="15.6" x14ac:dyDescent="0.3">
      <c r="B2" s="6" t="s">
        <v>329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2:22" ht="14.4" x14ac:dyDescent="0.3">
      <c r="B3" s="49" t="s">
        <v>33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2" ht="14.4" x14ac:dyDescent="0.3">
      <c r="B4" s="98" t="s">
        <v>168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2:22" x14ac:dyDescent="0.25">
      <c r="B5" s="3"/>
      <c r="C5" s="4"/>
      <c r="D5" s="4"/>
      <c r="E5" s="4"/>
      <c r="F5" s="4"/>
      <c r="G5" s="346"/>
      <c r="H5" s="346"/>
      <c r="I5" s="346"/>
      <c r="J5" s="346"/>
      <c r="K5" s="346"/>
      <c r="L5" s="346"/>
      <c r="M5" s="346"/>
      <c r="N5" s="346"/>
      <c r="O5" s="346"/>
    </row>
    <row r="7" spans="2:22" s="10" customFormat="1" ht="14.4" x14ac:dyDescent="0.3">
      <c r="B7" s="8" t="s">
        <v>21</v>
      </c>
      <c r="C7" s="8"/>
      <c r="D7" s="8"/>
      <c r="E7" s="8"/>
      <c r="F7" s="8" t="s">
        <v>4</v>
      </c>
      <c r="G7" s="8"/>
      <c r="H7" s="9"/>
      <c r="I7" s="9"/>
      <c r="J7" s="9"/>
      <c r="K7" s="9"/>
      <c r="L7" s="9"/>
      <c r="M7" s="9"/>
      <c r="N7" s="9"/>
      <c r="O7" s="9"/>
    </row>
    <row r="8" spans="2:22" s="10" customFormat="1" ht="13.8" x14ac:dyDescent="0.3"/>
    <row r="9" spans="2:22" s="10" customFormat="1" ht="13.8" x14ac:dyDescent="0.3">
      <c r="B9" s="10" t="s">
        <v>0</v>
      </c>
      <c r="G9" s="353" t="str">
        <f>B2</f>
        <v>Denny's Diner</v>
      </c>
      <c r="H9" s="353"/>
      <c r="M9" s="355" t="s">
        <v>20</v>
      </c>
      <c r="N9" s="355"/>
    </row>
    <row r="10" spans="2:22" s="10" customFormat="1" ht="13.8" x14ac:dyDescent="0.3">
      <c r="B10" s="10" t="s">
        <v>5</v>
      </c>
      <c r="G10" s="353" t="s">
        <v>73</v>
      </c>
      <c r="H10" s="353"/>
      <c r="P10" s="11"/>
      <c r="Q10" s="11"/>
      <c r="R10" s="11"/>
      <c r="S10" s="11"/>
      <c r="T10" s="11"/>
      <c r="U10" s="11"/>
      <c r="V10" s="11"/>
    </row>
    <row r="11" spans="2:22" s="10" customFormat="1" ht="14.4" x14ac:dyDescent="0.3">
      <c r="B11" s="10" t="s">
        <v>6</v>
      </c>
      <c r="F11" s="10" t="s">
        <v>1</v>
      </c>
      <c r="G11" s="354">
        <f>Statements!I7</f>
        <v>45651</v>
      </c>
      <c r="H11" s="354"/>
      <c r="L11" s="356" t="s">
        <v>14</v>
      </c>
      <c r="M11" s="356"/>
      <c r="N11" s="350" t="s">
        <v>19</v>
      </c>
      <c r="O11" s="350"/>
      <c r="P11" s="11"/>
      <c r="Q11" s="11"/>
      <c r="R11" s="11"/>
      <c r="S11" s="11"/>
      <c r="T11" s="11"/>
      <c r="U11" s="11"/>
      <c r="V11" s="11"/>
    </row>
    <row r="12" spans="2:22" s="10" customFormat="1" ht="14.4" x14ac:dyDescent="0.3">
      <c r="L12" s="347" t="s">
        <v>15</v>
      </c>
      <c r="M12" s="348"/>
      <c r="N12" s="351" t="s">
        <v>17</v>
      </c>
      <c r="O12" s="351"/>
      <c r="P12" s="11"/>
      <c r="Q12" s="11"/>
      <c r="R12" s="11"/>
      <c r="S12" s="11"/>
      <c r="T12" s="11"/>
      <c r="U12" s="11"/>
      <c r="V12" s="11"/>
    </row>
    <row r="13" spans="2:22" s="10" customFormat="1" ht="14.4" x14ac:dyDescent="0.3">
      <c r="B13" s="12" t="s">
        <v>7</v>
      </c>
      <c r="C13" s="12"/>
      <c r="D13" s="12"/>
      <c r="E13" s="12"/>
      <c r="F13" s="12"/>
      <c r="G13" s="67" t="s">
        <v>38</v>
      </c>
      <c r="L13" s="349" t="s">
        <v>16</v>
      </c>
      <c r="M13" s="349"/>
      <c r="N13" s="352" t="s">
        <v>18</v>
      </c>
      <c r="O13" s="352"/>
      <c r="P13" s="11"/>
      <c r="Q13" s="11"/>
      <c r="R13" s="11"/>
      <c r="S13" s="11"/>
      <c r="T13" s="11"/>
      <c r="U13" s="11"/>
      <c r="V13" s="11"/>
    </row>
    <row r="14" spans="2:22" s="10" customFormat="1" ht="13.8" x14ac:dyDescent="0.3">
      <c r="L14" s="52" t="s">
        <v>331</v>
      </c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 spans="2:22" s="10" customFormat="1" ht="13.8" x14ac:dyDescent="0.3">
      <c r="B15" s="10" t="s">
        <v>8</v>
      </c>
      <c r="F15" s="10" t="s">
        <v>1</v>
      </c>
      <c r="G15" s="68">
        <f>Statements!I7</f>
        <v>45651</v>
      </c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 spans="2:22" s="10" customFormat="1" ht="13.8" x14ac:dyDescent="0.3">
      <c r="B16" s="10" t="s">
        <v>9</v>
      </c>
      <c r="F16" s="10" t="s">
        <v>1</v>
      </c>
      <c r="G16" s="68">
        <f>Statements!N7</f>
        <v>47477</v>
      </c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spans="2:22" s="10" customFormat="1" ht="13.8" x14ac:dyDescent="0.3">
      <c r="B17" s="10" t="s">
        <v>10</v>
      </c>
      <c r="F17" s="10" t="s">
        <v>11</v>
      </c>
      <c r="G17" s="69">
        <f>YEARFRAC(G15,G16,1)</f>
        <v>4.9981751824817522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2:22" s="10" customFormat="1" ht="13.8" x14ac:dyDescent="0.3">
      <c r="B18" s="10" t="s">
        <v>13</v>
      </c>
      <c r="F18" s="10" t="s">
        <v>12</v>
      </c>
      <c r="G18" s="70">
        <v>365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 spans="2:22" s="10" customFormat="1" ht="13.8" x14ac:dyDescent="0.3">
      <c r="M19" s="11"/>
      <c r="N19" s="11"/>
      <c r="O19" s="11"/>
      <c r="P19" s="11"/>
      <c r="Q19" s="11"/>
      <c r="R19" s="11"/>
      <c r="S19" s="11"/>
      <c r="T19" s="11"/>
      <c r="U19" s="11"/>
      <c r="V19" s="11"/>
    </row>
    <row r="20" spans="2:22" s="10" customFormat="1" ht="13.8" x14ac:dyDescent="0.3"/>
    <row r="21" spans="2:22" s="10" customFormat="1" ht="14.4" x14ac:dyDescent="0.3">
      <c r="C21" s="393" t="s">
        <v>62</v>
      </c>
      <c r="D21" s="394"/>
      <c r="E21" s="394"/>
      <c r="F21" s="394"/>
    </row>
    <row r="22" spans="2:22" s="10" customFormat="1" ht="13.8" x14ac:dyDescent="0.3">
      <c r="B22" s="388" t="s">
        <v>480</v>
      </c>
      <c r="C22" s="391" t="s">
        <v>63</v>
      </c>
      <c r="D22" s="392"/>
      <c r="E22" s="392"/>
      <c r="F22" s="392"/>
    </row>
    <row r="23" spans="2:22" s="10" customFormat="1" ht="3.6" customHeight="1" x14ac:dyDescent="0.3">
      <c r="C23" s="66"/>
      <c r="D23" s="385"/>
      <c r="E23" s="385"/>
      <c r="F23" s="385"/>
    </row>
    <row r="24" spans="2:22" s="10" customFormat="1" ht="14.4" x14ac:dyDescent="0.3">
      <c r="B24" s="11">
        <v>1</v>
      </c>
      <c r="C24" s="387" t="s">
        <v>33</v>
      </c>
      <c r="D24" s="386"/>
      <c r="E24" s="385"/>
      <c r="F24" s="385"/>
    </row>
    <row r="25" spans="2:22" s="10" customFormat="1" ht="14.4" x14ac:dyDescent="0.3">
      <c r="B25" s="11"/>
      <c r="C25" s="389" t="s">
        <v>43</v>
      </c>
      <c r="D25" s="386"/>
      <c r="E25" s="385"/>
      <c r="F25" s="385"/>
    </row>
    <row r="26" spans="2:22" s="10" customFormat="1" ht="14.4" x14ac:dyDescent="0.3">
      <c r="B26" s="11">
        <v>2</v>
      </c>
      <c r="C26" s="390" t="s">
        <v>44</v>
      </c>
      <c r="D26" s="386"/>
      <c r="E26" s="385"/>
      <c r="F26" s="385"/>
    </row>
    <row r="27" spans="2:22" s="10" customFormat="1" ht="14.4" x14ac:dyDescent="0.3">
      <c r="B27" s="11">
        <v>3</v>
      </c>
      <c r="C27" s="390" t="s">
        <v>17</v>
      </c>
      <c r="D27" s="386"/>
      <c r="E27" s="385"/>
      <c r="F27" s="385"/>
    </row>
    <row r="28" spans="2:22" s="10" customFormat="1" ht="14.4" x14ac:dyDescent="0.3">
      <c r="B28" s="11">
        <v>4</v>
      </c>
      <c r="C28" s="390" t="s">
        <v>41</v>
      </c>
      <c r="D28" s="386"/>
      <c r="E28" s="385"/>
      <c r="F28" s="385"/>
    </row>
    <row r="29" spans="2:22" s="10" customFormat="1" ht="14.4" x14ac:dyDescent="0.3">
      <c r="B29" s="11"/>
      <c r="C29" s="389" t="s">
        <v>46</v>
      </c>
      <c r="D29" s="386"/>
      <c r="E29" s="385"/>
      <c r="F29" s="385"/>
    </row>
    <row r="30" spans="2:22" s="10" customFormat="1" ht="14.4" x14ac:dyDescent="0.3">
      <c r="B30" s="11">
        <v>5</v>
      </c>
      <c r="C30" s="390" t="s">
        <v>316</v>
      </c>
      <c r="D30" s="386"/>
      <c r="E30" s="385"/>
      <c r="F30" s="385"/>
    </row>
    <row r="31" spans="2:22" s="10" customFormat="1" ht="14.4" x14ac:dyDescent="0.3">
      <c r="B31" s="11">
        <v>6</v>
      </c>
      <c r="C31" s="390" t="s">
        <v>47</v>
      </c>
      <c r="D31" s="386"/>
      <c r="E31" s="385"/>
      <c r="F31" s="385"/>
    </row>
    <row r="32" spans="2:22" s="10" customFormat="1" ht="14.4" x14ac:dyDescent="0.3">
      <c r="B32" s="11">
        <v>7</v>
      </c>
      <c r="C32" s="390" t="s">
        <v>479</v>
      </c>
      <c r="D32" s="386"/>
      <c r="E32" s="385"/>
      <c r="F32" s="385"/>
    </row>
    <row r="33" spans="2:6" s="10" customFormat="1" ht="14.4" x14ac:dyDescent="0.3">
      <c r="B33" s="11">
        <v>8</v>
      </c>
      <c r="C33" s="390" t="s">
        <v>332</v>
      </c>
      <c r="D33" s="386"/>
      <c r="E33" s="385"/>
      <c r="F33" s="385"/>
    </row>
    <row r="34" spans="2:6" s="10" customFormat="1" ht="14.4" x14ac:dyDescent="0.3">
      <c r="B34" s="395"/>
      <c r="C34" s="396"/>
      <c r="D34" s="397"/>
      <c r="E34" s="397"/>
      <c r="F34" s="397"/>
    </row>
    <row r="35" spans="2:6" s="10" customFormat="1" ht="13.8" x14ac:dyDescent="0.3"/>
    <row r="36" spans="2:6" s="10" customFormat="1" ht="13.8" x14ac:dyDescent="0.3">
      <c r="B36" s="11"/>
    </row>
    <row r="37" spans="2:6" s="10" customFormat="1" ht="13.8" x14ac:dyDescent="0.3"/>
  </sheetData>
  <mergeCells count="14">
    <mergeCell ref="C22:F22"/>
    <mergeCell ref="C21:F21"/>
    <mergeCell ref="G5:J5"/>
    <mergeCell ref="K5:O5"/>
    <mergeCell ref="L12:M12"/>
    <mergeCell ref="L13:M13"/>
    <mergeCell ref="N11:O11"/>
    <mergeCell ref="N12:O12"/>
    <mergeCell ref="N13:O13"/>
    <mergeCell ref="G9:H9"/>
    <mergeCell ref="G10:H10"/>
    <mergeCell ref="G11:H11"/>
    <mergeCell ref="M9:N9"/>
    <mergeCell ref="L11:M11"/>
  </mergeCells>
  <hyperlinks>
    <hyperlink ref="C24" location="Dashboard!A1" display="Dashboard" xr:uid="{9C73C154-C68B-454C-852F-D91427F3C438}"/>
    <hyperlink ref="C25" location="'Financials-&gt;'!A1" display="Financials" xr:uid="{9EB1F29F-EE24-4AE6-AFF2-F1CBF4F8C1DE}"/>
    <hyperlink ref="C26" location="Statements!A1" display="Statements" xr:uid="{FF406334-9291-44BC-A10D-46BA488F313D}"/>
    <hyperlink ref="C27" location="Assumptions!A1" display="Assumptions" xr:uid="{B0546597-0306-49E6-8CA2-46F168078804}"/>
    <hyperlink ref="C28" location="Schedule!A1" display="Schedule" xr:uid="{F8C637A0-EADC-4EA0-984D-A00DB590DF2C}"/>
    <hyperlink ref="C29" location="'Valuation-&gt;'!A1" display="Valuation" xr:uid="{285E0536-6BC2-46FA-8BAF-2F6A42DB5126}"/>
    <hyperlink ref="C30" location="Comp_Trad!A1" display="Company Comparables" xr:uid="{9EFBD76D-E381-42AC-BD1F-8C26DC615ED0}"/>
    <hyperlink ref="C31" location="WACC!A1" display="WACC" xr:uid="{0415E4CF-6814-493D-A057-79F7E9E7D99F}"/>
    <hyperlink ref="C32" location="DCF!A1" display="DCF" xr:uid="{B5AD4E4D-210D-4829-927E-24383B87FBCF}"/>
    <hyperlink ref="C33" location="LBO_model!A1" display="LBO Model" xr:uid="{0FFC448C-375D-41DE-A8DB-BBD220A9CB4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Scenario" prompt="Optimestic - &quot;Best&quot;_x000a_Street - &quot;Market&quot;_x000a_Pessimestic - &quot;Worst&quot;" xr:uid="{D8C8D7D8-48EB-49CE-BD5A-11487FC86F41}">
          <x14:formula1>
            <xm:f>Assumptions!$B$10:$B$12</xm:f>
          </x14:formula1>
          <xm:sqref>G13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4CFEF-B378-4225-B4E0-924531738075}">
  <sheetPr>
    <tabColor rgb="FF00004D"/>
  </sheetPr>
  <dimension ref="A1"/>
  <sheetViews>
    <sheetView showGridLines="0"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686AC-83E4-4BFE-86DE-94869AE10D6C}">
  <dimension ref="A1:S143"/>
  <sheetViews>
    <sheetView showGridLines="0" zoomScaleNormal="100" workbookViewId="0">
      <selection activeCell="A9" sqref="A9:XFD10"/>
    </sheetView>
  </sheetViews>
  <sheetFormatPr defaultRowHeight="13.8" outlineLevelRow="1" x14ac:dyDescent="0.3"/>
  <cols>
    <col min="1" max="1" width="1.88671875" style="10" customWidth="1"/>
    <col min="2" max="2" width="12.21875" style="10" customWidth="1"/>
    <col min="3" max="3" width="6.33203125" style="10" customWidth="1"/>
    <col min="4" max="4" width="8.88671875" style="10"/>
    <col min="5" max="5" width="9.77734375" style="10" customWidth="1"/>
    <col min="6" max="6" width="9.44140625" style="10" customWidth="1"/>
    <col min="7" max="14" width="13.109375" style="10" customWidth="1"/>
    <col min="15" max="16" width="12" style="10" customWidth="1"/>
    <col min="17" max="19" width="16" style="10" customWidth="1"/>
    <col min="20" max="16384" width="8.88671875" style="10"/>
  </cols>
  <sheetData>
    <row r="1" spans="1:19" s="14" customFormat="1" ht="14.4" x14ac:dyDescent="0.3"/>
    <row r="2" spans="1:19" s="14" customFormat="1" ht="15.6" x14ac:dyDescent="0.3">
      <c r="A2" s="15"/>
      <c r="B2" s="16" t="str">
        <f>Dashboard!B2</f>
        <v>Denny's Diner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</row>
    <row r="3" spans="1:19" s="14" customFormat="1" ht="14.4" x14ac:dyDescent="0.3">
      <c r="B3" s="49" t="s">
        <v>36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</row>
    <row r="4" spans="1:19" s="14" customFormat="1" ht="14.4" x14ac:dyDescent="0.3">
      <c r="B4" s="64" t="str">
        <f>Dashboard!B4</f>
        <v>(In $ thousands, except per share amounts)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</row>
    <row r="5" spans="1:19" s="14" customFormat="1" ht="14.4" x14ac:dyDescent="0.3">
      <c r="B5" s="7" t="s">
        <v>37</v>
      </c>
      <c r="C5" s="17"/>
      <c r="D5" s="7" t="str">
        <f>Dashboard!G13</f>
        <v>Street</v>
      </c>
      <c r="E5" s="17"/>
      <c r="F5" s="17"/>
      <c r="G5" s="18"/>
      <c r="H5" s="18"/>
      <c r="I5" s="18"/>
      <c r="J5" s="18"/>
      <c r="K5" s="18"/>
      <c r="L5" s="18"/>
      <c r="M5" s="18"/>
      <c r="N5" s="18"/>
      <c r="O5" s="17"/>
      <c r="P5" s="17"/>
      <c r="Q5" s="17"/>
      <c r="R5" s="17"/>
      <c r="S5" s="17"/>
    </row>
    <row r="6" spans="1:19" s="14" customFormat="1" ht="14.4" x14ac:dyDescent="0.3">
      <c r="B6" s="7" t="s">
        <v>141</v>
      </c>
      <c r="C6" s="19"/>
      <c r="D6" s="19"/>
      <c r="E6" s="19"/>
      <c r="F6" s="20"/>
      <c r="G6" s="335" t="s">
        <v>140</v>
      </c>
      <c r="H6" s="335"/>
      <c r="I6" s="336"/>
      <c r="J6" s="337" t="s">
        <v>2</v>
      </c>
      <c r="K6" s="338"/>
      <c r="L6" s="338"/>
      <c r="M6" s="338"/>
      <c r="N6" s="338"/>
      <c r="O6" s="339" t="s">
        <v>32</v>
      </c>
      <c r="P6" s="340"/>
      <c r="Q6" s="341" t="s">
        <v>18</v>
      </c>
      <c r="R6" s="342"/>
      <c r="S6" s="342"/>
    </row>
    <row r="7" spans="1:19" s="14" customFormat="1" ht="14.4" x14ac:dyDescent="0.3">
      <c r="B7" s="7" t="s">
        <v>142</v>
      </c>
      <c r="C7" s="19"/>
      <c r="D7" s="19"/>
      <c r="E7" s="19"/>
      <c r="F7" s="20"/>
      <c r="G7" s="21">
        <v>44920</v>
      </c>
      <c r="H7" s="21">
        <f t="shared" ref="H7:N7" si="0">EDATE(G7,12)</f>
        <v>45285</v>
      </c>
      <c r="I7" s="22">
        <f t="shared" si="0"/>
        <v>45651</v>
      </c>
      <c r="J7" s="23">
        <f t="shared" si="0"/>
        <v>46016</v>
      </c>
      <c r="K7" s="23">
        <f t="shared" si="0"/>
        <v>46381</v>
      </c>
      <c r="L7" s="24">
        <f t="shared" si="0"/>
        <v>46746</v>
      </c>
      <c r="M7" s="23">
        <f t="shared" si="0"/>
        <v>47112</v>
      </c>
      <c r="N7" s="24">
        <f t="shared" si="0"/>
        <v>47477</v>
      </c>
      <c r="O7" s="25" t="s">
        <v>40</v>
      </c>
      <c r="P7" s="26" t="s">
        <v>39</v>
      </c>
      <c r="Q7" s="343"/>
      <c r="R7" s="344"/>
      <c r="S7" s="344"/>
    </row>
    <row r="8" spans="1:19" x14ac:dyDescent="0.3">
      <c r="G8" s="27"/>
      <c r="H8" s="27"/>
      <c r="L8" s="28"/>
    </row>
    <row r="9" spans="1:19" ht="14.4" x14ac:dyDescent="0.3"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</row>
    <row r="11" spans="1:19" x14ac:dyDescent="0.3">
      <c r="B11" s="31" t="s">
        <v>22</v>
      </c>
      <c r="C11" s="10" t="s">
        <v>26</v>
      </c>
      <c r="E11" s="31" t="s">
        <v>24</v>
      </c>
      <c r="F11" s="10" t="s">
        <v>30</v>
      </c>
    </row>
    <row r="12" spans="1:19" x14ac:dyDescent="0.3">
      <c r="B12" s="31" t="s">
        <v>23</v>
      </c>
      <c r="C12" s="10" t="s">
        <v>27</v>
      </c>
      <c r="E12" s="31" t="s">
        <v>25</v>
      </c>
      <c r="F12" s="10" t="s">
        <v>31</v>
      </c>
    </row>
    <row r="13" spans="1:19" x14ac:dyDescent="0.3">
      <c r="B13" s="31" t="s">
        <v>28</v>
      </c>
      <c r="C13" s="10" t="s">
        <v>29</v>
      </c>
    </row>
    <row r="14" spans="1:19" x14ac:dyDescent="0.3">
      <c r="B14" s="31" t="s">
        <v>4</v>
      </c>
      <c r="C14" s="10" t="s">
        <v>68</v>
      </c>
    </row>
    <row r="16" spans="1:19" s="14" customFormat="1" ht="14.4" x14ac:dyDescent="0.3">
      <c r="A16" s="14" t="s">
        <v>34</v>
      </c>
      <c r="B16" s="32" t="s">
        <v>35</v>
      </c>
      <c r="C16" s="30"/>
      <c r="D16" s="30"/>
      <c r="E16" s="30"/>
      <c r="F16" s="30"/>
      <c r="G16" s="82">
        <v>44920</v>
      </c>
      <c r="H16" s="82">
        <v>45285</v>
      </c>
      <c r="I16" s="82">
        <v>45651</v>
      </c>
      <c r="J16" s="83">
        <v>46016</v>
      </c>
      <c r="K16" s="83">
        <v>46381</v>
      </c>
      <c r="L16" s="83">
        <v>46746</v>
      </c>
      <c r="M16" s="83">
        <v>47112</v>
      </c>
      <c r="N16" s="83">
        <v>47477</v>
      </c>
      <c r="O16" s="30"/>
      <c r="P16" s="30"/>
      <c r="Q16" s="30"/>
      <c r="R16" s="30"/>
      <c r="S16" s="30"/>
    </row>
    <row r="17" spans="2:14" s="33" customFormat="1" x14ac:dyDescent="0.3"/>
    <row r="18" spans="2:14" s="33" customFormat="1" x14ac:dyDescent="0.3">
      <c r="B18" s="74" t="s">
        <v>74</v>
      </c>
    </row>
    <row r="19" spans="2:14" s="33" customFormat="1" x14ac:dyDescent="0.3">
      <c r="B19" s="71" t="s">
        <v>75</v>
      </c>
      <c r="G19" s="80">
        <v>199753</v>
      </c>
      <c r="H19" s="80">
        <v>215532</v>
      </c>
      <c r="I19" s="80">
        <v>211781</v>
      </c>
      <c r="J19" s="80">
        <f ca="1">Assumptions!J19</f>
        <v>213633.92022701126</v>
      </c>
      <c r="K19" s="80">
        <f ca="1">Assumptions!K19</f>
        <v>218849.95715017742</v>
      </c>
      <c r="L19" s="80">
        <f ca="1">Assumptions!L19</f>
        <v>228203.91530585609</v>
      </c>
      <c r="M19" s="80">
        <f ca="1">Assumptions!M19</f>
        <v>238731.34100994869</v>
      </c>
      <c r="N19" s="80">
        <f ca="1">Assumptions!N19</f>
        <v>251341.80326014449</v>
      </c>
    </row>
    <row r="20" spans="2:14" s="33" customFormat="1" x14ac:dyDescent="0.3">
      <c r="B20" s="71" t="s">
        <v>76</v>
      </c>
      <c r="G20" s="80">
        <v>256676</v>
      </c>
      <c r="H20" s="80">
        <v>248390</v>
      </c>
      <c r="I20" s="80">
        <v>240553</v>
      </c>
      <c r="J20" s="80">
        <f ca="1">Assumptions!J38</f>
        <v>241068.34565072367</v>
      </c>
      <c r="K20" s="80">
        <f ca="1">Assumptions!K38</f>
        <v>245424.28262319809</v>
      </c>
      <c r="L20" s="80">
        <f ca="1">Assumptions!L38</f>
        <v>254555.12179133919</v>
      </c>
      <c r="M20" s="80">
        <f ca="1">Assumptions!M38</f>
        <v>264671.24900658417</v>
      </c>
      <c r="N20" s="80">
        <f ca="1">Assumptions!N38</f>
        <v>276654.60448994988</v>
      </c>
    </row>
    <row r="21" spans="2:14" s="33" customFormat="1" x14ac:dyDescent="0.3">
      <c r="B21" s="73" t="s">
        <v>77</v>
      </c>
      <c r="G21" s="81">
        <v>456429</v>
      </c>
      <c r="H21" s="81">
        <v>463922</v>
      </c>
      <c r="I21" s="81">
        <f>SUM(I19:I20)</f>
        <v>452334</v>
      </c>
      <c r="J21" s="81">
        <f ca="1">SUM(J19:J20)</f>
        <v>454702.26587773493</v>
      </c>
      <c r="K21" s="81">
        <f t="shared" ref="K21:N21" ca="1" si="1">SUM(K19:K20)</f>
        <v>464274.23977337551</v>
      </c>
      <c r="L21" s="81">
        <f t="shared" ca="1" si="1"/>
        <v>482759.03709719528</v>
      </c>
      <c r="M21" s="81">
        <f t="shared" ca="1" si="1"/>
        <v>503402.59001653286</v>
      </c>
      <c r="N21" s="81">
        <f t="shared" ca="1" si="1"/>
        <v>527996.40775009431</v>
      </c>
    </row>
    <row r="22" spans="2:14" s="33" customFormat="1" outlineLevel="1" x14ac:dyDescent="0.3">
      <c r="B22" s="74" t="s">
        <v>92</v>
      </c>
      <c r="G22" s="80"/>
      <c r="H22" s="80"/>
      <c r="I22" s="80"/>
      <c r="J22" s="80"/>
      <c r="K22" s="80"/>
      <c r="L22" s="80"/>
      <c r="M22" s="80"/>
      <c r="N22" s="80"/>
    </row>
    <row r="23" spans="2:14" s="33" customFormat="1" outlineLevel="1" x14ac:dyDescent="0.3">
      <c r="B23" s="71" t="s">
        <v>78</v>
      </c>
      <c r="G23" s="80">
        <v>53617</v>
      </c>
      <c r="H23" s="80">
        <v>55789</v>
      </c>
      <c r="I23" s="80">
        <v>53931</v>
      </c>
      <c r="J23" s="80">
        <f ca="1">Assumptions!J82</f>
        <v>55718.532842616019</v>
      </c>
      <c r="K23" s="80">
        <f ca="1">Assumptions!K82</f>
        <v>57048.893833388749</v>
      </c>
      <c r="L23" s="80">
        <f ca="1">Assumptions!L82</f>
        <v>60191.557903106754</v>
      </c>
      <c r="M23" s="80">
        <f ca="1">Assumptions!M82</f>
        <v>63708.953486677237</v>
      </c>
      <c r="N23" s="80">
        <f ca="1">Assumptions!N82</f>
        <v>67525.476969302254</v>
      </c>
    </row>
    <row r="24" spans="2:14" s="33" customFormat="1" outlineLevel="1" x14ac:dyDescent="0.3">
      <c r="B24" s="71" t="s">
        <v>79</v>
      </c>
      <c r="G24" s="80">
        <v>76412</v>
      </c>
      <c r="H24" s="80">
        <v>80666</v>
      </c>
      <c r="I24" s="80">
        <v>80605</v>
      </c>
      <c r="J24" s="80">
        <f ca="1">Assumptions!J90</f>
        <v>81242.611227493078</v>
      </c>
      <c r="K24" s="80">
        <f ca="1">Assumptions!K90</f>
        <v>84511.780332756243</v>
      </c>
      <c r="L24" s="80">
        <f ca="1">Assumptions!L90</f>
        <v>91198.439558171754</v>
      </c>
      <c r="M24" s="80">
        <f ca="1">Assumptions!M90</f>
        <v>98937.055436288108</v>
      </c>
      <c r="N24" s="80">
        <f ca="1">Assumptions!N90</f>
        <v>108511.30505574794</v>
      </c>
    </row>
    <row r="25" spans="2:14" s="33" customFormat="1" outlineLevel="1" x14ac:dyDescent="0.3">
      <c r="B25" s="71" t="s">
        <v>80</v>
      </c>
      <c r="G25" s="80">
        <v>15154</v>
      </c>
      <c r="H25" s="80">
        <v>16809</v>
      </c>
      <c r="I25" s="80">
        <v>18129</v>
      </c>
      <c r="J25" s="80">
        <f ca="1">Assumptions!J100</f>
        <v>15545.869263878325</v>
      </c>
      <c r="K25" s="80">
        <f ca="1">Assumptions!K100</f>
        <v>16637.872873522108</v>
      </c>
      <c r="L25" s="80">
        <f ca="1">Assumptions!L100</f>
        <v>17517.315312380219</v>
      </c>
      <c r="M25" s="80">
        <f ca="1">Assumptions!M100</f>
        <v>17640.412989499146</v>
      </c>
      <c r="N25" s="80">
        <f ca="1">Assumptions!N100</f>
        <v>18622.843038222331</v>
      </c>
    </row>
    <row r="26" spans="2:14" s="33" customFormat="1" outlineLevel="1" x14ac:dyDescent="0.3">
      <c r="B26" s="71" t="s">
        <v>81</v>
      </c>
      <c r="G26" s="80">
        <v>34275</v>
      </c>
      <c r="H26" s="80">
        <v>34335</v>
      </c>
      <c r="I26" s="80">
        <v>37079</v>
      </c>
      <c r="J26" s="80">
        <f ca="1">Assumptions!J103</f>
        <v>35023.703569795704</v>
      </c>
      <c r="K26" s="80">
        <f ca="1">Assumptions!K103</f>
        <v>36059.944129070886</v>
      </c>
      <c r="L26" s="80">
        <f ca="1">Assumptions!L103</f>
        <v>38084.48708176909</v>
      </c>
      <c r="M26" s="80">
        <f ca="1">Assumptions!M103</f>
        <v>39195.646083788204</v>
      </c>
      <c r="N26" s="80">
        <f ca="1">Assumptions!N103</f>
        <v>41257.665570139208</v>
      </c>
    </row>
    <row r="27" spans="2:14" s="33" customFormat="1" outlineLevel="1" x14ac:dyDescent="0.3">
      <c r="B27" s="73" t="s">
        <v>93</v>
      </c>
      <c r="G27" s="81">
        <f t="shared" ref="G27:I27" si="2">SUM(G23:G26)</f>
        <v>179458</v>
      </c>
      <c r="H27" s="81">
        <f t="shared" si="2"/>
        <v>187599</v>
      </c>
      <c r="I27" s="81">
        <f t="shared" si="2"/>
        <v>189744</v>
      </c>
      <c r="J27" s="81">
        <f ca="1">SUM(J23:J26)</f>
        <v>187530.71690378312</v>
      </c>
      <c r="K27" s="81">
        <f t="shared" ref="K27:N27" ca="1" si="3">SUM(K23:K26)</f>
        <v>194258.49116873796</v>
      </c>
      <c r="L27" s="81">
        <f t="shared" ca="1" si="3"/>
        <v>206991.79985542782</v>
      </c>
      <c r="M27" s="81">
        <f t="shared" ca="1" si="3"/>
        <v>219482.06799625268</v>
      </c>
      <c r="N27" s="81">
        <f t="shared" ca="1" si="3"/>
        <v>235917.29063341176</v>
      </c>
    </row>
    <row r="28" spans="2:14" s="33" customFormat="1" outlineLevel="1" x14ac:dyDescent="0.3">
      <c r="G28" s="80"/>
      <c r="H28" s="80"/>
      <c r="I28" s="80"/>
      <c r="J28" s="80"/>
      <c r="K28" s="80"/>
      <c r="L28" s="80"/>
      <c r="M28" s="80"/>
      <c r="N28" s="80"/>
    </row>
    <row r="29" spans="2:14" s="33" customFormat="1" outlineLevel="1" x14ac:dyDescent="0.3">
      <c r="B29" s="76" t="s">
        <v>94</v>
      </c>
      <c r="G29" s="80">
        <v>135327</v>
      </c>
      <c r="H29" s="80">
        <v>122452</v>
      </c>
      <c r="I29" s="80">
        <v>120226</v>
      </c>
      <c r="J29" s="80">
        <f ca="1">Assumptions!J115</f>
        <v>122250.35118166066</v>
      </c>
      <c r="K29" s="80">
        <f ca="1">Assumptions!K115</f>
        <v>122584.66387285219</v>
      </c>
      <c r="L29" s="80">
        <f ca="1">Assumptions!L115</f>
        <v>128099.43628776954</v>
      </c>
      <c r="M29" s="80">
        <f ca="1">Assumptions!M115</f>
        <v>133401.97450684439</v>
      </c>
      <c r="N29" s="80">
        <f ca="1">Assumptions!N115</f>
        <v>138979.75556920064</v>
      </c>
    </row>
    <row r="30" spans="2:14" s="33" customFormat="1" outlineLevel="1" x14ac:dyDescent="0.3">
      <c r="B30" s="76" t="s">
        <v>82</v>
      </c>
      <c r="G30" s="80">
        <v>67173</v>
      </c>
      <c r="H30" s="80">
        <v>77770</v>
      </c>
      <c r="I30" s="80">
        <v>80197</v>
      </c>
      <c r="J30" s="80">
        <f ca="1">Assumptions!J117</f>
        <v>74586.733491046325</v>
      </c>
      <c r="K30" s="80">
        <f ca="1">Assumptions!K117</f>
        <v>78766.623122145349</v>
      </c>
      <c r="L30" s="80">
        <f ca="1">Assumptions!L117</f>
        <v>82227.636478275163</v>
      </c>
      <c r="M30" s="80">
        <f ca="1">Assumptions!M117</f>
        <v>84574.67805240117</v>
      </c>
      <c r="N30" s="80">
        <f ca="1">Assumptions!N117</f>
        <v>89405.623725269776</v>
      </c>
    </row>
    <row r="31" spans="2:14" s="33" customFormat="1" outlineLevel="1" x14ac:dyDescent="0.3">
      <c r="B31" s="76" t="s">
        <v>83</v>
      </c>
      <c r="G31" s="80">
        <v>14862</v>
      </c>
      <c r="H31" s="80">
        <v>14385</v>
      </c>
      <c r="I31" s="80">
        <v>14857</v>
      </c>
      <c r="J31" s="80">
        <f ca="1">Schedule!J23+Schedule!J41+Schedule!J56</f>
        <v>13724.576657638916</v>
      </c>
      <c r="K31" s="80">
        <f ca="1">Schedule!K23+Schedule!K41+Schedule!K56</f>
        <v>13914.684419788182</v>
      </c>
      <c r="L31" s="80">
        <f ca="1">Schedule!L23+Schedule!L41+Schedule!L56</f>
        <v>14602.521047936578</v>
      </c>
      <c r="M31" s="80">
        <f ca="1">Schedule!M23+Schedule!M41+Schedule!M56</f>
        <v>15365.381207057684</v>
      </c>
      <c r="N31" s="80">
        <f ca="1">Schedule!N23+Schedule!N41+Schedule!N56</f>
        <v>16163.077366366026</v>
      </c>
    </row>
    <row r="32" spans="2:14" s="33" customFormat="1" outlineLevel="1" x14ac:dyDescent="0.3">
      <c r="B32" s="76" t="s">
        <v>84</v>
      </c>
      <c r="G32" s="80">
        <v>0</v>
      </c>
      <c r="H32" s="80">
        <v>6363</v>
      </c>
      <c r="I32" s="80">
        <v>20</v>
      </c>
      <c r="J32" s="80">
        <v>0</v>
      </c>
      <c r="K32" s="80">
        <v>0</v>
      </c>
      <c r="L32" s="80">
        <v>0</v>
      </c>
      <c r="M32" s="80">
        <v>0</v>
      </c>
      <c r="N32" s="80">
        <v>0</v>
      </c>
    </row>
    <row r="33" spans="2:14" s="33" customFormat="1" outlineLevel="1" x14ac:dyDescent="0.3">
      <c r="B33" s="76" t="s">
        <v>95</v>
      </c>
      <c r="G33" s="80">
        <v>-1005</v>
      </c>
      <c r="H33" s="80">
        <v>2530</v>
      </c>
      <c r="I33" s="80">
        <v>1974</v>
      </c>
      <c r="J33" s="80">
        <v>0</v>
      </c>
      <c r="K33" s="80">
        <v>0</v>
      </c>
      <c r="L33" s="80">
        <v>0</v>
      </c>
      <c r="M33" s="80">
        <v>0</v>
      </c>
      <c r="N33" s="80">
        <v>0</v>
      </c>
    </row>
    <row r="34" spans="2:14" s="33" customFormat="1" x14ac:dyDescent="0.3">
      <c r="B34" s="75" t="s">
        <v>85</v>
      </c>
      <c r="G34" s="81">
        <v>395815</v>
      </c>
      <c r="H34" s="81">
        <v>411099</v>
      </c>
      <c r="I34" s="81">
        <v>407018</v>
      </c>
      <c r="J34" s="81">
        <f ca="1">SUM(J29:J33)+J27</f>
        <v>398092.37823412905</v>
      </c>
      <c r="K34" s="81">
        <f t="shared" ref="K34:N34" ca="1" si="4">SUM(K29:K33)+K27</f>
        <v>409524.46258352371</v>
      </c>
      <c r="L34" s="81">
        <f t="shared" ca="1" si="4"/>
        <v>431921.3936694091</v>
      </c>
      <c r="M34" s="81">
        <f t="shared" ca="1" si="4"/>
        <v>452824.10176255589</v>
      </c>
      <c r="N34" s="81">
        <f t="shared" ca="1" si="4"/>
        <v>480465.7472942482</v>
      </c>
    </row>
    <row r="35" spans="2:14" s="33" customFormat="1" x14ac:dyDescent="0.3">
      <c r="G35" s="80"/>
      <c r="H35" s="80"/>
      <c r="I35" s="80"/>
      <c r="J35" s="80"/>
      <c r="K35" s="80"/>
      <c r="L35" s="80"/>
      <c r="M35" s="80"/>
      <c r="N35" s="80"/>
    </row>
    <row r="36" spans="2:14" s="33" customFormat="1" x14ac:dyDescent="0.3">
      <c r="B36" s="77" t="s">
        <v>86</v>
      </c>
      <c r="G36" s="81">
        <v>60614</v>
      </c>
      <c r="H36" s="81">
        <v>52823</v>
      </c>
      <c r="I36" s="81">
        <v>45316</v>
      </c>
      <c r="J36" s="81">
        <f ca="1">J21-J34</f>
        <v>56609.887643605878</v>
      </c>
      <c r="K36" s="81">
        <f t="shared" ref="K36:N36" ca="1" si="5">K21-K34</f>
        <v>54749.777189851797</v>
      </c>
      <c r="L36" s="81">
        <f t="shared" ca="1" si="5"/>
        <v>50837.643427786184</v>
      </c>
      <c r="M36" s="81">
        <f t="shared" ca="1" si="5"/>
        <v>50578.488253976975</v>
      </c>
      <c r="N36" s="81">
        <f t="shared" ca="1" si="5"/>
        <v>47530.660455846111</v>
      </c>
    </row>
    <row r="37" spans="2:14" s="33" customFormat="1" outlineLevel="1" x14ac:dyDescent="0.3">
      <c r="B37" s="71" t="s">
        <v>87</v>
      </c>
      <c r="G37" s="80">
        <v>13769</v>
      </c>
      <c r="H37" s="80">
        <v>17597</v>
      </c>
      <c r="I37" s="80">
        <v>17974</v>
      </c>
      <c r="J37" s="80">
        <f ca="1">Schedule!J91+Schedule!J106</f>
        <v>16021.14</v>
      </c>
      <c r="K37" s="80">
        <f ca="1">Schedule!K91+Schedule!K106</f>
        <v>12912.75</v>
      </c>
      <c r="L37" s="80">
        <f ca="1">Schedule!L91+Schedule!L106</f>
        <v>9910.15</v>
      </c>
      <c r="M37" s="80">
        <f ca="1">Schedule!M91+Schedule!M106</f>
        <v>7234.5</v>
      </c>
      <c r="N37" s="80">
        <f ca="1">Schedule!N91+Schedule!N106</f>
        <v>4563.2</v>
      </c>
    </row>
    <row r="38" spans="2:14" s="33" customFormat="1" outlineLevel="1" x14ac:dyDescent="0.3">
      <c r="B38" s="71" t="s">
        <v>88</v>
      </c>
      <c r="G38" s="80">
        <v>-52585</v>
      </c>
      <c r="H38" s="80">
        <v>8288</v>
      </c>
      <c r="I38" s="80">
        <v>-1907</v>
      </c>
      <c r="J38" s="80">
        <v>0</v>
      </c>
      <c r="K38" s="80">
        <v>0</v>
      </c>
      <c r="L38" s="80">
        <v>0</v>
      </c>
      <c r="M38" s="80">
        <v>0</v>
      </c>
      <c r="N38" s="80">
        <v>0</v>
      </c>
    </row>
    <row r="39" spans="2:14" s="33" customFormat="1" outlineLevel="1" x14ac:dyDescent="0.3">
      <c r="B39" s="73" t="s">
        <v>89</v>
      </c>
      <c r="G39" s="81">
        <v>99430</v>
      </c>
      <c r="H39" s="81">
        <v>26938</v>
      </c>
      <c r="I39" s="81">
        <v>29249</v>
      </c>
      <c r="J39" s="81">
        <f ca="1">J36-SUM(J37:J38)</f>
        <v>40588.747643605879</v>
      </c>
      <c r="K39" s="81">
        <f t="shared" ref="K39:N39" ca="1" si="6">K36-SUM(K37:K38)</f>
        <v>41837.027189851797</v>
      </c>
      <c r="L39" s="81">
        <f t="shared" ca="1" si="6"/>
        <v>40927.493427786183</v>
      </c>
      <c r="M39" s="81">
        <f t="shared" ca="1" si="6"/>
        <v>43343.988253976975</v>
      </c>
      <c r="N39" s="81">
        <f t="shared" ca="1" si="6"/>
        <v>42967.460455846114</v>
      </c>
    </row>
    <row r="40" spans="2:14" s="33" customFormat="1" outlineLevel="1" x14ac:dyDescent="0.3">
      <c r="B40" s="71" t="s">
        <v>90</v>
      </c>
      <c r="G40" s="80">
        <v>24718</v>
      </c>
      <c r="H40" s="80">
        <v>6993</v>
      </c>
      <c r="I40" s="80">
        <v>7678</v>
      </c>
      <c r="J40" s="80">
        <f ca="1">Assumptions!J120</f>
        <v>10553.074387337529</v>
      </c>
      <c r="K40" s="80">
        <f ca="1">Assumptions!K120</f>
        <v>10877.627069361468</v>
      </c>
      <c r="L40" s="80">
        <f ca="1">Assumptions!L120</f>
        <v>10641.148291224408</v>
      </c>
      <c r="M40" s="80">
        <f ca="1">Assumptions!M120</f>
        <v>11269.436946034013</v>
      </c>
      <c r="N40" s="80">
        <f ca="1">Assumptions!N120</f>
        <v>11171.539718519991</v>
      </c>
    </row>
    <row r="41" spans="2:14" s="33" customFormat="1" x14ac:dyDescent="0.3">
      <c r="B41" s="73" t="s">
        <v>91</v>
      </c>
      <c r="G41" s="81">
        <v>74712</v>
      </c>
      <c r="H41" s="81">
        <v>19945</v>
      </c>
      <c r="I41" s="81">
        <v>21571</v>
      </c>
      <c r="J41" s="81">
        <f ca="1">J39-J40</f>
        <v>30035.67325626835</v>
      </c>
      <c r="K41" s="81">
        <f t="shared" ref="K41:N41" ca="1" si="7">K39-K40</f>
        <v>30959.400120490329</v>
      </c>
      <c r="L41" s="81">
        <f t="shared" ca="1" si="7"/>
        <v>30286.345136561773</v>
      </c>
      <c r="M41" s="81">
        <f t="shared" ca="1" si="7"/>
        <v>32074.551307942962</v>
      </c>
      <c r="N41" s="81">
        <f t="shared" ca="1" si="7"/>
        <v>31795.920737326123</v>
      </c>
    </row>
    <row r="42" spans="2:14" s="33" customFormat="1" x14ac:dyDescent="0.3">
      <c r="B42" s="77"/>
      <c r="I42" s="74"/>
    </row>
    <row r="43" spans="2:14" s="33" customFormat="1" x14ac:dyDescent="0.3">
      <c r="B43" s="77" t="s">
        <v>96</v>
      </c>
      <c r="I43" s="74"/>
    </row>
    <row r="44" spans="2:14" s="33" customFormat="1" x14ac:dyDescent="0.3">
      <c r="B44" s="76" t="s">
        <v>98</v>
      </c>
      <c r="G44" s="78">
        <f>G$41/G48</f>
        <v>1.2294021819617911</v>
      </c>
      <c r="H44" s="78">
        <f t="shared" ref="H44" si="8">H$41/H48</f>
        <v>0.35626250357244926</v>
      </c>
      <c r="I44" s="78">
        <f>I$41/I48</f>
        <v>0.41088401683841597</v>
      </c>
      <c r="J44" s="78">
        <f t="shared" ref="J44:N44" ca="1" si="9">J$41/J48</f>
        <v>0.57211895952815006</v>
      </c>
      <c r="K44" s="78">
        <f t="shared" ca="1" si="9"/>
        <v>0.58971409208728409</v>
      </c>
      <c r="L44" s="78">
        <f t="shared" ca="1" si="9"/>
        <v>0.57689375295837586</v>
      </c>
      <c r="M44" s="78">
        <f t="shared" ca="1" si="9"/>
        <v>0.61095547168408848</v>
      </c>
      <c r="N44" s="78">
        <f t="shared" ca="1" si="9"/>
        <v>0.6056481216275762</v>
      </c>
    </row>
    <row r="45" spans="2:14" s="33" customFormat="1" x14ac:dyDescent="0.3">
      <c r="B45" s="76" t="s">
        <v>97</v>
      </c>
      <c r="G45" s="78">
        <f t="shared" ref="G45:H45" si="10">G$41/G49</f>
        <v>1.2272212092839896</v>
      </c>
      <c r="H45" s="78">
        <f t="shared" si="10"/>
        <v>0.35491849953733362</v>
      </c>
      <c r="I45" s="78">
        <f>I$41/I49</f>
        <v>0.40998593530239102</v>
      </c>
      <c r="J45" s="78">
        <f ca="1">J$41/J49</f>
        <v>0.5708684619353851</v>
      </c>
      <c r="K45" s="78">
        <f t="shared" ref="K45:N45" ca="1" si="11">K$41/K49</f>
        <v>0.58842513628483539</v>
      </c>
      <c r="L45" s="78">
        <f t="shared" ca="1" si="11"/>
        <v>0.57563281895620511</v>
      </c>
      <c r="M45" s="78">
        <f t="shared" ca="1" si="11"/>
        <v>0.60962008796029499</v>
      </c>
      <c r="N45" s="78">
        <f t="shared" ca="1" si="11"/>
        <v>0.60432433833820132</v>
      </c>
    </row>
    <row r="46" spans="2:14" s="33" customFormat="1" x14ac:dyDescent="0.3">
      <c r="B46" s="76"/>
      <c r="I46" s="74"/>
    </row>
    <row r="47" spans="2:14" s="33" customFormat="1" x14ac:dyDescent="0.3">
      <c r="B47" s="77" t="s">
        <v>99</v>
      </c>
      <c r="I47" s="74"/>
    </row>
    <row r="48" spans="2:14" s="33" customFormat="1" x14ac:dyDescent="0.3">
      <c r="B48" s="76" t="s">
        <v>98</v>
      </c>
      <c r="G48" s="80">
        <v>60771</v>
      </c>
      <c r="H48" s="80">
        <v>55984</v>
      </c>
      <c r="I48" s="80">
        <v>52499</v>
      </c>
      <c r="J48" s="80">
        <f>I48</f>
        <v>52499</v>
      </c>
      <c r="K48" s="80">
        <f t="shared" ref="K48:N48" si="12">J48</f>
        <v>52499</v>
      </c>
      <c r="L48" s="80">
        <f t="shared" si="12"/>
        <v>52499</v>
      </c>
      <c r="M48" s="80">
        <f t="shared" si="12"/>
        <v>52499</v>
      </c>
      <c r="N48" s="80">
        <f t="shared" si="12"/>
        <v>52499</v>
      </c>
    </row>
    <row r="49" spans="1:19" s="33" customFormat="1" x14ac:dyDescent="0.3">
      <c r="B49" s="76" t="s">
        <v>97</v>
      </c>
      <c r="G49" s="80">
        <v>60879</v>
      </c>
      <c r="H49" s="80">
        <v>56196</v>
      </c>
      <c r="I49" s="80">
        <v>52614</v>
      </c>
      <c r="J49" s="80">
        <f>I49</f>
        <v>52614</v>
      </c>
      <c r="K49" s="80">
        <f t="shared" ref="K49:N49" si="13">J49</f>
        <v>52614</v>
      </c>
      <c r="L49" s="80">
        <f t="shared" si="13"/>
        <v>52614</v>
      </c>
      <c r="M49" s="80">
        <f t="shared" si="13"/>
        <v>52614</v>
      </c>
      <c r="N49" s="80">
        <f t="shared" si="13"/>
        <v>52614</v>
      </c>
    </row>
    <row r="50" spans="1:19" s="33" customFormat="1" x14ac:dyDescent="0.3">
      <c r="B50" s="76"/>
    </row>
    <row r="51" spans="1:19" ht="14.4" x14ac:dyDescent="0.3">
      <c r="A51" s="14" t="s">
        <v>34</v>
      </c>
      <c r="B51" s="32" t="s">
        <v>65</v>
      </c>
      <c r="C51" s="30"/>
      <c r="D51" s="30"/>
      <c r="E51" s="30"/>
      <c r="F51" s="30"/>
      <c r="G51" s="82">
        <v>44920</v>
      </c>
      <c r="H51" s="82">
        <v>45285</v>
      </c>
      <c r="I51" s="82">
        <v>45651</v>
      </c>
      <c r="J51" s="83">
        <v>46016</v>
      </c>
      <c r="K51" s="83">
        <v>46381</v>
      </c>
      <c r="L51" s="83">
        <v>46746</v>
      </c>
      <c r="M51" s="83">
        <v>47112</v>
      </c>
      <c r="N51" s="83">
        <v>47477</v>
      </c>
      <c r="O51" s="30"/>
      <c r="P51" s="30"/>
      <c r="Q51" s="30"/>
      <c r="R51" s="30"/>
      <c r="S51" s="30"/>
    </row>
    <row r="52" spans="1:19" s="33" customFormat="1" x14ac:dyDescent="0.3"/>
    <row r="53" spans="1:19" s="33" customFormat="1" x14ac:dyDescent="0.3">
      <c r="B53" s="74" t="s">
        <v>100</v>
      </c>
    </row>
    <row r="54" spans="1:19" s="33" customFormat="1" hidden="1" outlineLevel="1" x14ac:dyDescent="0.3">
      <c r="B54" s="74" t="s">
        <v>101</v>
      </c>
    </row>
    <row r="55" spans="1:19" s="33" customFormat="1" hidden="1" outlineLevel="1" x14ac:dyDescent="0.3">
      <c r="B55" s="71" t="s">
        <v>102</v>
      </c>
      <c r="G55" s="80">
        <v>3523</v>
      </c>
      <c r="H55" s="80">
        <v>4893</v>
      </c>
      <c r="I55" s="80">
        <v>1698</v>
      </c>
      <c r="J55" s="80">
        <f ca="1">J131</f>
        <v>2265.5068459356553</v>
      </c>
      <c r="K55" s="80">
        <f t="shared" ref="K55:N55" ca="1" si="14">K131</f>
        <v>8146.7722288512159</v>
      </c>
      <c r="L55" s="80">
        <f t="shared" ca="1" si="14"/>
        <v>9126.4640894576078</v>
      </c>
      <c r="M55" s="80">
        <f t="shared" ca="1" si="14"/>
        <v>14570.650250922095</v>
      </c>
      <c r="N55" s="80">
        <f t="shared" ca="1" si="14"/>
        <v>17404.289176014492</v>
      </c>
    </row>
    <row r="56" spans="1:19" s="33" customFormat="1" hidden="1" outlineLevel="1" x14ac:dyDescent="0.3">
      <c r="B56" s="71" t="s">
        <v>103</v>
      </c>
      <c r="G56" s="80">
        <v>1746</v>
      </c>
      <c r="H56" s="80">
        <v>1281</v>
      </c>
      <c r="I56" s="80">
        <v>1106</v>
      </c>
      <c r="J56" s="80">
        <f>I56</f>
        <v>1106</v>
      </c>
      <c r="K56" s="80">
        <f t="shared" ref="K56:N56" si="15">J56</f>
        <v>1106</v>
      </c>
      <c r="L56" s="80">
        <f t="shared" si="15"/>
        <v>1106</v>
      </c>
      <c r="M56" s="80">
        <f t="shared" si="15"/>
        <v>1106</v>
      </c>
      <c r="N56" s="80">
        <f t="shared" si="15"/>
        <v>1106</v>
      </c>
    </row>
    <row r="57" spans="1:19" s="33" customFormat="1" hidden="1" outlineLevel="1" x14ac:dyDescent="0.3">
      <c r="B57" s="71" t="s">
        <v>104</v>
      </c>
      <c r="G57" s="80">
        <v>25576</v>
      </c>
      <c r="H57" s="80">
        <v>21391</v>
      </c>
      <c r="I57" s="80">
        <v>24433</v>
      </c>
      <c r="J57" s="80">
        <f ca="1">Schedule!J62</f>
        <v>24560.922818516181</v>
      </c>
      <c r="K57" s="80">
        <f ca="1">Schedule!K62</f>
        <v>25077.956776149669</v>
      </c>
      <c r="L57" s="80">
        <f ca="1">Schedule!L62</f>
        <v>26076.420418088786</v>
      </c>
      <c r="M57" s="80">
        <f ca="1">Schedule!M62</f>
        <v>27191.490097746242</v>
      </c>
      <c r="N57" s="80">
        <f ca="1">Schedule!N62</f>
        <v>28519.934894476326</v>
      </c>
    </row>
    <row r="58" spans="1:19" s="33" customFormat="1" hidden="1" outlineLevel="1" x14ac:dyDescent="0.3">
      <c r="B58" s="71" t="s">
        <v>105</v>
      </c>
      <c r="G58" s="80">
        <v>5538</v>
      </c>
      <c r="H58" s="80">
        <v>2175</v>
      </c>
      <c r="I58" s="80">
        <v>1747</v>
      </c>
      <c r="J58" s="80">
        <f ca="1">Schedule!J63</f>
        <v>1726.6219876829261</v>
      </c>
      <c r="K58" s="80">
        <f ca="1">Schedule!K63</f>
        <v>1788.5655623987334</v>
      </c>
      <c r="L58" s="80">
        <f ca="1">Schedule!L63</f>
        <v>1905.8029468517184</v>
      </c>
      <c r="M58" s="80">
        <f ca="1">Schedule!M63</f>
        <v>2020.802622425233</v>
      </c>
      <c r="N58" s="80">
        <f ca="1">Schedule!N63</f>
        <v>2172.1240552353192</v>
      </c>
    </row>
    <row r="59" spans="1:19" s="33" customFormat="1" hidden="1" outlineLevel="1" x14ac:dyDescent="0.3">
      <c r="B59" s="71" t="s">
        <v>106</v>
      </c>
      <c r="G59" s="80">
        <v>1403</v>
      </c>
      <c r="H59" s="80">
        <v>1455</v>
      </c>
      <c r="I59" s="80">
        <v>381</v>
      </c>
      <c r="J59" s="80">
        <f>I59</f>
        <v>381</v>
      </c>
      <c r="K59" s="80">
        <f t="shared" ref="K59:N59" si="16">J59</f>
        <v>381</v>
      </c>
      <c r="L59" s="80">
        <f t="shared" si="16"/>
        <v>381</v>
      </c>
      <c r="M59" s="80">
        <f t="shared" si="16"/>
        <v>381</v>
      </c>
      <c r="N59" s="80">
        <f t="shared" si="16"/>
        <v>381</v>
      </c>
    </row>
    <row r="60" spans="1:19" s="33" customFormat="1" hidden="1" outlineLevel="1" x14ac:dyDescent="0.3">
      <c r="B60" s="71" t="s">
        <v>107</v>
      </c>
      <c r="G60" s="80">
        <v>12529</v>
      </c>
      <c r="H60" s="80">
        <v>12855</v>
      </c>
      <c r="I60" s="80">
        <v>10628</v>
      </c>
      <c r="J60" s="80">
        <f ca="1">Schedule!J73</f>
        <v>11921.590776582849</v>
      </c>
      <c r="K60" s="80">
        <f ca="1">Schedule!K73</f>
        <v>11981.953440062221</v>
      </c>
      <c r="L60" s="80">
        <f ca="1">Schedule!L73</f>
        <v>12153.022539034453</v>
      </c>
      <c r="M60" s="80">
        <f ca="1">Schedule!M73</f>
        <v>12954.306069434433</v>
      </c>
      <c r="N60" s="80">
        <f ca="1">Schedule!N73</f>
        <v>13501.837839654814</v>
      </c>
    </row>
    <row r="61" spans="1:19" s="33" customFormat="1" hidden="1" outlineLevel="1" x14ac:dyDescent="0.3">
      <c r="B61" s="73" t="s">
        <v>108</v>
      </c>
      <c r="G61" s="81">
        <f t="shared" ref="G61:H61" si="17">SUM(G55:G60)</f>
        <v>50315</v>
      </c>
      <c r="H61" s="81">
        <f t="shared" si="17"/>
        <v>44050</v>
      </c>
      <c r="I61" s="81">
        <f>SUM(I55:I60)</f>
        <v>39993</v>
      </c>
      <c r="J61" s="81">
        <f ca="1">SUM(J55:J60)</f>
        <v>41961.642428717612</v>
      </c>
      <c r="K61" s="81">
        <f t="shared" ref="K61:N61" ca="1" si="18">SUM(K55:K60)</f>
        <v>48482.248007461843</v>
      </c>
      <c r="L61" s="81">
        <f t="shared" ca="1" si="18"/>
        <v>50748.709993432567</v>
      </c>
      <c r="M61" s="81">
        <f t="shared" ca="1" si="18"/>
        <v>58224.249040528004</v>
      </c>
      <c r="N61" s="81">
        <f t="shared" ca="1" si="18"/>
        <v>63085.185965380952</v>
      </c>
    </row>
    <row r="62" spans="1:19" s="33" customFormat="1" hidden="1" outlineLevel="1" x14ac:dyDescent="0.3">
      <c r="B62" s="71" t="s">
        <v>136</v>
      </c>
      <c r="G62" s="80">
        <v>94469</v>
      </c>
      <c r="H62" s="80">
        <v>93494</v>
      </c>
      <c r="I62" s="80">
        <v>111417</v>
      </c>
      <c r="J62" s="80">
        <f ca="1">Schedule!J18</f>
        <v>104104.33601644682</v>
      </c>
      <c r="K62" s="80">
        <f ca="1">Schedule!K18</f>
        <v>99340.177008416329</v>
      </c>
      <c r="L62" s="80">
        <f ca="1">Schedule!L18</f>
        <v>95771.739509803971</v>
      </c>
      <c r="M62" s="80">
        <f ca="1">Schedule!M18</f>
        <v>94240.267542531656</v>
      </c>
      <c r="N62" s="80">
        <f ca="1">Schedule!N18</f>
        <v>94096.945264040638</v>
      </c>
    </row>
    <row r="63" spans="1:19" s="33" customFormat="1" hidden="1" outlineLevel="1" x14ac:dyDescent="0.3">
      <c r="B63" s="71" t="s">
        <v>137</v>
      </c>
      <c r="G63" s="80">
        <v>6499</v>
      </c>
      <c r="H63" s="80">
        <v>6098</v>
      </c>
      <c r="I63" s="80">
        <v>6200</v>
      </c>
      <c r="J63" s="80">
        <f>I63</f>
        <v>6200</v>
      </c>
      <c r="K63" s="80">
        <f t="shared" ref="K63:N63" si="19">J63</f>
        <v>6200</v>
      </c>
      <c r="L63" s="80">
        <f t="shared" si="19"/>
        <v>6200</v>
      </c>
      <c r="M63" s="80">
        <f t="shared" si="19"/>
        <v>6200</v>
      </c>
      <c r="N63" s="80">
        <f t="shared" si="19"/>
        <v>6200</v>
      </c>
    </row>
    <row r="64" spans="1:19" s="33" customFormat="1" hidden="1" outlineLevel="1" x14ac:dyDescent="0.3">
      <c r="B64" s="71" t="s">
        <v>109</v>
      </c>
      <c r="G64" s="80">
        <v>126065</v>
      </c>
      <c r="H64" s="80">
        <v>116795</v>
      </c>
      <c r="I64" s="80">
        <v>124738</v>
      </c>
      <c r="J64" s="80">
        <f>I64</f>
        <v>124738</v>
      </c>
      <c r="K64" s="80">
        <f t="shared" ref="K64:N64" si="20">J64</f>
        <v>124738</v>
      </c>
      <c r="L64" s="80">
        <f t="shared" si="20"/>
        <v>124738</v>
      </c>
      <c r="M64" s="80">
        <f t="shared" si="20"/>
        <v>124738</v>
      </c>
      <c r="N64" s="80">
        <f t="shared" si="20"/>
        <v>124738</v>
      </c>
    </row>
    <row r="65" spans="2:15" s="33" customFormat="1" hidden="1" outlineLevel="1" x14ac:dyDescent="0.3">
      <c r="B65" s="71" t="s">
        <v>110</v>
      </c>
      <c r="G65" s="80">
        <v>72740</v>
      </c>
      <c r="H65" s="80">
        <v>65908</v>
      </c>
      <c r="I65" s="80">
        <v>66357</v>
      </c>
      <c r="J65" s="80">
        <f>I65</f>
        <v>66357</v>
      </c>
      <c r="K65" s="80">
        <f t="shared" ref="K65:N65" si="21">J65</f>
        <v>66357</v>
      </c>
      <c r="L65" s="80">
        <f t="shared" si="21"/>
        <v>66357</v>
      </c>
      <c r="M65" s="80">
        <f t="shared" si="21"/>
        <v>66357</v>
      </c>
      <c r="N65" s="80">
        <f t="shared" si="21"/>
        <v>66357</v>
      </c>
    </row>
    <row r="66" spans="2:15" s="33" customFormat="1" hidden="1" outlineLevel="1" x14ac:dyDescent="0.3">
      <c r="B66" s="71" t="s">
        <v>111</v>
      </c>
      <c r="G66" s="80">
        <v>95034</v>
      </c>
      <c r="H66" s="80">
        <v>93428</v>
      </c>
      <c r="I66" s="80">
        <v>91739</v>
      </c>
      <c r="J66" s="80">
        <f ca="1">Schedule!J36</f>
        <v>91669.662759734172</v>
      </c>
      <c r="K66" s="80">
        <f ca="1">Schedule!K36</f>
        <v>91205.684063410474</v>
      </c>
      <c r="L66" s="80">
        <f ca="1">Schedule!L36</f>
        <v>90708.534360194957</v>
      </c>
      <c r="M66" s="80">
        <f ca="1">Schedule!M36</f>
        <v>90049.051323340158</v>
      </c>
      <c r="N66" s="80">
        <f ca="1">Schedule!N36</f>
        <v>89134.020348840291</v>
      </c>
    </row>
    <row r="67" spans="2:15" s="33" customFormat="1" hidden="1" outlineLevel="1" x14ac:dyDescent="0.3">
      <c r="B67" s="71" t="s">
        <v>112</v>
      </c>
      <c r="G67" s="80">
        <v>2337</v>
      </c>
      <c r="H67" s="80">
        <v>1702</v>
      </c>
      <c r="I67" s="80">
        <v>1066</v>
      </c>
      <c r="J67" s="80">
        <f>I67</f>
        <v>1066</v>
      </c>
      <c r="K67" s="80">
        <f t="shared" ref="K67:N67" si="22">J67</f>
        <v>1066</v>
      </c>
      <c r="L67" s="80">
        <f t="shared" si="22"/>
        <v>1066</v>
      </c>
      <c r="M67" s="80">
        <f t="shared" si="22"/>
        <v>1066</v>
      </c>
      <c r="N67" s="80">
        <f t="shared" si="22"/>
        <v>1066</v>
      </c>
    </row>
    <row r="68" spans="2:15" s="33" customFormat="1" hidden="1" outlineLevel="1" x14ac:dyDescent="0.3">
      <c r="B68" s="71" t="s">
        <v>113</v>
      </c>
      <c r="G68" s="80">
        <v>50876</v>
      </c>
      <c r="H68" s="80">
        <v>43343</v>
      </c>
      <c r="I68" s="80">
        <v>54764</v>
      </c>
      <c r="J68" s="80">
        <f ca="1">Schedule!J79</f>
        <v>49405.293108190395</v>
      </c>
      <c r="K68" s="80">
        <f ca="1">Schedule!K79</f>
        <v>50010.279837317503</v>
      </c>
      <c r="L68" s="80">
        <f ca="1">Schedule!L79</f>
        <v>54300.913626419155</v>
      </c>
      <c r="M68" s="80">
        <f ca="1">Schedule!M79</f>
        <v>55181.588892050502</v>
      </c>
      <c r="N68" s="80">
        <f ca="1">Schedule!N79</f>
        <v>58046.990667891987</v>
      </c>
    </row>
    <row r="69" spans="2:15" s="33" customFormat="1" collapsed="1" x14ac:dyDescent="0.3">
      <c r="B69" s="75" t="s">
        <v>114</v>
      </c>
      <c r="G69" s="81">
        <f t="shared" ref="G69:H69" si="23">SUM(G62:G68)+G61</f>
        <v>498335</v>
      </c>
      <c r="H69" s="81">
        <f t="shared" si="23"/>
        <v>464818</v>
      </c>
      <c r="I69" s="81">
        <f>SUM(I62:I68)+I61</f>
        <v>496274</v>
      </c>
      <c r="J69" s="81">
        <f ca="1">SUM(J62:J68)+J61</f>
        <v>485501.93431308906</v>
      </c>
      <c r="K69" s="81">
        <f t="shared" ref="K69:N69" ca="1" si="24">SUM(K62:K68)+K61</f>
        <v>487399.38891660614</v>
      </c>
      <c r="L69" s="81">
        <f t="shared" ca="1" si="24"/>
        <v>489890.89748985058</v>
      </c>
      <c r="M69" s="81">
        <f t="shared" ca="1" si="24"/>
        <v>496056.15679845033</v>
      </c>
      <c r="N69" s="81">
        <f t="shared" ca="1" si="24"/>
        <v>502724.14224615379</v>
      </c>
    </row>
    <row r="70" spans="2:15" s="33" customFormat="1" x14ac:dyDescent="0.3">
      <c r="G70" s="80"/>
      <c r="H70" s="80"/>
      <c r="I70" s="80"/>
      <c r="J70" s="80"/>
      <c r="K70" s="80"/>
      <c r="L70" s="80"/>
      <c r="M70" s="80"/>
      <c r="N70" s="80"/>
    </row>
    <row r="71" spans="2:15" s="33" customFormat="1" x14ac:dyDescent="0.3">
      <c r="B71" s="74" t="s">
        <v>115</v>
      </c>
      <c r="G71" s="80"/>
      <c r="H71" s="80"/>
      <c r="I71" s="80"/>
      <c r="J71" s="80"/>
      <c r="K71" s="80"/>
      <c r="L71" s="80"/>
      <c r="M71" s="80"/>
      <c r="N71" s="80"/>
    </row>
    <row r="72" spans="2:15" s="33" customFormat="1" hidden="1" outlineLevel="1" x14ac:dyDescent="0.3">
      <c r="B72" s="75" t="s">
        <v>116</v>
      </c>
      <c r="G72" s="80"/>
      <c r="H72" s="80"/>
      <c r="I72" s="80"/>
      <c r="J72" s="80"/>
      <c r="K72" s="80"/>
      <c r="L72" s="80"/>
      <c r="M72" s="80"/>
      <c r="N72" s="80"/>
    </row>
    <row r="73" spans="2:15" s="33" customFormat="1" hidden="1" outlineLevel="1" x14ac:dyDescent="0.3">
      <c r="B73" s="71" t="s">
        <v>117</v>
      </c>
      <c r="G73" s="80">
        <v>1683</v>
      </c>
      <c r="H73" s="80">
        <v>1383</v>
      </c>
      <c r="I73" s="80">
        <v>1284</v>
      </c>
      <c r="J73" s="80">
        <f>I73</f>
        <v>1284</v>
      </c>
      <c r="K73" s="80">
        <f t="shared" ref="K73:N73" si="25">J73</f>
        <v>1284</v>
      </c>
      <c r="L73" s="80">
        <f t="shared" si="25"/>
        <v>1284</v>
      </c>
      <c r="M73" s="80">
        <f t="shared" si="25"/>
        <v>1284</v>
      </c>
      <c r="N73" s="80">
        <f t="shared" si="25"/>
        <v>1284</v>
      </c>
    </row>
    <row r="74" spans="2:15" s="33" customFormat="1" hidden="1" outlineLevel="1" x14ac:dyDescent="0.3">
      <c r="B74" s="71" t="s">
        <v>118</v>
      </c>
      <c r="G74" s="80">
        <v>15310</v>
      </c>
      <c r="H74" s="80">
        <v>14779</v>
      </c>
      <c r="I74" s="80">
        <v>15487</v>
      </c>
      <c r="J74" s="80">
        <f>I74</f>
        <v>15487</v>
      </c>
      <c r="K74" s="80">
        <f t="shared" ref="K74:N74" si="26">J74</f>
        <v>15487</v>
      </c>
      <c r="L74" s="80">
        <f t="shared" si="26"/>
        <v>15487</v>
      </c>
      <c r="M74" s="80">
        <f t="shared" si="26"/>
        <v>15487</v>
      </c>
      <c r="N74" s="80">
        <f t="shared" si="26"/>
        <v>15487</v>
      </c>
    </row>
    <row r="75" spans="2:15" s="33" customFormat="1" hidden="1" outlineLevel="1" x14ac:dyDescent="0.3">
      <c r="B75" s="71" t="s">
        <v>119</v>
      </c>
      <c r="G75" s="80">
        <v>19896</v>
      </c>
      <c r="H75" s="80">
        <v>24070</v>
      </c>
      <c r="I75" s="80">
        <v>19985</v>
      </c>
      <c r="J75" s="80">
        <f ca="1">Schedule!J66</f>
        <v>19751.883471003592</v>
      </c>
      <c r="K75" s="80">
        <f ca="1">Schedule!K66</f>
        <v>20460.493854916247</v>
      </c>
      <c r="L75" s="80">
        <f ca="1">Schedule!L66</f>
        <v>21801.643899731873</v>
      </c>
      <c r="M75" s="80">
        <f ca="1">Schedule!M66</f>
        <v>23117.19542596925</v>
      </c>
      <c r="N75" s="80">
        <f ca="1">Schedule!N66</f>
        <v>24848.253717159612</v>
      </c>
      <c r="O75" s="80"/>
    </row>
    <row r="76" spans="2:15" s="33" customFormat="1" hidden="1" outlineLevel="1" x14ac:dyDescent="0.3">
      <c r="B76" s="71" t="s">
        <v>120</v>
      </c>
      <c r="G76" s="80">
        <v>56762</v>
      </c>
      <c r="H76" s="80">
        <v>63068</v>
      </c>
      <c r="I76" s="80">
        <v>58842</v>
      </c>
      <c r="J76" s="80">
        <f ca="1">Schedule!J75</f>
        <v>59170.652944818357</v>
      </c>
      <c r="K76" s="80">
        <f ca="1">Schedule!K75</f>
        <v>61309.131334743754</v>
      </c>
      <c r="L76" s="80">
        <f ca="1">Schedule!L75</f>
        <v>63123.887618097222</v>
      </c>
      <c r="M76" s="80">
        <f ca="1">Schedule!M75</f>
        <v>65935.797981863609</v>
      </c>
      <c r="N76" s="80">
        <f ca="1">Schedule!N75</f>
        <v>69306.650075824669</v>
      </c>
    </row>
    <row r="77" spans="2:15" s="33" customFormat="1" hidden="1" outlineLevel="1" x14ac:dyDescent="0.3">
      <c r="B77" s="73" t="s">
        <v>121</v>
      </c>
      <c r="G77" s="81">
        <f t="shared" ref="G77:H77" si="27">SUM(G73:G76)</f>
        <v>93651</v>
      </c>
      <c r="H77" s="81">
        <f t="shared" si="27"/>
        <v>103300</v>
      </c>
      <c r="I77" s="81">
        <f>SUM(I73:I76)</f>
        <v>95598</v>
      </c>
      <c r="J77" s="81">
        <f ca="1">SUM(J73:J76)</f>
        <v>95693.536415821945</v>
      </c>
      <c r="K77" s="81">
        <f t="shared" ref="K77:N77" ca="1" si="28">SUM(K73:K76)</f>
        <v>98540.625189660001</v>
      </c>
      <c r="L77" s="81">
        <f t="shared" ca="1" si="28"/>
        <v>101696.53151782911</v>
      </c>
      <c r="M77" s="81">
        <f t="shared" ca="1" si="28"/>
        <v>105823.99340783287</v>
      </c>
      <c r="N77" s="81">
        <f t="shared" ca="1" si="28"/>
        <v>110925.90379298429</v>
      </c>
    </row>
    <row r="78" spans="2:15" s="33" customFormat="1" hidden="1" outlineLevel="1" x14ac:dyDescent="0.3">
      <c r="B78" s="71" t="s">
        <v>257</v>
      </c>
      <c r="G78" s="80">
        <v>0</v>
      </c>
      <c r="H78" s="80">
        <v>0</v>
      </c>
      <c r="I78" s="80">
        <v>0</v>
      </c>
      <c r="J78" s="80">
        <f ca="1">Schedule!J103</f>
        <v>0</v>
      </c>
      <c r="K78" s="80">
        <f ca="1">Schedule!K103</f>
        <v>0</v>
      </c>
      <c r="L78" s="80">
        <f ca="1">Schedule!L103</f>
        <v>0</v>
      </c>
      <c r="M78" s="80">
        <f ca="1">Schedule!M103</f>
        <v>0</v>
      </c>
      <c r="N78" s="80">
        <f ca="1">Schedule!N103</f>
        <v>0</v>
      </c>
    </row>
    <row r="79" spans="2:15" s="33" customFormat="1" hidden="1" outlineLevel="1" x14ac:dyDescent="0.3">
      <c r="B79" s="71" t="s">
        <v>122</v>
      </c>
      <c r="G79" s="80">
        <v>261500</v>
      </c>
      <c r="H79" s="80">
        <v>255500</v>
      </c>
      <c r="I79" s="80">
        <v>261300</v>
      </c>
      <c r="J79" s="80">
        <f>Schedule!J87</f>
        <v>211300</v>
      </c>
      <c r="K79" s="80">
        <f>Schedule!K87</f>
        <v>171300</v>
      </c>
      <c r="L79" s="80">
        <f>Schedule!L87</f>
        <v>131300</v>
      </c>
      <c r="M79" s="80">
        <f>Schedule!M87</f>
        <v>91300</v>
      </c>
      <c r="N79" s="80">
        <f>Schedule!N87</f>
        <v>51300</v>
      </c>
    </row>
    <row r="80" spans="2:15" s="33" customFormat="1" hidden="1" outlineLevel="1" x14ac:dyDescent="0.3">
      <c r="B80" s="71" t="s">
        <v>123</v>
      </c>
      <c r="G80" s="80">
        <v>9555</v>
      </c>
      <c r="H80" s="80">
        <v>9150</v>
      </c>
      <c r="I80" s="80">
        <v>9284</v>
      </c>
      <c r="J80" s="80">
        <f>I80</f>
        <v>9284</v>
      </c>
      <c r="K80" s="80">
        <f t="shared" ref="K80:N80" si="29">J80</f>
        <v>9284</v>
      </c>
      <c r="L80" s="80">
        <f t="shared" si="29"/>
        <v>9284</v>
      </c>
      <c r="M80" s="80">
        <f t="shared" si="29"/>
        <v>9284</v>
      </c>
      <c r="N80" s="80">
        <f t="shared" si="29"/>
        <v>9284</v>
      </c>
    </row>
    <row r="81" spans="2:15" s="33" customFormat="1" hidden="1" outlineLevel="1" x14ac:dyDescent="0.3">
      <c r="B81" s="71" t="s">
        <v>124</v>
      </c>
      <c r="G81" s="80">
        <v>123404</v>
      </c>
      <c r="H81" s="80">
        <v>114451</v>
      </c>
      <c r="I81" s="80">
        <v>120841</v>
      </c>
      <c r="J81" s="80">
        <f>I81</f>
        <v>120841</v>
      </c>
      <c r="K81" s="80">
        <f t="shared" ref="K81:N81" si="30">J81</f>
        <v>120841</v>
      </c>
      <c r="L81" s="80">
        <f t="shared" si="30"/>
        <v>120841</v>
      </c>
      <c r="M81" s="80">
        <f t="shared" si="30"/>
        <v>120841</v>
      </c>
      <c r="N81" s="80">
        <f t="shared" si="30"/>
        <v>120841</v>
      </c>
    </row>
    <row r="82" spans="2:15" s="33" customFormat="1" hidden="1" outlineLevel="1" x14ac:dyDescent="0.3">
      <c r="B82" s="71" t="s">
        <v>125</v>
      </c>
      <c r="G82" s="80">
        <v>7324</v>
      </c>
      <c r="H82" s="80">
        <v>6929</v>
      </c>
      <c r="I82" s="80">
        <v>5866</v>
      </c>
      <c r="J82" s="80">
        <f>I82</f>
        <v>5866</v>
      </c>
      <c r="K82" s="80">
        <f t="shared" ref="K82:N82" si="31">J82</f>
        <v>5866</v>
      </c>
      <c r="L82" s="80">
        <f t="shared" si="31"/>
        <v>5866</v>
      </c>
      <c r="M82" s="80">
        <f t="shared" si="31"/>
        <v>5866</v>
      </c>
      <c r="N82" s="80">
        <f t="shared" si="31"/>
        <v>5866</v>
      </c>
    </row>
    <row r="83" spans="2:15" s="33" customFormat="1" hidden="1" outlineLevel="1" x14ac:dyDescent="0.3">
      <c r="B83" s="71" t="s">
        <v>126</v>
      </c>
      <c r="G83" s="80">
        <v>7419</v>
      </c>
      <c r="H83" s="80">
        <v>6582</v>
      </c>
      <c r="I83" s="80">
        <v>9964</v>
      </c>
      <c r="J83" s="80">
        <f>I83</f>
        <v>9964</v>
      </c>
      <c r="K83" s="80">
        <f t="shared" ref="K83:N83" si="32">J83</f>
        <v>9964</v>
      </c>
      <c r="L83" s="80">
        <f t="shared" si="32"/>
        <v>9964</v>
      </c>
      <c r="M83" s="80">
        <f t="shared" si="32"/>
        <v>9964</v>
      </c>
      <c r="N83" s="80">
        <f t="shared" si="32"/>
        <v>9964</v>
      </c>
    </row>
    <row r="84" spans="2:15" s="33" customFormat="1" hidden="1" outlineLevel="1" x14ac:dyDescent="0.3">
      <c r="B84" s="71" t="s">
        <v>127</v>
      </c>
      <c r="G84" s="80">
        <v>32598</v>
      </c>
      <c r="H84" s="80">
        <v>31592</v>
      </c>
      <c r="I84" s="80">
        <v>27446</v>
      </c>
      <c r="J84" s="80">
        <f ca="1">Schedule!J77</f>
        <v>30342.844279391982</v>
      </c>
      <c r="K84" s="80">
        <f ca="1">Schedule!K77</f>
        <v>30256.023810185077</v>
      </c>
      <c r="L84" s="80">
        <f ca="1">Schedule!L77</f>
        <v>30989.279387796785</v>
      </c>
      <c r="M84" s="80">
        <f ca="1">Schedule!M77</f>
        <v>32904.354978752177</v>
      </c>
      <c r="N84" s="80">
        <f ca="1">Schedule!N77</f>
        <v>34271.252670147485</v>
      </c>
    </row>
    <row r="85" spans="2:15" s="33" customFormat="1" hidden="1" outlineLevel="1" x14ac:dyDescent="0.3">
      <c r="B85" s="75" t="s">
        <v>128</v>
      </c>
      <c r="G85" s="81">
        <f>SUM(G78:G84)</f>
        <v>441800</v>
      </c>
      <c r="H85" s="81">
        <f t="shared" ref="H85:I85" si="33">SUM(H78:H84)</f>
        <v>424204</v>
      </c>
      <c r="I85" s="81">
        <f t="shared" si="33"/>
        <v>434701</v>
      </c>
      <c r="J85" s="81">
        <f ca="1">SUM(J78:J84)</f>
        <v>387597.84427939198</v>
      </c>
      <c r="K85" s="81">
        <f t="shared" ref="K85:N85" ca="1" si="34">SUM(K78:K84)</f>
        <v>347511.02381018508</v>
      </c>
      <c r="L85" s="81">
        <f t="shared" ca="1" si="34"/>
        <v>308244.27938779676</v>
      </c>
      <c r="M85" s="81">
        <f t="shared" ca="1" si="34"/>
        <v>270159.35497875221</v>
      </c>
      <c r="N85" s="81">
        <f t="shared" ca="1" si="34"/>
        <v>231526.25267014749</v>
      </c>
    </row>
    <row r="86" spans="2:15" s="33" customFormat="1" collapsed="1" x14ac:dyDescent="0.3">
      <c r="B86" s="75" t="s">
        <v>129</v>
      </c>
      <c r="G86" s="81">
        <f t="shared" ref="G86:H86" si="35">G85+G77</f>
        <v>535451</v>
      </c>
      <c r="H86" s="81">
        <f t="shared" si="35"/>
        <v>527504</v>
      </c>
      <c r="I86" s="81">
        <f>I85+I77</f>
        <v>530299</v>
      </c>
      <c r="J86" s="81">
        <f ca="1">J77+J85</f>
        <v>483291.38069521391</v>
      </c>
      <c r="K86" s="81">
        <f t="shared" ref="K86:N86" ca="1" si="36">K77+K85</f>
        <v>446051.64899984509</v>
      </c>
      <c r="L86" s="81">
        <f t="shared" ca="1" si="36"/>
        <v>409940.81090562587</v>
      </c>
      <c r="M86" s="81">
        <f t="shared" ca="1" si="36"/>
        <v>375983.34838658507</v>
      </c>
      <c r="N86" s="81">
        <f t="shared" ca="1" si="36"/>
        <v>342452.15646313177</v>
      </c>
    </row>
    <row r="87" spans="2:15" s="33" customFormat="1" x14ac:dyDescent="0.3">
      <c r="G87" s="80"/>
      <c r="H87" s="80"/>
      <c r="I87" s="80"/>
    </row>
    <row r="88" spans="2:15" s="33" customFormat="1" x14ac:dyDescent="0.3">
      <c r="B88" s="74" t="s">
        <v>130</v>
      </c>
      <c r="G88" s="80"/>
      <c r="H88" s="80"/>
      <c r="I88" s="80"/>
    </row>
    <row r="89" spans="2:15" s="33" customFormat="1" hidden="1" outlineLevel="1" x14ac:dyDescent="0.3">
      <c r="B89" s="71" t="s">
        <v>138</v>
      </c>
      <c r="G89" s="80">
        <v>650</v>
      </c>
      <c r="H89" s="80">
        <v>529</v>
      </c>
      <c r="I89" s="80">
        <v>513</v>
      </c>
      <c r="J89" s="80">
        <f>I89</f>
        <v>513</v>
      </c>
      <c r="K89" s="80">
        <f t="shared" ref="K89:N89" si="37">J89</f>
        <v>513</v>
      </c>
      <c r="L89" s="80">
        <f t="shared" si="37"/>
        <v>513</v>
      </c>
      <c r="M89" s="80">
        <f t="shared" si="37"/>
        <v>513</v>
      </c>
      <c r="N89" s="80">
        <f t="shared" si="37"/>
        <v>513</v>
      </c>
    </row>
    <row r="90" spans="2:15" s="33" customFormat="1" hidden="1" outlineLevel="1" x14ac:dyDescent="0.3">
      <c r="B90" s="71" t="s">
        <v>131</v>
      </c>
      <c r="G90" s="80">
        <v>142136</v>
      </c>
      <c r="H90" s="80">
        <v>6688</v>
      </c>
      <c r="I90" s="80">
        <v>0</v>
      </c>
      <c r="J90" s="80">
        <f ca="1">Schedule!J117</f>
        <v>7699.8803616067371</v>
      </c>
      <c r="K90" s="80">
        <f ca="1">Schedule!K117</f>
        <v>17377.666540002443</v>
      </c>
      <c r="L90" s="80">
        <f ca="1">Schedule!L117</f>
        <v>27193.66807090435</v>
      </c>
      <c r="M90" s="80">
        <f ca="1">Schedule!M117</f>
        <v>36741.838590601939</v>
      </c>
      <c r="N90" s="80">
        <f ca="1">Schedule!N117</f>
        <v>46645.095224432633</v>
      </c>
    </row>
    <row r="91" spans="2:15" s="33" customFormat="1" hidden="1" outlineLevel="1" x14ac:dyDescent="0.3">
      <c r="B91" s="71" t="s">
        <v>132</v>
      </c>
      <c r="G91" s="80">
        <v>-41729</v>
      </c>
      <c r="H91" s="80">
        <v>-21784</v>
      </c>
      <c r="I91" s="80">
        <v>-2499</v>
      </c>
      <c r="J91" s="80">
        <f ca="1">Schedule!J113</f>
        <v>26036.67325626835</v>
      </c>
      <c r="K91" s="80">
        <f ca="1">Schedule!K113</f>
        <v>55496.073376758679</v>
      </c>
      <c r="L91" s="80">
        <f ca="1">Schedule!L113</f>
        <v>84282.418513320445</v>
      </c>
      <c r="M91" s="80">
        <f ca="1">Schedule!M113</f>
        <v>114856.96982126341</v>
      </c>
      <c r="N91" s="80">
        <f ca="1">Schedule!N113</f>
        <v>145152.89055858954</v>
      </c>
    </row>
    <row r="92" spans="2:15" s="33" customFormat="1" hidden="1" outlineLevel="1" x14ac:dyDescent="0.3">
      <c r="B92" s="71" t="s">
        <v>133</v>
      </c>
      <c r="G92" s="80">
        <v>-42697</v>
      </c>
      <c r="H92" s="80">
        <v>-41659</v>
      </c>
      <c r="I92" s="80">
        <v>-32039</v>
      </c>
      <c r="J92" s="80">
        <f>I92</f>
        <v>-32039</v>
      </c>
      <c r="K92" s="80">
        <f t="shared" ref="K92:N92" si="38">J92</f>
        <v>-32039</v>
      </c>
      <c r="L92" s="80">
        <f t="shared" si="38"/>
        <v>-32039</v>
      </c>
      <c r="M92" s="80">
        <f t="shared" si="38"/>
        <v>-32039</v>
      </c>
      <c r="N92" s="80">
        <f t="shared" si="38"/>
        <v>-32039</v>
      </c>
    </row>
    <row r="93" spans="2:15" s="33" customFormat="1" hidden="1" outlineLevel="1" x14ac:dyDescent="0.3">
      <c r="B93" s="71" t="s">
        <v>139</v>
      </c>
      <c r="G93" s="80">
        <v>-95476</v>
      </c>
      <c r="H93" s="80">
        <v>-6460</v>
      </c>
      <c r="I93" s="80">
        <v>0</v>
      </c>
      <c r="J93" s="80">
        <f>I93</f>
        <v>0</v>
      </c>
      <c r="K93" s="80">
        <f t="shared" ref="K93:N93" si="39">J93</f>
        <v>0</v>
      </c>
      <c r="L93" s="80">
        <f t="shared" si="39"/>
        <v>0</v>
      </c>
      <c r="M93" s="80">
        <f t="shared" si="39"/>
        <v>0</v>
      </c>
      <c r="N93" s="80">
        <f t="shared" si="39"/>
        <v>0</v>
      </c>
    </row>
    <row r="94" spans="2:15" s="33" customFormat="1" collapsed="1" x14ac:dyDescent="0.3">
      <c r="B94" s="73" t="s">
        <v>134</v>
      </c>
      <c r="G94" s="81">
        <f t="shared" ref="G94:H94" si="40">SUM(G89:G93)</f>
        <v>-37116</v>
      </c>
      <c r="H94" s="81">
        <f t="shared" si="40"/>
        <v>-62686</v>
      </c>
      <c r="I94" s="81">
        <f>SUM(I89:I93)</f>
        <v>-34025</v>
      </c>
      <c r="J94" s="81">
        <f ca="1">SUM(J89:J93)</f>
        <v>2210.5536178750917</v>
      </c>
      <c r="K94" s="81">
        <f t="shared" ref="K94:N94" ca="1" si="41">SUM(K89:K93)</f>
        <v>41347.739916761115</v>
      </c>
      <c r="L94" s="81">
        <f t="shared" ca="1" si="41"/>
        <v>79950.086584224802</v>
      </c>
      <c r="M94" s="81">
        <f t="shared" ca="1" si="41"/>
        <v>120072.80841186535</v>
      </c>
      <c r="N94" s="81">
        <f t="shared" ca="1" si="41"/>
        <v>160271.98578302219</v>
      </c>
    </row>
    <row r="95" spans="2:15" s="33" customFormat="1" x14ac:dyDescent="0.3">
      <c r="B95" s="75" t="s">
        <v>135</v>
      </c>
      <c r="G95" s="81">
        <f t="shared" ref="G95:H95" si="42">G86+G94</f>
        <v>498335</v>
      </c>
      <c r="H95" s="81">
        <f t="shared" si="42"/>
        <v>464818</v>
      </c>
      <c r="I95" s="81">
        <f>I86+I94</f>
        <v>496274</v>
      </c>
      <c r="J95" s="81">
        <f ca="1">J86+J94</f>
        <v>485501.934313089</v>
      </c>
      <c r="K95" s="81">
        <f t="shared" ref="K95:N95" ca="1" si="43">K86+K94</f>
        <v>487399.3889166062</v>
      </c>
      <c r="L95" s="81">
        <f t="shared" ca="1" si="43"/>
        <v>489890.89748985064</v>
      </c>
      <c r="M95" s="81">
        <f t="shared" ca="1" si="43"/>
        <v>496056.15679845039</v>
      </c>
      <c r="N95" s="81">
        <f t="shared" ca="1" si="43"/>
        <v>502724.14224615396</v>
      </c>
    </row>
    <row r="96" spans="2:15" s="33" customFormat="1" ht="14.4" x14ac:dyDescent="0.3">
      <c r="H96" s="79"/>
      <c r="J96" s="96"/>
      <c r="K96" s="96"/>
      <c r="L96" s="96"/>
      <c r="M96" s="96"/>
      <c r="N96" s="96"/>
      <c r="O96" s="96"/>
    </row>
    <row r="97" spans="1:19" s="33" customFormat="1" ht="14.4" x14ac:dyDescent="0.3">
      <c r="C97" s="113" t="s">
        <v>195</v>
      </c>
      <c r="D97" s="113"/>
      <c r="E97" s="113"/>
      <c r="F97" s="113"/>
      <c r="G97" s="113" t="b">
        <f>IF(G95=G69,TRUE,G69-G95)</f>
        <v>1</v>
      </c>
      <c r="H97" s="113" t="b">
        <f t="shared" ref="H97:N97" si="44">IF(H95=H69,TRUE,H69-H95)</f>
        <v>1</v>
      </c>
      <c r="I97" s="113" t="b">
        <f t="shared" si="44"/>
        <v>1</v>
      </c>
      <c r="J97" s="119" t="b">
        <f t="shared" ca="1" si="44"/>
        <v>1</v>
      </c>
      <c r="K97" s="119" t="b">
        <f t="shared" ca="1" si="44"/>
        <v>1</v>
      </c>
      <c r="L97" s="119" t="b">
        <f t="shared" ca="1" si="44"/>
        <v>1</v>
      </c>
      <c r="M97" s="119" t="b">
        <f t="shared" ca="1" si="44"/>
        <v>1</v>
      </c>
      <c r="N97" s="119" t="b">
        <f t="shared" ca="1" si="44"/>
        <v>1</v>
      </c>
      <c r="O97" s="96"/>
    </row>
    <row r="98" spans="1:19" s="33" customFormat="1" x14ac:dyDescent="0.3"/>
    <row r="99" spans="1:19" ht="14.4" x14ac:dyDescent="0.3">
      <c r="A99" s="14" t="s">
        <v>34</v>
      </c>
      <c r="B99" s="32" t="s">
        <v>238</v>
      </c>
      <c r="C99" s="30"/>
      <c r="D99" s="30"/>
      <c r="E99" s="30"/>
      <c r="F99" s="30"/>
      <c r="G99" s="82">
        <v>44920</v>
      </c>
      <c r="H99" s="82">
        <v>45285</v>
      </c>
      <c r="I99" s="82">
        <v>45651</v>
      </c>
      <c r="J99" s="83">
        <v>46016</v>
      </c>
      <c r="K99" s="83">
        <v>46381</v>
      </c>
      <c r="L99" s="83">
        <v>46746</v>
      </c>
      <c r="M99" s="83">
        <v>47112</v>
      </c>
      <c r="N99" s="83">
        <v>47477</v>
      </c>
      <c r="O99" s="30"/>
      <c r="P99" s="30"/>
      <c r="Q99" s="30"/>
      <c r="R99" s="30"/>
      <c r="S99" s="30"/>
    </row>
    <row r="101" spans="1:19" x14ac:dyDescent="0.3">
      <c r="B101" s="10" t="s">
        <v>91</v>
      </c>
      <c r="G101" s="117"/>
      <c r="H101" s="117"/>
      <c r="I101" s="117"/>
      <c r="J101" s="38">
        <f ca="1">J41</f>
        <v>30035.67325626835</v>
      </c>
      <c r="K101" s="38">
        <f t="shared" ref="K101:N101" ca="1" si="45">K41</f>
        <v>30959.400120490329</v>
      </c>
      <c r="L101" s="38">
        <f t="shared" ca="1" si="45"/>
        <v>30286.345136561773</v>
      </c>
      <c r="M101" s="38">
        <f t="shared" ca="1" si="45"/>
        <v>32074.551307942962</v>
      </c>
      <c r="N101" s="38">
        <f t="shared" ca="1" si="45"/>
        <v>31795.920737326123</v>
      </c>
    </row>
    <row r="102" spans="1:19" x14ac:dyDescent="0.3">
      <c r="B102" s="31" t="s">
        <v>239</v>
      </c>
      <c r="G102" s="117"/>
      <c r="H102" s="117"/>
      <c r="I102" s="117"/>
    </row>
    <row r="103" spans="1:19" x14ac:dyDescent="0.3">
      <c r="B103" s="10" t="s">
        <v>240</v>
      </c>
      <c r="G103" s="117"/>
      <c r="H103" s="117"/>
      <c r="I103" s="117"/>
      <c r="J103" s="38">
        <f ca="1">J31</f>
        <v>13724.576657638916</v>
      </c>
      <c r="K103" s="38">
        <f t="shared" ref="K103:N103" ca="1" si="46">K31</f>
        <v>13914.684419788182</v>
      </c>
      <c r="L103" s="38">
        <f t="shared" ca="1" si="46"/>
        <v>14602.521047936578</v>
      </c>
      <c r="M103" s="38">
        <f t="shared" ca="1" si="46"/>
        <v>15365.381207057684</v>
      </c>
      <c r="N103" s="38">
        <f t="shared" ca="1" si="46"/>
        <v>16163.077366366026</v>
      </c>
    </row>
    <row r="104" spans="1:19" x14ac:dyDescent="0.3">
      <c r="B104" s="10" t="s">
        <v>249</v>
      </c>
      <c r="G104" s="117"/>
      <c r="H104" s="117"/>
      <c r="I104" s="117"/>
      <c r="J104" s="92">
        <f ca="1">Schedule!J116</f>
        <v>7699.8803616067371</v>
      </c>
      <c r="K104" s="92">
        <f ca="1">Schedule!K116</f>
        <v>9677.7861783957069</v>
      </c>
      <c r="L104" s="92">
        <f ca="1">Schedule!L116</f>
        <v>9816.0015309019054</v>
      </c>
      <c r="M104" s="92">
        <f ca="1">Schedule!M116</f>
        <v>9548.1705196975872</v>
      </c>
      <c r="N104" s="92">
        <f ca="1">Schedule!N116</f>
        <v>9903.2566338306951</v>
      </c>
    </row>
    <row r="105" spans="1:19" x14ac:dyDescent="0.3">
      <c r="B105" s="10" t="s">
        <v>253</v>
      </c>
      <c r="G105" s="117"/>
      <c r="H105" s="117"/>
      <c r="I105" s="117"/>
      <c r="J105" s="92">
        <f ca="1">J37</f>
        <v>16021.14</v>
      </c>
      <c r="K105" s="92">
        <f t="shared" ref="K105:N105" ca="1" si="47">K37</f>
        <v>12912.75</v>
      </c>
      <c r="L105" s="92">
        <f t="shared" ca="1" si="47"/>
        <v>9910.15</v>
      </c>
      <c r="M105" s="92">
        <f t="shared" ca="1" si="47"/>
        <v>7234.5</v>
      </c>
      <c r="N105" s="92">
        <f t="shared" ca="1" si="47"/>
        <v>4563.2</v>
      </c>
    </row>
    <row r="106" spans="1:19" x14ac:dyDescent="0.3">
      <c r="B106" s="31" t="s">
        <v>250</v>
      </c>
      <c r="G106" s="117"/>
      <c r="H106" s="117"/>
      <c r="I106" s="117"/>
    </row>
    <row r="107" spans="1:19" x14ac:dyDescent="0.3">
      <c r="B107" s="37" t="s">
        <v>251</v>
      </c>
      <c r="G107" s="117"/>
      <c r="H107" s="117"/>
      <c r="I107" s="117"/>
      <c r="J107" s="38">
        <f ca="1">I57-J57</f>
        <v>-127.922818516181</v>
      </c>
      <c r="K107" s="38">
        <f t="shared" ref="K107:N107" ca="1" si="48">J57-K57</f>
        <v>-517.03395763348817</v>
      </c>
      <c r="L107" s="38">
        <f t="shared" ca="1" si="48"/>
        <v>-998.46364193911722</v>
      </c>
      <c r="M107" s="38">
        <f t="shared" ca="1" si="48"/>
        <v>-1115.0696796574557</v>
      </c>
      <c r="N107" s="38">
        <f t="shared" ca="1" si="48"/>
        <v>-1328.4447967300839</v>
      </c>
    </row>
    <row r="108" spans="1:19" x14ac:dyDescent="0.3">
      <c r="B108" s="37" t="s">
        <v>105</v>
      </c>
      <c r="G108" s="117"/>
      <c r="H108" s="117"/>
      <c r="I108" s="117"/>
      <c r="J108" s="38">
        <f ca="1">I58-J58</f>
        <v>20.378012317073853</v>
      </c>
      <c r="K108" s="38">
        <f t="shared" ref="K108:N108" ca="1" si="49">J58-K58</f>
        <v>-61.943574715807245</v>
      </c>
      <c r="L108" s="38">
        <f t="shared" ca="1" si="49"/>
        <v>-117.237384452985</v>
      </c>
      <c r="M108" s="38">
        <f t="shared" ca="1" si="49"/>
        <v>-114.99967557351465</v>
      </c>
      <c r="N108" s="38">
        <f t="shared" ca="1" si="49"/>
        <v>-151.32143281008621</v>
      </c>
    </row>
    <row r="109" spans="1:19" x14ac:dyDescent="0.3">
      <c r="B109" s="71" t="s">
        <v>107</v>
      </c>
      <c r="G109" s="117"/>
      <c r="H109" s="117"/>
      <c r="I109" s="117"/>
      <c r="J109" s="38">
        <f ca="1">I60-J60</f>
        <v>-1293.5907765828488</v>
      </c>
      <c r="K109" s="38">
        <f t="shared" ref="K109:N109" ca="1" si="50">J60-K60</f>
        <v>-60.362663479372713</v>
      </c>
      <c r="L109" s="38">
        <f t="shared" ca="1" si="50"/>
        <v>-171.06909897223159</v>
      </c>
      <c r="M109" s="38">
        <f t="shared" ca="1" si="50"/>
        <v>-801.28353039998001</v>
      </c>
      <c r="N109" s="38">
        <f t="shared" ca="1" si="50"/>
        <v>-547.53177022038108</v>
      </c>
    </row>
    <row r="110" spans="1:19" x14ac:dyDescent="0.3">
      <c r="B110" s="71" t="s">
        <v>119</v>
      </c>
      <c r="G110" s="117"/>
      <c r="H110" s="117"/>
      <c r="I110" s="117"/>
      <c r="J110" s="38">
        <f ca="1">J75-I75</f>
        <v>-233.11652899640831</v>
      </c>
      <c r="K110" s="38">
        <f t="shared" ref="K110:N110" ca="1" si="51">K75-J75</f>
        <v>708.61038391265538</v>
      </c>
      <c r="L110" s="38">
        <f t="shared" ca="1" si="51"/>
        <v>1341.1500448156257</v>
      </c>
      <c r="M110" s="38">
        <f t="shared" ca="1" si="51"/>
        <v>1315.5515262373774</v>
      </c>
      <c r="N110" s="38">
        <f t="shared" ca="1" si="51"/>
        <v>1731.0582911903621</v>
      </c>
    </row>
    <row r="111" spans="1:19" x14ac:dyDescent="0.3">
      <c r="B111" s="71" t="s">
        <v>120</v>
      </c>
      <c r="G111" s="117"/>
      <c r="H111" s="117"/>
      <c r="I111" s="117"/>
      <c r="J111" s="38">
        <f ca="1">J76-I76</f>
        <v>328.65294481835735</v>
      </c>
      <c r="K111" s="38">
        <f t="shared" ref="K111:N111" ca="1" si="52">K76-J76</f>
        <v>2138.4783899253962</v>
      </c>
      <c r="L111" s="38">
        <f t="shared" ca="1" si="52"/>
        <v>1814.7562833534685</v>
      </c>
      <c r="M111" s="38">
        <f t="shared" ca="1" si="52"/>
        <v>2811.9103637663866</v>
      </c>
      <c r="N111" s="38">
        <f t="shared" ca="1" si="52"/>
        <v>3370.8520939610607</v>
      </c>
    </row>
    <row r="112" spans="1:19" x14ac:dyDescent="0.3">
      <c r="B112" s="71" t="s">
        <v>127</v>
      </c>
      <c r="G112" s="117"/>
      <c r="H112" s="117"/>
      <c r="I112" s="117"/>
      <c r="J112" s="38">
        <f ca="1">J84-I84</f>
        <v>2896.8442793919821</v>
      </c>
      <c r="K112" s="38">
        <f t="shared" ref="K112:N112" ca="1" si="53">K84-J84</f>
        <v>-86.820469206904818</v>
      </c>
      <c r="L112" s="38">
        <f t="shared" ca="1" si="53"/>
        <v>733.25557761170785</v>
      </c>
      <c r="M112" s="38">
        <f t="shared" ca="1" si="53"/>
        <v>1915.0755909553918</v>
      </c>
      <c r="N112" s="38">
        <f t="shared" ca="1" si="53"/>
        <v>1366.8976913953084</v>
      </c>
    </row>
    <row r="113" spans="2:14" x14ac:dyDescent="0.3">
      <c r="B113" s="31" t="s">
        <v>252</v>
      </c>
      <c r="G113" s="117"/>
      <c r="H113" s="117"/>
      <c r="I113" s="117"/>
      <c r="J113" s="62">
        <f ca="1">SUM(J101:J112)</f>
        <v>69072.515387945983</v>
      </c>
      <c r="K113" s="62">
        <f t="shared" ref="K113:N113" ca="1" si="54">SUM(K101:K112)</f>
        <v>69585.548827476683</v>
      </c>
      <c r="L113" s="62">
        <f t="shared" ca="1" si="54"/>
        <v>67217.409495816741</v>
      </c>
      <c r="M113" s="62">
        <f t="shared" ca="1" si="54"/>
        <v>68233.787630026432</v>
      </c>
      <c r="N113" s="62">
        <f t="shared" ca="1" si="54"/>
        <v>66866.964814309031</v>
      </c>
    </row>
    <row r="114" spans="2:14" x14ac:dyDescent="0.3">
      <c r="G114" s="117"/>
      <c r="H114" s="117"/>
      <c r="I114" s="117"/>
    </row>
    <row r="115" spans="2:14" x14ac:dyDescent="0.3">
      <c r="B115" s="10" t="s">
        <v>254</v>
      </c>
      <c r="G115" s="117"/>
      <c r="H115" s="117"/>
      <c r="I115" s="117"/>
      <c r="J115" s="38">
        <f ca="1">-Schedule!J20</f>
        <v>-9094.0453175546991</v>
      </c>
      <c r="K115" s="38">
        <f ca="1">-Schedule!K20</f>
        <v>-10214.033275014261</v>
      </c>
      <c r="L115" s="38">
        <f ca="1">-Schedule!L20</f>
        <v>-11586.216890332687</v>
      </c>
      <c r="M115" s="38">
        <f ca="1">-Schedule!M20</f>
        <v>-13088.467340429854</v>
      </c>
      <c r="N115" s="38">
        <f ca="1">-Schedule!N20</f>
        <v>-14783.899417002642</v>
      </c>
    </row>
    <row r="116" spans="2:14" x14ac:dyDescent="0.3">
      <c r="B116" s="10" t="s">
        <v>201</v>
      </c>
      <c r="G116" s="117"/>
      <c r="H116" s="117"/>
      <c r="I116" s="117"/>
      <c r="J116" s="38">
        <f>-Schedule!J15</f>
        <v>4500</v>
      </c>
      <c r="K116" s="38">
        <f>-Schedule!K15</f>
        <v>3000</v>
      </c>
      <c r="L116" s="38">
        <f>-Schedule!L15</f>
        <v>2800</v>
      </c>
      <c r="M116" s="38">
        <f>-Schedule!M15</f>
        <v>1700</v>
      </c>
      <c r="N116" s="38">
        <f>-Schedule!N15</f>
        <v>1500</v>
      </c>
    </row>
    <row r="117" spans="2:14" x14ac:dyDescent="0.3">
      <c r="B117" s="10" t="s">
        <v>255</v>
      </c>
      <c r="G117" s="117"/>
      <c r="H117" s="117"/>
      <c r="I117" s="117"/>
      <c r="J117" s="38">
        <f ca="1">-Schedule!J38</f>
        <v>-1715.8284496677281</v>
      </c>
      <c r="K117" s="38">
        <f ca="1">-Schedule!K38</f>
        <v>-1441.4837420123104</v>
      </c>
      <c r="L117" s="38">
        <f ca="1">-Schedule!L38</f>
        <v>-1711.6409189006251</v>
      </c>
      <c r="M117" s="38">
        <f ca="1">-Schedule!M38</f>
        <v>-1749.1344815766652</v>
      </c>
      <c r="N117" s="38">
        <f ca="1">-Schedule!N38</f>
        <v>-1781.9831799144872</v>
      </c>
    </row>
    <row r="118" spans="2:14" x14ac:dyDescent="0.3">
      <c r="B118" s="10" t="s">
        <v>280</v>
      </c>
      <c r="G118" s="117"/>
      <c r="H118" s="117"/>
      <c r="I118" s="117"/>
      <c r="J118" s="38">
        <f ca="1">-Schedule!J52</f>
        <v>5326.005225212095</v>
      </c>
      <c r="K118" s="38">
        <f ca="1">-Schedule!K52</f>
        <v>-636.01642753455235</v>
      </c>
      <c r="L118" s="38">
        <f ca="1">-Schedule!L52</f>
        <v>-4329.7098259770355</v>
      </c>
      <c r="M118" s="38">
        <f ca="1">-Schedule!M52</f>
        <v>-917.49964655542135</v>
      </c>
      <c r="N118" s="38">
        <f ca="1">-Schedule!N52</f>
        <v>-2904.2432922995067</v>
      </c>
    </row>
    <row r="119" spans="2:14" x14ac:dyDescent="0.3">
      <c r="B119" s="31" t="s">
        <v>256</v>
      </c>
      <c r="G119" s="117"/>
      <c r="H119" s="117"/>
      <c r="I119" s="117"/>
      <c r="J119" s="62">
        <f ca="1">SUM(J115:J118)</f>
        <v>-983.86854201033202</v>
      </c>
      <c r="K119" s="62">
        <f t="shared" ref="K119:N119" ca="1" si="55">SUM(K115:K118)</f>
        <v>-9291.5334445611225</v>
      </c>
      <c r="L119" s="62">
        <f t="shared" ca="1" si="55"/>
        <v>-14827.567635210347</v>
      </c>
      <c r="M119" s="62">
        <f t="shared" ca="1" si="55"/>
        <v>-14055.101468561941</v>
      </c>
      <c r="N119" s="62">
        <f t="shared" ca="1" si="55"/>
        <v>-17970.125889216637</v>
      </c>
    </row>
    <row r="120" spans="2:14" x14ac:dyDescent="0.3">
      <c r="G120" s="117"/>
      <c r="H120" s="117"/>
      <c r="I120" s="117"/>
    </row>
    <row r="121" spans="2:14" x14ac:dyDescent="0.3">
      <c r="B121" s="10" t="s">
        <v>279</v>
      </c>
      <c r="G121" s="117"/>
      <c r="H121" s="117"/>
      <c r="I121" s="117"/>
      <c r="J121" s="38">
        <f ca="1">J78-I78</f>
        <v>0</v>
      </c>
      <c r="K121" s="38">
        <f t="shared" ref="K121:N121" ca="1" si="56">K78-J78</f>
        <v>0</v>
      </c>
      <c r="L121" s="38">
        <f t="shared" ca="1" si="56"/>
        <v>0</v>
      </c>
      <c r="M121" s="38">
        <f t="shared" ca="1" si="56"/>
        <v>0</v>
      </c>
      <c r="N121" s="38">
        <f t="shared" ca="1" si="56"/>
        <v>0</v>
      </c>
    </row>
    <row r="122" spans="2:14" x14ac:dyDescent="0.3">
      <c r="B122" s="10" t="s">
        <v>232</v>
      </c>
      <c r="G122" s="117"/>
      <c r="H122" s="117"/>
      <c r="I122" s="117"/>
      <c r="J122" s="38">
        <f>Schedule!J85</f>
        <v>0</v>
      </c>
      <c r="K122" s="38">
        <f>Schedule!K85</f>
        <v>0</v>
      </c>
      <c r="L122" s="38">
        <f>Schedule!L85</f>
        <v>0</v>
      </c>
      <c r="M122" s="38">
        <f>Schedule!M85</f>
        <v>0</v>
      </c>
      <c r="N122" s="38">
        <f>Schedule!N85</f>
        <v>0</v>
      </c>
    </row>
    <row r="123" spans="2:14" x14ac:dyDescent="0.3">
      <c r="B123" s="10" t="s">
        <v>258</v>
      </c>
      <c r="G123" s="117"/>
      <c r="H123" s="117"/>
      <c r="I123" s="117"/>
      <c r="J123" s="38">
        <f>-Schedule!J86</f>
        <v>-50000</v>
      </c>
      <c r="K123" s="38">
        <f>-Schedule!K86</f>
        <v>-40000</v>
      </c>
      <c r="L123" s="38">
        <f>-Schedule!L86</f>
        <v>-40000</v>
      </c>
      <c r="M123" s="38">
        <f>-Schedule!M86</f>
        <v>-40000</v>
      </c>
      <c r="N123" s="38">
        <f>-Schedule!N86</f>
        <v>-40000</v>
      </c>
    </row>
    <row r="124" spans="2:14" x14ac:dyDescent="0.3">
      <c r="B124" s="10" t="s">
        <v>253</v>
      </c>
      <c r="G124" s="117"/>
      <c r="H124" s="117"/>
      <c r="I124" s="117"/>
      <c r="J124" s="38">
        <f ca="1">-J37</f>
        <v>-16021.14</v>
      </c>
      <c r="K124" s="38">
        <f t="shared" ref="K124:N124" ca="1" si="57">-K37</f>
        <v>-12912.75</v>
      </c>
      <c r="L124" s="38">
        <f t="shared" ca="1" si="57"/>
        <v>-9910.15</v>
      </c>
      <c r="M124" s="38">
        <f t="shared" ca="1" si="57"/>
        <v>-7234.5</v>
      </c>
      <c r="N124" s="38">
        <f t="shared" ca="1" si="57"/>
        <v>-4563.2</v>
      </c>
    </row>
    <row r="125" spans="2:14" x14ac:dyDescent="0.3">
      <c r="B125" s="10" t="s">
        <v>259</v>
      </c>
      <c r="G125" s="117"/>
      <c r="H125" s="117"/>
      <c r="I125" s="117"/>
      <c r="J125" s="38">
        <f>Schedule!J112</f>
        <v>-1500</v>
      </c>
      <c r="K125" s="38">
        <f>Schedule!K112</f>
        <v>-1500</v>
      </c>
      <c r="L125" s="38">
        <f>Schedule!L112</f>
        <v>-1500</v>
      </c>
      <c r="M125" s="38">
        <f>Schedule!M112</f>
        <v>-1500</v>
      </c>
      <c r="N125" s="38">
        <f>Schedule!N112</f>
        <v>-1500</v>
      </c>
    </row>
    <row r="126" spans="2:14" x14ac:dyDescent="0.3">
      <c r="B126" s="31" t="s">
        <v>260</v>
      </c>
      <c r="G126" s="117"/>
      <c r="H126" s="117"/>
      <c r="I126" s="117"/>
      <c r="J126" s="62">
        <f ca="1">SUM(J121:J125)</f>
        <v>-67521.14</v>
      </c>
      <c r="K126" s="62">
        <f t="shared" ref="K126:N126" ca="1" si="58">SUM(K121:K125)</f>
        <v>-54412.75</v>
      </c>
      <c r="L126" s="62">
        <f t="shared" ca="1" si="58"/>
        <v>-51410.15</v>
      </c>
      <c r="M126" s="62">
        <f t="shared" ca="1" si="58"/>
        <v>-48734.5</v>
      </c>
      <c r="N126" s="62">
        <f t="shared" ca="1" si="58"/>
        <v>-46063.199999999997</v>
      </c>
    </row>
    <row r="127" spans="2:14" x14ac:dyDescent="0.3">
      <c r="G127" s="117"/>
      <c r="H127" s="117"/>
      <c r="I127" s="117"/>
    </row>
    <row r="128" spans="2:14" x14ac:dyDescent="0.3">
      <c r="B128" s="31" t="s">
        <v>261</v>
      </c>
      <c r="G128" s="117"/>
      <c r="H128" s="117"/>
      <c r="I128" s="117"/>
      <c r="J128" s="62">
        <f ca="1">J113+J119+J126</f>
        <v>567.50684593565529</v>
      </c>
      <c r="K128" s="62">
        <f t="shared" ref="K128:N128" ca="1" si="59">K113+K119+K126</f>
        <v>5881.2653829155606</v>
      </c>
      <c r="L128" s="62">
        <f t="shared" ca="1" si="59"/>
        <v>979.69186060639186</v>
      </c>
      <c r="M128" s="62">
        <f t="shared" ca="1" si="59"/>
        <v>5444.1861614644877</v>
      </c>
      <c r="N128" s="62">
        <f t="shared" ca="1" si="59"/>
        <v>2833.6389250923967</v>
      </c>
    </row>
    <row r="129" spans="2:19" x14ac:dyDescent="0.3">
      <c r="G129" s="117"/>
      <c r="H129" s="117"/>
      <c r="I129" s="117"/>
    </row>
    <row r="130" spans="2:19" x14ac:dyDescent="0.3">
      <c r="B130" s="10" t="s">
        <v>262</v>
      </c>
      <c r="G130" s="117"/>
      <c r="H130" s="117"/>
      <c r="I130" s="117"/>
      <c r="J130" s="38">
        <f>I55</f>
        <v>1698</v>
      </c>
      <c r="K130" s="38">
        <f ca="1">J131</f>
        <v>2265.5068459356553</v>
      </c>
      <c r="L130" s="38">
        <f t="shared" ref="L130:N130" ca="1" si="60">K131</f>
        <v>8146.7722288512159</v>
      </c>
      <c r="M130" s="38">
        <f t="shared" ca="1" si="60"/>
        <v>9126.4640894576078</v>
      </c>
      <c r="N130" s="38">
        <f t="shared" ca="1" si="60"/>
        <v>14570.650250922095</v>
      </c>
    </row>
    <row r="131" spans="2:19" x14ac:dyDescent="0.3">
      <c r="B131" s="31" t="s">
        <v>263</v>
      </c>
      <c r="G131" s="117"/>
      <c r="H131" s="117"/>
      <c r="I131" s="117"/>
      <c r="J131" s="62">
        <f ca="1">J128+J130</f>
        <v>2265.5068459356553</v>
      </c>
      <c r="K131" s="62">
        <f t="shared" ref="K131:N131" ca="1" si="61">K128+K130</f>
        <v>8146.7722288512159</v>
      </c>
      <c r="L131" s="62">
        <f t="shared" ca="1" si="61"/>
        <v>9126.4640894576078</v>
      </c>
      <c r="M131" s="62">
        <f t="shared" ca="1" si="61"/>
        <v>14570.650250922095</v>
      </c>
      <c r="N131" s="62">
        <f t="shared" ca="1" si="61"/>
        <v>17404.289176014492</v>
      </c>
    </row>
    <row r="136" spans="2:19" x14ac:dyDescent="0.3">
      <c r="M136" s="10" t="s">
        <v>269</v>
      </c>
    </row>
    <row r="143" spans="2:19" ht="14.4" x14ac:dyDescent="0.3">
      <c r="B143" s="34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</row>
  </sheetData>
  <mergeCells count="4">
    <mergeCell ref="G6:I6"/>
    <mergeCell ref="J6:N6"/>
    <mergeCell ref="O6:P6"/>
    <mergeCell ref="Q6:S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C779-B767-4076-B300-FA107F1CBF6C}">
  <sheetPr>
    <pageSetUpPr autoPageBreaks="0"/>
  </sheetPr>
  <dimension ref="A1:S198"/>
  <sheetViews>
    <sheetView showGridLines="0" zoomScaleNormal="100" workbookViewId="0">
      <selection activeCell="F13" sqref="F13"/>
    </sheetView>
  </sheetViews>
  <sheetFormatPr defaultRowHeight="13.8" x14ac:dyDescent="0.3"/>
  <cols>
    <col min="1" max="1" width="1.88671875" style="10" customWidth="1"/>
    <col min="2" max="2" width="8.88671875" style="10"/>
    <col min="3" max="3" width="7.109375" style="10" customWidth="1"/>
    <col min="4" max="4" width="12.5546875" style="10" bestFit="1" customWidth="1"/>
    <col min="5" max="6" width="8.88671875" style="10"/>
    <col min="7" max="14" width="11.6640625" style="10" customWidth="1"/>
    <col min="15" max="16" width="10" style="10" customWidth="1"/>
    <col min="17" max="19" width="13.88671875" style="10" customWidth="1"/>
    <col min="20" max="16384" width="8.88671875" style="10"/>
  </cols>
  <sheetData>
    <row r="1" spans="1:19" s="14" customFormat="1" ht="14.4" x14ac:dyDescent="0.3"/>
    <row r="2" spans="1:19" s="14" customFormat="1" ht="15.6" x14ac:dyDescent="0.3">
      <c r="A2" s="15"/>
      <c r="B2" s="16" t="str">
        <f>Dashboard!B2</f>
        <v>Denny's Diner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</row>
    <row r="3" spans="1:19" s="14" customFormat="1" ht="14.4" x14ac:dyDescent="0.3">
      <c r="B3" s="49" t="s">
        <v>17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</row>
    <row r="4" spans="1:19" s="14" customFormat="1" ht="14.4" x14ac:dyDescent="0.3">
      <c r="B4" s="64" t="str">
        <f>Dashboard!B4</f>
        <v>(In $ thousands, except per share amounts)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</row>
    <row r="5" spans="1:19" s="14" customFormat="1" ht="14.4" x14ac:dyDescent="0.3">
      <c r="B5" s="7" t="s">
        <v>37</v>
      </c>
      <c r="C5" s="17"/>
      <c r="D5" s="7" t="str">
        <f>Dashboard!G13</f>
        <v>Street</v>
      </c>
      <c r="E5" s="17"/>
      <c r="F5" s="17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17"/>
      <c r="S5" s="17"/>
    </row>
    <row r="6" spans="1:19" s="14" customFormat="1" ht="14.4" x14ac:dyDescent="0.3">
      <c r="B6" s="7" t="s">
        <v>141</v>
      </c>
      <c r="C6" s="19"/>
      <c r="D6" s="19"/>
      <c r="E6" s="19"/>
      <c r="F6" s="20"/>
      <c r="G6" s="335" t="s">
        <v>140</v>
      </c>
      <c r="H6" s="335"/>
      <c r="I6" s="336"/>
      <c r="J6" s="337" t="s">
        <v>2</v>
      </c>
      <c r="K6" s="338"/>
      <c r="L6" s="338"/>
      <c r="M6" s="338"/>
      <c r="N6" s="338"/>
      <c r="O6" s="339" t="s">
        <v>32</v>
      </c>
      <c r="P6" s="340"/>
      <c r="Q6" s="341" t="s">
        <v>18</v>
      </c>
      <c r="R6" s="342"/>
      <c r="S6" s="342"/>
    </row>
    <row r="7" spans="1:19" s="14" customFormat="1" ht="14.4" x14ac:dyDescent="0.3">
      <c r="B7" s="7" t="s">
        <v>142</v>
      </c>
      <c r="C7" s="19"/>
      <c r="D7" s="19"/>
      <c r="E7" s="19"/>
      <c r="F7" s="19"/>
      <c r="G7" s="21">
        <f>Statements!G7</f>
        <v>44920</v>
      </c>
      <c r="H7" s="21">
        <f t="shared" ref="H7:N7" si="0">EDATE(G7,12)</f>
        <v>45285</v>
      </c>
      <c r="I7" s="22">
        <f t="shared" si="0"/>
        <v>45651</v>
      </c>
      <c r="J7" s="23">
        <f t="shared" si="0"/>
        <v>46016</v>
      </c>
      <c r="K7" s="23">
        <f t="shared" si="0"/>
        <v>46381</v>
      </c>
      <c r="L7" s="24">
        <f t="shared" si="0"/>
        <v>46746</v>
      </c>
      <c r="M7" s="23">
        <f t="shared" si="0"/>
        <v>47112</v>
      </c>
      <c r="N7" s="24">
        <f t="shared" si="0"/>
        <v>47477</v>
      </c>
      <c r="O7" s="25" t="s">
        <v>159</v>
      </c>
      <c r="P7" s="26" t="s">
        <v>160</v>
      </c>
      <c r="Q7" s="343"/>
      <c r="R7" s="344"/>
      <c r="S7" s="344"/>
    </row>
    <row r="9" spans="1:19" x14ac:dyDescent="0.3">
      <c r="B9" s="31" t="s">
        <v>165</v>
      </c>
    </row>
    <row r="10" spans="1:19" x14ac:dyDescent="0.3">
      <c r="B10" s="10" t="s">
        <v>166</v>
      </c>
    </row>
    <row r="11" spans="1:19" x14ac:dyDescent="0.3">
      <c r="B11" s="10" t="s">
        <v>38</v>
      </c>
    </row>
    <row r="12" spans="1:19" x14ac:dyDescent="0.3">
      <c r="B12" s="10" t="s">
        <v>167</v>
      </c>
    </row>
    <row r="14" spans="1:19" ht="14.4" x14ac:dyDescent="0.3">
      <c r="A14" s="10" t="s">
        <v>34</v>
      </c>
      <c r="B14" s="8" t="s">
        <v>172</v>
      </c>
      <c r="C14" s="35"/>
      <c r="D14" s="35"/>
      <c r="E14" s="35"/>
      <c r="F14" s="35"/>
      <c r="G14" s="82">
        <v>44920</v>
      </c>
      <c r="H14" s="82">
        <v>45285</v>
      </c>
      <c r="I14" s="82">
        <v>45651</v>
      </c>
      <c r="J14" s="83">
        <v>46016</v>
      </c>
      <c r="K14" s="83">
        <v>46381</v>
      </c>
      <c r="L14" s="83">
        <v>46746</v>
      </c>
      <c r="M14" s="83">
        <v>47112</v>
      </c>
      <c r="N14" s="83">
        <v>47477</v>
      </c>
      <c r="O14" s="35"/>
      <c r="P14" s="35"/>
      <c r="Q14" s="35"/>
      <c r="R14" s="35"/>
      <c r="S14" s="35"/>
    </row>
    <row r="16" spans="1:19" s="33" customFormat="1" x14ac:dyDescent="0.3">
      <c r="B16" s="77" t="s">
        <v>148</v>
      </c>
    </row>
    <row r="17" spans="2:16" s="33" customFormat="1" x14ac:dyDescent="0.3">
      <c r="B17" s="71" t="s">
        <v>143</v>
      </c>
      <c r="G17" s="92">
        <v>193576</v>
      </c>
      <c r="H17" s="92">
        <v>201175</v>
      </c>
      <c r="I17" s="84">
        <v>193572</v>
      </c>
      <c r="J17" s="84">
        <f ca="1">I17*(1+J$73)</f>
        <v>193313.73182121414</v>
      </c>
      <c r="K17" s="84">
        <f ca="1">J17*(1+K$73)</f>
        <v>196154.68178785857</v>
      </c>
      <c r="L17" s="84">
        <f ca="1">K17*(1+L$73)</f>
        <v>202869.65443629088</v>
      </c>
      <c r="M17" s="84">
        <f ca="1">L17*(1+M$73)</f>
        <v>210230.29753168783</v>
      </c>
      <c r="N17" s="84">
        <f ca="1">M17*(1+N$73)</f>
        <v>218882.28152101405</v>
      </c>
    </row>
    <row r="18" spans="2:16" s="33" customFormat="1" x14ac:dyDescent="0.3">
      <c r="B18" s="71" t="s">
        <v>145</v>
      </c>
      <c r="G18" s="92">
        <v>6177</v>
      </c>
      <c r="H18" s="92">
        <v>14357</v>
      </c>
      <c r="I18" s="84">
        <v>18209</v>
      </c>
      <c r="J18" s="84">
        <f ca="1">I18*(1+J$75)</f>
        <v>20320.188405797104</v>
      </c>
      <c r="K18" s="84">
        <f ca="1">J18*(1+K$75)</f>
        <v>22695.27536231884</v>
      </c>
      <c r="L18" s="84">
        <f ca="1">K18*(1+L$75)</f>
        <v>25334.260869565216</v>
      </c>
      <c r="M18" s="84">
        <f ca="1">L18*(1+M$75)</f>
        <v>28501.043478260868</v>
      </c>
      <c r="N18" s="84">
        <f ca="1">M18*(1+N$75)</f>
        <v>32459.521739130432</v>
      </c>
    </row>
    <row r="19" spans="2:16" s="33" customFormat="1" x14ac:dyDescent="0.3">
      <c r="B19" s="73" t="s">
        <v>149</v>
      </c>
      <c r="G19" s="87">
        <f>SUM(G17:G18)</f>
        <v>199753</v>
      </c>
      <c r="H19" s="87">
        <f>SUM(H17:H18)</f>
        <v>215532</v>
      </c>
      <c r="I19" s="87">
        <f>SUM(I17:I18)</f>
        <v>211781</v>
      </c>
      <c r="J19" s="87">
        <f t="shared" ref="J19:N19" ca="1" si="1">SUM(J17:J18)</f>
        <v>213633.92022701126</v>
      </c>
      <c r="K19" s="87">
        <f t="shared" ca="1" si="1"/>
        <v>218849.95715017742</v>
      </c>
      <c r="L19" s="87">
        <f t="shared" ca="1" si="1"/>
        <v>228203.91530585609</v>
      </c>
      <c r="M19" s="87">
        <f t="shared" ca="1" si="1"/>
        <v>238731.34100994869</v>
      </c>
      <c r="N19" s="87">
        <f t="shared" ca="1" si="1"/>
        <v>251341.80326014449</v>
      </c>
      <c r="O19" s="91">
        <f>_xlfn.RRI(2,G19,I19)</f>
        <v>2.9667113556830271E-2</v>
      </c>
      <c r="P19" s="91">
        <f ca="1">_xlfn.RRI(4,J19,N19)</f>
        <v>4.1474471802076973E-2</v>
      </c>
    </row>
    <row r="20" spans="2:16" s="33" customFormat="1" x14ac:dyDescent="0.3"/>
    <row r="21" spans="2:16" s="33" customFormat="1" x14ac:dyDescent="0.3">
      <c r="B21" s="77" t="s">
        <v>152</v>
      </c>
    </row>
    <row r="22" spans="2:16" s="33" customFormat="1" x14ac:dyDescent="0.3">
      <c r="B22" s="75" t="s">
        <v>146</v>
      </c>
    </row>
    <row r="23" spans="2:16" s="33" customFormat="1" x14ac:dyDescent="0.3">
      <c r="B23" s="72" t="s">
        <v>143</v>
      </c>
      <c r="G23" s="92">
        <v>111718</v>
      </c>
      <c r="H23" s="92">
        <v>115004</v>
      </c>
      <c r="I23" s="92">
        <v>113804</v>
      </c>
      <c r="J23" s="84">
        <f ca="1">I23*(1+J$73)</f>
        <v>113652.16010673782</v>
      </c>
      <c r="K23" s="84">
        <f ca="1">J23*(1+K$73)</f>
        <v>115322.39893262174</v>
      </c>
      <c r="L23" s="84">
        <f ca="1">K23*(1+L$73)</f>
        <v>119270.2361574383</v>
      </c>
      <c r="M23" s="84">
        <f ca="1">L23*(1+M$73)</f>
        <v>123597.67311541029</v>
      </c>
      <c r="N23" s="84">
        <f ca="1">M23*(1+N$73)</f>
        <v>128684.30953969315</v>
      </c>
    </row>
    <row r="24" spans="2:16" s="33" customFormat="1" x14ac:dyDescent="0.3">
      <c r="B24" s="72" t="s">
        <v>145</v>
      </c>
      <c r="G24" s="92">
        <v>2173</v>
      </c>
      <c r="H24" s="92">
        <v>5127</v>
      </c>
      <c r="I24" s="92">
        <v>4901</v>
      </c>
      <c r="J24" s="84">
        <f ca="1">I24*(1+J$75)</f>
        <v>5469.231884057971</v>
      </c>
      <c r="K24" s="84">
        <f ca="1">J24*(1+K$75)</f>
        <v>6108.492753623188</v>
      </c>
      <c r="L24" s="84">
        <f ca="1">K24*(1+L$75)</f>
        <v>6818.782608695652</v>
      </c>
      <c r="M24" s="84">
        <f ca="1">L24*(1+M$75)</f>
        <v>7671.1304347826081</v>
      </c>
      <c r="N24" s="84">
        <f ca="1">M24*(1+N$75)</f>
        <v>8736.565217391304</v>
      </c>
    </row>
    <row r="25" spans="2:16" s="33" customFormat="1" x14ac:dyDescent="0.3">
      <c r="B25" s="86" t="s">
        <v>154</v>
      </c>
      <c r="G25" s="87">
        <f>SUM(G23:G24)</f>
        <v>113891</v>
      </c>
      <c r="H25" s="87">
        <f>SUM(H23:H24)</f>
        <v>120131</v>
      </c>
      <c r="I25" s="87">
        <f>SUM(I23:I24)</f>
        <v>118705</v>
      </c>
      <c r="J25" s="87">
        <f t="shared" ref="J25" ca="1" si="2">SUM(J23:J24)</f>
        <v>119121.39199079579</v>
      </c>
      <c r="K25" s="87">
        <f t="shared" ref="K25" ca="1" si="3">SUM(K23:K24)</f>
        <v>121430.89168624493</v>
      </c>
      <c r="L25" s="87">
        <f t="shared" ref="L25" ca="1" si="4">SUM(L23:L24)</f>
        <v>126089.01876613394</v>
      </c>
      <c r="M25" s="87">
        <f t="shared" ref="M25" ca="1" si="5">SUM(M23:M24)</f>
        <v>131268.80355019291</v>
      </c>
      <c r="N25" s="87">
        <f t="shared" ref="N25" ca="1" si="6">SUM(N23:N24)</f>
        <v>137420.87475708444</v>
      </c>
      <c r="O25" s="91">
        <f>_xlfn.RRI(2,G25,I25)</f>
        <v>2.0915513046650958E-2</v>
      </c>
      <c r="P25" s="91">
        <f ca="1">_xlfn.RRI(4,J25,N25)</f>
        <v>3.6372158111737773E-2</v>
      </c>
    </row>
    <row r="26" spans="2:16" s="33" customFormat="1" x14ac:dyDescent="0.3">
      <c r="B26" s="93" t="s">
        <v>147</v>
      </c>
    </row>
    <row r="27" spans="2:16" s="33" customFormat="1" x14ac:dyDescent="0.3">
      <c r="B27" s="72" t="s">
        <v>143</v>
      </c>
      <c r="G27" s="92">
        <v>75926</v>
      </c>
      <c r="H27" s="92">
        <v>77932</v>
      </c>
      <c r="I27" s="92">
        <v>78192</v>
      </c>
      <c r="J27" s="84">
        <f ca="1">I27*(1+J$73)</f>
        <v>78087.674449633094</v>
      </c>
      <c r="K27" s="84">
        <f ca="1">J27*(1+K$73)</f>
        <v>79235.255503669119</v>
      </c>
      <c r="L27" s="84">
        <f ca="1">K27*(1+L$73)</f>
        <v>81947.719813208823</v>
      </c>
      <c r="M27" s="84">
        <f ca="1">L27*(1+M$73)</f>
        <v>84920.9979986658</v>
      </c>
      <c r="N27" s="84">
        <f ca="1">M27*(1+N$73)</f>
        <v>88415.903935957322</v>
      </c>
    </row>
    <row r="28" spans="2:16" s="33" customFormat="1" x14ac:dyDescent="0.3">
      <c r="B28" s="72" t="s">
        <v>145</v>
      </c>
      <c r="G28" s="33">
        <v>0</v>
      </c>
      <c r="H28" s="10">
        <v>562</v>
      </c>
      <c r="I28" s="92">
        <v>1781</v>
      </c>
      <c r="J28" s="84">
        <f ca="1">I28*(1+J$75)</f>
        <v>1987.4927536231885</v>
      </c>
      <c r="K28" s="84">
        <f ca="1">J28*(1+K$75)</f>
        <v>2219.7971014492755</v>
      </c>
      <c r="L28" s="84">
        <f ca="1">K28*(1+L$75)</f>
        <v>2477.913043478261</v>
      </c>
      <c r="M28" s="84">
        <f ca="1">L28*(1+M$75)</f>
        <v>2787.6521739130435</v>
      </c>
      <c r="N28" s="84">
        <f ca="1">M28*(1+N$75)</f>
        <v>3174.8260869565215</v>
      </c>
    </row>
    <row r="29" spans="2:16" s="33" customFormat="1" x14ac:dyDescent="0.3">
      <c r="B29" s="94" t="s">
        <v>154</v>
      </c>
      <c r="G29" s="87">
        <f>SUM(G27:G28)</f>
        <v>75926</v>
      </c>
      <c r="H29" s="87">
        <f>SUM(H27:H28)</f>
        <v>78494</v>
      </c>
      <c r="I29" s="87">
        <f>SUM(I27:I28)</f>
        <v>79973</v>
      </c>
      <c r="J29" s="87">
        <f t="shared" ref="J29" ca="1" si="7">SUM(J27:J28)</f>
        <v>80075.167203256278</v>
      </c>
      <c r="K29" s="87">
        <f t="shared" ref="K29" ca="1" si="8">SUM(K27:K28)</f>
        <v>81455.052605118399</v>
      </c>
      <c r="L29" s="87">
        <f t="shared" ref="L29" ca="1" si="9">SUM(L27:L28)</f>
        <v>84425.63285668708</v>
      </c>
      <c r="M29" s="87">
        <f t="shared" ref="M29" ca="1" si="10">SUM(M27:M28)</f>
        <v>87708.65017257884</v>
      </c>
      <c r="N29" s="87">
        <f t="shared" ref="N29" ca="1" si="11">SUM(N27:N28)</f>
        <v>91590.730022913849</v>
      </c>
      <c r="O29" s="91">
        <f>_xlfn.RRI(2,G29,I29)</f>
        <v>2.6304973785891361E-2</v>
      </c>
      <c r="P29" s="91">
        <f ca="1">_xlfn.RRI(4,J29,N29)</f>
        <v>3.4161621146700627E-2</v>
      </c>
    </row>
    <row r="30" spans="2:16" s="85" customFormat="1" x14ac:dyDescent="0.3">
      <c r="B30" s="95" t="s">
        <v>150</v>
      </c>
    </row>
    <row r="31" spans="2:16" s="85" customFormat="1" x14ac:dyDescent="0.3">
      <c r="B31" s="72" t="s">
        <v>143</v>
      </c>
      <c r="G31" s="92">
        <v>27870</v>
      </c>
      <c r="H31" s="92">
        <v>13112</v>
      </c>
      <c r="I31" s="92">
        <v>8351</v>
      </c>
      <c r="J31" s="84">
        <f ca="1">I31*(1+J$73)</f>
        <v>8339.8579052701807</v>
      </c>
      <c r="K31" s="84">
        <f ca="1">J31*(1+K$73)</f>
        <v>8462.4209472981984</v>
      </c>
      <c r="L31" s="84">
        <f ca="1">K31*(1+L$73)</f>
        <v>8752.1154102735163</v>
      </c>
      <c r="M31" s="84">
        <f ca="1">L31*(1+M$73)</f>
        <v>9069.6651100733834</v>
      </c>
      <c r="N31" s="84">
        <f ca="1">M31*(1+N$73)</f>
        <v>9442.9252835223488</v>
      </c>
    </row>
    <row r="32" spans="2:16" s="85" customFormat="1" x14ac:dyDescent="0.3">
      <c r="B32" s="72" t="s">
        <v>145</v>
      </c>
      <c r="G32" s="10">
        <v>392</v>
      </c>
      <c r="H32" s="10">
        <v>770</v>
      </c>
      <c r="I32" s="10">
        <v>360</v>
      </c>
      <c r="J32" s="84">
        <f ca="1">I32*(1+J$75)</f>
        <v>401.73913043478262</v>
      </c>
      <c r="K32" s="84">
        <f ca="1">J32*(1+K$75)</f>
        <v>448.695652173913</v>
      </c>
      <c r="L32" s="84">
        <f ca="1">K32*(1+L$75)</f>
        <v>500.86956521739125</v>
      </c>
      <c r="M32" s="84">
        <f ca="1">L32*(1+M$75)</f>
        <v>563.47826086956513</v>
      </c>
      <c r="N32" s="84">
        <f ca="1">M32*(1+N$75)</f>
        <v>641.73913043478251</v>
      </c>
    </row>
    <row r="33" spans="2:17" s="85" customFormat="1" x14ac:dyDescent="0.3">
      <c r="B33" s="94" t="s">
        <v>154</v>
      </c>
      <c r="G33" s="87">
        <f>SUM(G31:G32)</f>
        <v>28262</v>
      </c>
      <c r="H33" s="87">
        <f>SUM(H31:H32)</f>
        <v>13882</v>
      </c>
      <c r="I33" s="87">
        <f>SUM(I31:I32)</f>
        <v>8711</v>
      </c>
      <c r="J33" s="87">
        <f t="shared" ref="J33" ca="1" si="12">SUM(J31:J32)</f>
        <v>8741.5970357049628</v>
      </c>
      <c r="K33" s="87">
        <f t="shared" ref="K33" ca="1" si="13">SUM(K31:K32)</f>
        <v>8911.1165994721123</v>
      </c>
      <c r="L33" s="87">
        <f t="shared" ref="L33" ca="1" si="14">SUM(L31:L32)</f>
        <v>9252.9849754909083</v>
      </c>
      <c r="M33" s="87">
        <f t="shared" ref="M33" ca="1" si="15">SUM(M31:M32)</f>
        <v>9633.1433709429493</v>
      </c>
      <c r="N33" s="87">
        <f t="shared" ref="N33" ca="1" si="16">SUM(N31:N32)</f>
        <v>10084.664413957131</v>
      </c>
      <c r="O33" s="91">
        <f>_xlfn.RRI(2,G33,I33)</f>
        <v>-0.44482160012014438</v>
      </c>
      <c r="P33" s="91">
        <f ca="1">_xlfn.RRI(4,J33,N33)</f>
        <v>3.6376763161152681E-2</v>
      </c>
    </row>
    <row r="34" spans="2:17" s="33" customFormat="1" x14ac:dyDescent="0.3">
      <c r="B34" s="93" t="s">
        <v>151</v>
      </c>
    </row>
    <row r="35" spans="2:17" s="33" customFormat="1" x14ac:dyDescent="0.3">
      <c r="B35" s="72" t="s">
        <v>143</v>
      </c>
      <c r="G35" s="92">
        <v>38597</v>
      </c>
      <c r="H35" s="92">
        <v>35883</v>
      </c>
      <c r="I35" s="92">
        <v>33075</v>
      </c>
      <c r="J35" s="84">
        <f ca="1">I35*(1+J$73)</f>
        <v>33030.870580386923</v>
      </c>
      <c r="K35" s="84">
        <f ca="1">J35*(1+K$73)</f>
        <v>33516.294196130752</v>
      </c>
      <c r="L35" s="84">
        <f ca="1">K35*(1+L$73)</f>
        <v>34663.659106070714</v>
      </c>
      <c r="M35" s="84">
        <f ca="1">L35*(1+M$73)</f>
        <v>35921.347565043368</v>
      </c>
      <c r="N35" s="84">
        <f ca="1">M35*(1+N$73)</f>
        <v>37399.683122081391</v>
      </c>
    </row>
    <row r="36" spans="2:17" s="33" customFormat="1" x14ac:dyDescent="0.3">
      <c r="B36" s="72" t="s">
        <v>145</v>
      </c>
      <c r="G36" s="33">
        <v>0</v>
      </c>
      <c r="H36" s="33">
        <v>0</v>
      </c>
      <c r="I36" s="33">
        <v>89</v>
      </c>
      <c r="J36" s="84">
        <f ca="1">I36*(1+J$75)</f>
        <v>99.318840579710155</v>
      </c>
      <c r="K36" s="84">
        <f ca="1">J36*(1+K$75)</f>
        <v>110.92753623188406</v>
      </c>
      <c r="L36" s="84">
        <f ca="1">K36*(1+L$75)</f>
        <v>123.82608695652175</v>
      </c>
      <c r="M36" s="84">
        <f ca="1">L36*(1+M$75)</f>
        <v>139.30434782608697</v>
      </c>
      <c r="N36" s="84">
        <f ca="1">M36*(1+N$75)</f>
        <v>158.6521739130435</v>
      </c>
    </row>
    <row r="37" spans="2:17" s="33" customFormat="1" x14ac:dyDescent="0.3">
      <c r="B37" s="94" t="s">
        <v>154</v>
      </c>
      <c r="G37" s="87">
        <f>SUM(G35:G36)</f>
        <v>38597</v>
      </c>
      <c r="H37" s="87">
        <f>SUM(H35:H36)</f>
        <v>35883</v>
      </c>
      <c r="I37" s="87">
        <f>SUM(I35:I36)</f>
        <v>33164</v>
      </c>
      <c r="J37" s="87">
        <f t="shared" ref="J37" ca="1" si="17">SUM(J35:J36)</f>
        <v>33130.189420966635</v>
      </c>
      <c r="K37" s="87">
        <f t="shared" ref="K37" ca="1" si="18">SUM(K35:K36)</f>
        <v>33627.221732362639</v>
      </c>
      <c r="L37" s="87">
        <f t="shared" ref="L37" ca="1" si="19">SUM(L35:L36)</f>
        <v>34787.485193027234</v>
      </c>
      <c r="M37" s="87">
        <f t="shared" ref="M37" ca="1" si="20">SUM(M35:M36)</f>
        <v>36060.651912869456</v>
      </c>
      <c r="N37" s="87">
        <f t="shared" ref="N37" ca="1" si="21">SUM(N35:N36)</f>
        <v>37558.335295994431</v>
      </c>
      <c r="O37" s="91">
        <f>_xlfn.RRI(2,G37,I37)</f>
        <v>-7.3049211342315568E-2</v>
      </c>
      <c r="P37" s="91">
        <f ca="1">_xlfn.RRI(4,J37,N37)</f>
        <v>3.1859587925537669E-2</v>
      </c>
    </row>
    <row r="38" spans="2:17" s="33" customFormat="1" x14ac:dyDescent="0.3">
      <c r="B38" s="86" t="s">
        <v>153</v>
      </c>
      <c r="G38" s="87">
        <f>G25+G29+G33+G37</f>
        <v>256676</v>
      </c>
      <c r="H38" s="87">
        <f>H25+H29+H33+H37</f>
        <v>248390</v>
      </c>
      <c r="I38" s="87">
        <f>I25+I29+I33+I37</f>
        <v>240553</v>
      </c>
      <c r="J38" s="87">
        <f t="shared" ref="J38:N38" ca="1" si="22">J25+J29+J33+J37</f>
        <v>241068.34565072367</v>
      </c>
      <c r="K38" s="87">
        <f t="shared" ca="1" si="22"/>
        <v>245424.28262319809</v>
      </c>
      <c r="L38" s="87">
        <f t="shared" ca="1" si="22"/>
        <v>254555.12179133919</v>
      </c>
      <c r="M38" s="87">
        <f t="shared" ca="1" si="22"/>
        <v>264671.24900658417</v>
      </c>
      <c r="N38" s="87">
        <f t="shared" ca="1" si="22"/>
        <v>276654.60448994988</v>
      </c>
      <c r="O38" s="91">
        <f>_xlfn.RRI(2,G38,I38)</f>
        <v>-3.1916635278577132E-2</v>
      </c>
      <c r="P38" s="91">
        <f ca="1">_xlfn.RRI(4,J38,N38)</f>
        <v>3.5021637127800487E-2</v>
      </c>
    </row>
    <row r="39" spans="2:17" s="33" customFormat="1" x14ac:dyDescent="0.3">
      <c r="B39" s="86"/>
      <c r="G39" s="87"/>
      <c r="H39" s="87"/>
      <c r="I39" s="87"/>
      <c r="J39" s="87"/>
      <c r="K39" s="87"/>
      <c r="L39" s="87"/>
      <c r="M39" s="87"/>
      <c r="N39" s="87"/>
      <c r="O39" s="91"/>
      <c r="P39" s="91"/>
    </row>
    <row r="40" spans="2:17" s="33" customFormat="1" x14ac:dyDescent="0.3">
      <c r="B40" s="72" t="s">
        <v>163</v>
      </c>
      <c r="G40" s="84">
        <f>G17+G23+G27+G31+G35</f>
        <v>447687</v>
      </c>
      <c r="H40" s="84">
        <f>H17+H23+H27+H31+H35</f>
        <v>443106</v>
      </c>
      <c r="I40" s="84">
        <f t="shared" ref="I40:N40" si="23">I17+I23+I27+I31+I35</f>
        <v>426994</v>
      </c>
      <c r="J40" s="84">
        <f t="shared" ca="1" si="23"/>
        <v>426424.29486324219</v>
      </c>
      <c r="K40" s="84">
        <f t="shared" ca="1" si="23"/>
        <v>432691.05136757839</v>
      </c>
      <c r="L40" s="84">
        <f t="shared" ca="1" si="23"/>
        <v>447503.38492328225</v>
      </c>
      <c r="M40" s="84">
        <f t="shared" ca="1" si="23"/>
        <v>463739.9813208807</v>
      </c>
      <c r="N40" s="84">
        <f t="shared" ca="1" si="23"/>
        <v>482825.10340226832</v>
      </c>
      <c r="O40" s="91"/>
      <c r="P40" s="91"/>
    </row>
    <row r="41" spans="2:17" s="33" customFormat="1" x14ac:dyDescent="0.3">
      <c r="B41" s="72" t="s">
        <v>164</v>
      </c>
      <c r="G41" s="84">
        <f>G18+G24+G28+G32+G36</f>
        <v>8742</v>
      </c>
      <c r="H41" s="84">
        <f>H18+H24+H28+H32+H36</f>
        <v>20816</v>
      </c>
      <c r="I41" s="84">
        <f t="shared" ref="I41:N41" si="24">I18+I24+I28+I32+I36</f>
        <v>25340</v>
      </c>
      <c r="J41" s="84">
        <f t="shared" ca="1" si="24"/>
        <v>28277.971014492759</v>
      </c>
      <c r="K41" s="84">
        <f t="shared" ca="1" si="24"/>
        <v>31583.1884057971</v>
      </c>
      <c r="L41" s="84">
        <f t="shared" ca="1" si="24"/>
        <v>35255.65217391304</v>
      </c>
      <c r="M41" s="84">
        <f t="shared" ca="1" si="24"/>
        <v>39662.608695652169</v>
      </c>
      <c r="N41" s="84">
        <f t="shared" ca="1" si="24"/>
        <v>45171.304347826081</v>
      </c>
      <c r="O41" s="91"/>
      <c r="P41" s="91"/>
    </row>
    <row r="42" spans="2:17" s="33" customFormat="1" x14ac:dyDescent="0.3">
      <c r="B42" s="75" t="s">
        <v>162</v>
      </c>
      <c r="G42" s="87">
        <f>G19+G38</f>
        <v>456429</v>
      </c>
      <c r="H42" s="87">
        <f>H19+H38</f>
        <v>463922</v>
      </c>
      <c r="I42" s="87">
        <f t="shared" ref="I42" si="25">I19+I38</f>
        <v>452334</v>
      </c>
      <c r="J42" s="87">
        <f t="shared" ref="J42" ca="1" si="26">J19+J38</f>
        <v>454702.26587773493</v>
      </c>
      <c r="K42" s="87">
        <f t="shared" ref="K42" ca="1" si="27">K19+K38</f>
        <v>464274.23977337551</v>
      </c>
      <c r="L42" s="87">
        <f t="shared" ref="L42" ca="1" si="28">L19+L38</f>
        <v>482759.03709719528</v>
      </c>
      <c r="M42" s="87">
        <f t="shared" ref="M42" ca="1" si="29">M19+M38</f>
        <v>503402.59001653286</v>
      </c>
      <c r="N42" s="87">
        <f t="shared" ref="N42" ca="1" si="30">N19+N38</f>
        <v>527996.40775009431</v>
      </c>
      <c r="O42" s="91"/>
      <c r="P42" s="91"/>
    </row>
    <row r="43" spans="2:17" s="33" customFormat="1" x14ac:dyDescent="0.3"/>
    <row r="44" spans="2:17" s="33" customFormat="1" x14ac:dyDescent="0.3">
      <c r="B44" s="88" t="s">
        <v>155</v>
      </c>
      <c r="G44" s="92"/>
      <c r="H44" s="92"/>
      <c r="I44" s="92"/>
      <c r="J44" s="92"/>
      <c r="K44" s="92"/>
      <c r="L44" s="92"/>
      <c r="M44" s="92"/>
      <c r="N44" s="92"/>
    </row>
    <row r="45" spans="2:17" s="33" customFormat="1" x14ac:dyDescent="0.3">
      <c r="B45" s="74" t="s">
        <v>156</v>
      </c>
    </row>
    <row r="46" spans="2:17" s="33" customFormat="1" x14ac:dyDescent="0.3">
      <c r="B46" s="345" t="s">
        <v>143</v>
      </c>
      <c r="G46" s="92">
        <v>66</v>
      </c>
      <c r="H46" s="92">
        <v>65</v>
      </c>
      <c r="I46" s="92">
        <v>61</v>
      </c>
      <c r="J46" s="92">
        <f ca="1">ROUNDUP(I46*(1+J47),0)</f>
        <v>59</v>
      </c>
      <c r="K46" s="92">
        <f t="shared" ref="K46:N46" ca="1" si="31">ROUNDUP(J46*(1+K47),0)</f>
        <v>59</v>
      </c>
      <c r="L46" s="92">
        <f t="shared" ca="1" si="31"/>
        <v>61</v>
      </c>
      <c r="M46" s="92">
        <f t="shared" ca="1" si="31"/>
        <v>63</v>
      </c>
      <c r="N46" s="92">
        <f t="shared" ca="1" si="31"/>
        <v>67</v>
      </c>
      <c r="O46" s="91">
        <f>_xlfn.RRI(2,G46,I46)</f>
        <v>-3.8624722471799711E-2</v>
      </c>
      <c r="P46" s="91">
        <f ca="1">_xlfn.RRI(4,J46,N46)</f>
        <v>3.2299454307683995E-2</v>
      </c>
    </row>
    <row r="47" spans="2:17" s="33" customFormat="1" x14ac:dyDescent="0.3">
      <c r="B47" s="345"/>
      <c r="G47" s="92"/>
      <c r="H47" s="92"/>
      <c r="I47" s="92"/>
      <c r="J47" s="89">
        <f ca="1">OFFSET(J47,MATCH($D$5,$B48:$B50,0),0)</f>
        <v>-3.834498834498834E-2</v>
      </c>
      <c r="K47" s="89">
        <f t="shared" ref="K47:N47" ca="1" si="32">OFFSET(K47,MATCH($D$5,$B48:$B50,0),0)</f>
        <v>-1.6258741258741254E-2</v>
      </c>
      <c r="L47" s="89">
        <f t="shared" ca="1" si="32"/>
        <v>0.02</v>
      </c>
      <c r="M47" s="89">
        <f t="shared" ca="1" si="32"/>
        <v>3.2000000000000001E-2</v>
      </c>
      <c r="N47" s="89">
        <f t="shared" ca="1" si="32"/>
        <v>0.05</v>
      </c>
    </row>
    <row r="48" spans="2:17" s="33" customFormat="1" x14ac:dyDescent="0.3">
      <c r="B48" s="61" t="s">
        <v>166</v>
      </c>
      <c r="G48" s="92"/>
      <c r="H48" s="92"/>
      <c r="I48" s="92"/>
      <c r="J48" s="99">
        <f>J49+$Q$48</f>
        <v>-2.5844988344988339E-2</v>
      </c>
      <c r="K48" s="99">
        <f t="shared" ref="K48:N48" si="33">K49+$Q$48</f>
        <v>-3.7587412587412536E-3</v>
      </c>
      <c r="L48" s="99">
        <f t="shared" si="33"/>
        <v>3.2500000000000001E-2</v>
      </c>
      <c r="M48" s="99">
        <f t="shared" si="33"/>
        <v>4.4499999999999998E-2</v>
      </c>
      <c r="N48" s="99">
        <f t="shared" si="33"/>
        <v>6.25E-2</v>
      </c>
      <c r="Q48" s="100">
        <v>1.2500000000000001E-2</v>
      </c>
    </row>
    <row r="49" spans="2:17" s="33" customFormat="1" x14ac:dyDescent="0.3">
      <c r="B49" s="61" t="s">
        <v>38</v>
      </c>
      <c r="G49" s="92"/>
      <c r="H49" s="89">
        <f>H46/G46-1</f>
        <v>-1.5151515151515138E-2</v>
      </c>
      <c r="I49" s="89">
        <f>I46/H46-1</f>
        <v>-6.1538461538461542E-2</v>
      </c>
      <c r="J49" s="99">
        <f>AVERAGE(H49:I49)</f>
        <v>-3.834498834498834E-2</v>
      </c>
      <c r="K49" s="99">
        <f>J49+($N$49-$J$49)/4</f>
        <v>-1.6258741258741254E-2</v>
      </c>
      <c r="L49" s="99">
        <v>0.02</v>
      </c>
      <c r="M49" s="99">
        <v>3.2000000000000001E-2</v>
      </c>
      <c r="N49" s="99">
        <v>0.05</v>
      </c>
      <c r="Q49" s="101"/>
    </row>
    <row r="50" spans="2:17" s="33" customFormat="1" x14ac:dyDescent="0.3">
      <c r="B50" s="61" t="s">
        <v>167</v>
      </c>
      <c r="G50" s="92"/>
      <c r="H50" s="92"/>
      <c r="I50" s="92"/>
      <c r="J50" s="99">
        <f>J49+$Q$50</f>
        <v>-4.8344988344988342E-2</v>
      </c>
      <c r="K50" s="99">
        <f t="shared" ref="K50:N50" si="34">K49+$Q$50</f>
        <v>-2.6258741258741253E-2</v>
      </c>
      <c r="L50" s="99">
        <f t="shared" si="34"/>
        <v>0.01</v>
      </c>
      <c r="M50" s="99">
        <f t="shared" si="34"/>
        <v>2.1999999999999999E-2</v>
      </c>
      <c r="N50" s="99">
        <f t="shared" si="34"/>
        <v>0.04</v>
      </c>
      <c r="Q50" s="102">
        <v>-0.01</v>
      </c>
    </row>
    <row r="51" spans="2:17" s="33" customFormat="1" x14ac:dyDescent="0.3">
      <c r="B51" s="345" t="s">
        <v>144</v>
      </c>
      <c r="G51" s="92">
        <v>8</v>
      </c>
      <c r="H51" s="92">
        <v>8</v>
      </c>
      <c r="I51" s="92">
        <v>14</v>
      </c>
      <c r="J51" s="92">
        <f ca="1">ROUNDUP(I51*(1+J52),0)</f>
        <v>16</v>
      </c>
      <c r="K51" s="92">
        <f t="shared" ref="K51" ca="1" si="35">ROUNDUP(J51*(1+K52),0)</f>
        <v>18</v>
      </c>
      <c r="L51" s="92">
        <f t="shared" ref="L51" ca="1" si="36">ROUNDUP(K51*(1+L52),0)</f>
        <v>20</v>
      </c>
      <c r="M51" s="92">
        <f t="shared" ref="M51" ca="1" si="37">ROUNDUP(L51*(1+M52),0)</f>
        <v>23</v>
      </c>
      <c r="N51" s="92">
        <f t="shared" ref="N51" ca="1" si="38">ROUNDUP(M51*(1+N52),0)</f>
        <v>27</v>
      </c>
      <c r="O51" s="91">
        <f>_xlfn.RRI(2,G51,I51)</f>
        <v>0.32287565553229536</v>
      </c>
      <c r="P51" s="91">
        <f ca="1">_xlfn.RRI(4,J51,N51)</f>
        <v>0.13975352847738876</v>
      </c>
    </row>
    <row r="52" spans="2:17" s="33" customFormat="1" x14ac:dyDescent="0.3">
      <c r="B52" s="345"/>
      <c r="G52" s="92"/>
      <c r="H52" s="92"/>
      <c r="I52" s="92"/>
      <c r="J52" s="89">
        <f ca="1">OFFSET(J52,MATCH($D$5,$B53:$B55,0),0)</f>
        <v>0.08</v>
      </c>
      <c r="K52" s="89">
        <f t="shared" ref="K52" ca="1" si="39">OFFSET(K52,MATCH($D$5,$B53:$B55,0),0)</f>
        <v>0.1</v>
      </c>
      <c r="L52" s="89">
        <f t="shared" ref="L52" ca="1" si="40">OFFSET(L52,MATCH($D$5,$B53:$B55,0),0)</f>
        <v>0.11</v>
      </c>
      <c r="M52" s="89">
        <f t="shared" ref="M52" ca="1" si="41">OFFSET(M52,MATCH($D$5,$B53:$B55,0),0)</f>
        <v>0.125</v>
      </c>
      <c r="N52" s="89">
        <f t="shared" ref="N52" ca="1" si="42">OFFSET(N52,MATCH($D$5,$B53:$B55,0),0)</f>
        <v>0.15</v>
      </c>
    </row>
    <row r="53" spans="2:17" s="33" customFormat="1" x14ac:dyDescent="0.3">
      <c r="B53" s="61" t="s">
        <v>166</v>
      </c>
      <c r="G53" s="92"/>
      <c r="H53" s="92"/>
      <c r="I53" s="92"/>
      <c r="J53" s="99">
        <f>J54+$Q$48</f>
        <v>9.2499999999999999E-2</v>
      </c>
      <c r="K53" s="99">
        <f t="shared" ref="K53" si="43">K54+$Q$48</f>
        <v>0.1125</v>
      </c>
      <c r="L53" s="99">
        <f t="shared" ref="L53" si="44">L54+$Q$48</f>
        <v>0.1225</v>
      </c>
      <c r="M53" s="99">
        <f t="shared" ref="M53" si="45">M54+$Q$48</f>
        <v>0.13750000000000001</v>
      </c>
      <c r="N53" s="99">
        <f t="shared" ref="N53" si="46">N54+$Q$48</f>
        <v>0.16250000000000001</v>
      </c>
    </row>
    <row r="54" spans="2:17" s="33" customFormat="1" x14ac:dyDescent="0.3">
      <c r="B54" s="61" t="s">
        <v>38</v>
      </c>
      <c r="G54" s="92"/>
      <c r="H54" s="89">
        <f>H51/G51-1</f>
        <v>0</v>
      </c>
      <c r="I54" s="89">
        <f>I51/H51-1</f>
        <v>0.75</v>
      </c>
      <c r="J54" s="99">
        <v>0.08</v>
      </c>
      <c r="K54" s="99">
        <v>0.1</v>
      </c>
      <c r="L54" s="99">
        <v>0.11</v>
      </c>
      <c r="M54" s="99">
        <v>0.125</v>
      </c>
      <c r="N54" s="99">
        <v>0.15</v>
      </c>
    </row>
    <row r="55" spans="2:17" s="33" customFormat="1" x14ac:dyDescent="0.3">
      <c r="B55" s="61" t="s">
        <v>167</v>
      </c>
      <c r="G55" s="92"/>
      <c r="H55" s="92"/>
      <c r="I55" s="92"/>
      <c r="J55" s="99">
        <f>J54+$Q$50</f>
        <v>7.0000000000000007E-2</v>
      </c>
      <c r="K55" s="99">
        <f t="shared" ref="K55" si="47">K54+$Q$50</f>
        <v>9.0000000000000011E-2</v>
      </c>
      <c r="L55" s="99">
        <f t="shared" ref="L55" si="48">L54+$Q$50</f>
        <v>0.1</v>
      </c>
      <c r="M55" s="99">
        <f t="shared" ref="M55" si="49">M54+$Q$50</f>
        <v>0.115</v>
      </c>
      <c r="N55" s="99">
        <f t="shared" ref="N55" si="50">N54+$Q$50</f>
        <v>0.13999999999999999</v>
      </c>
    </row>
    <row r="56" spans="2:17" s="33" customFormat="1" x14ac:dyDescent="0.3">
      <c r="B56" s="73" t="s">
        <v>154</v>
      </c>
      <c r="G56" s="97">
        <f t="shared" ref="G56:I56" si="51">G46+G51</f>
        <v>74</v>
      </c>
      <c r="H56" s="97">
        <f t="shared" si="51"/>
        <v>73</v>
      </c>
      <c r="I56" s="97">
        <f t="shared" si="51"/>
        <v>75</v>
      </c>
      <c r="J56" s="97">
        <f ca="1">J46+J51</f>
        <v>75</v>
      </c>
      <c r="K56" s="97">
        <f t="shared" ref="K56:N56" ca="1" si="52">K46+K51</f>
        <v>77</v>
      </c>
      <c r="L56" s="97">
        <f t="shared" ca="1" si="52"/>
        <v>81</v>
      </c>
      <c r="M56" s="97">
        <f t="shared" ca="1" si="52"/>
        <v>86</v>
      </c>
      <c r="N56" s="97">
        <f t="shared" ca="1" si="52"/>
        <v>94</v>
      </c>
      <c r="O56" s="91">
        <f>_xlfn.RRI(2,G56,I56)</f>
        <v>6.7340828210364911E-3</v>
      </c>
      <c r="P56" s="91">
        <f ca="1">_xlfn.RRI(4,J56,N56)</f>
        <v>5.8075473796542321E-2</v>
      </c>
    </row>
    <row r="57" spans="2:17" s="33" customFormat="1" x14ac:dyDescent="0.3">
      <c r="B57" s="74"/>
      <c r="G57" s="92"/>
      <c r="H57" s="92"/>
      <c r="I57" s="92"/>
      <c r="J57" s="92"/>
      <c r="K57" s="92"/>
      <c r="L57" s="92"/>
      <c r="M57" s="92"/>
      <c r="N57" s="92"/>
      <c r="O57" s="91"/>
      <c r="P57" s="91"/>
    </row>
    <row r="58" spans="2:17" s="33" customFormat="1" x14ac:dyDescent="0.3">
      <c r="B58" s="74" t="s">
        <v>157</v>
      </c>
      <c r="G58" s="92"/>
      <c r="H58" s="92"/>
      <c r="I58" s="92"/>
      <c r="J58" s="92"/>
      <c r="K58" s="92"/>
      <c r="L58" s="92"/>
      <c r="M58" s="92"/>
      <c r="N58" s="92"/>
    </row>
    <row r="59" spans="2:17" s="33" customFormat="1" x14ac:dyDescent="0.3">
      <c r="B59" s="345" t="s">
        <v>143</v>
      </c>
      <c r="G59" s="92">
        <v>1536</v>
      </c>
      <c r="H59" s="92">
        <v>1508</v>
      </c>
      <c r="I59" s="92">
        <v>1438</v>
      </c>
      <c r="J59" s="92">
        <f ca="1">ROUNDUP(I59*(1+J60),0)</f>
        <v>1438</v>
      </c>
      <c r="K59" s="92">
        <f t="shared" ref="K59" ca="1" si="53">ROUNDUP(J59*(1+K60),0)</f>
        <v>1460</v>
      </c>
      <c r="L59" s="92">
        <f t="shared" ref="L59" ca="1" si="54">ROUNDUP(K59*(1+L60),0)</f>
        <v>1510</v>
      </c>
      <c r="M59" s="92">
        <f t="shared" ref="M59" ca="1" si="55">ROUNDUP(L59*(1+M60),0)</f>
        <v>1565</v>
      </c>
      <c r="N59" s="92">
        <f t="shared" ref="N59" ca="1" si="56">ROUNDUP(M59*(1+N60),0)</f>
        <v>1628</v>
      </c>
      <c r="O59" s="91">
        <f>_xlfn.RRI(2,G59,I59)</f>
        <v>-3.2426790022239915E-2</v>
      </c>
      <c r="P59" s="91">
        <f ca="1">_xlfn.RRI(4,J59,N59)</f>
        <v>3.1511035604284254E-2</v>
      </c>
    </row>
    <row r="60" spans="2:17" s="33" customFormat="1" x14ac:dyDescent="0.3">
      <c r="B60" s="345"/>
      <c r="G60" s="92"/>
      <c r="H60" s="92"/>
      <c r="I60" s="92"/>
      <c r="J60" s="89">
        <f ca="1">OFFSET(J60,MATCH($D$5,$B61:$B63,0),0)</f>
        <v>0</v>
      </c>
      <c r="K60" s="89">
        <f t="shared" ref="K60" ca="1" si="57">OFFSET(K60,MATCH($D$5,$B61:$B63,0),0)</f>
        <v>1.4999999999999999E-2</v>
      </c>
      <c r="L60" s="89">
        <f t="shared" ref="L60" ca="1" si="58">OFFSET(L60,MATCH($D$5,$B61:$B63,0),0)</f>
        <v>3.4000000000000002E-2</v>
      </c>
      <c r="M60" s="89">
        <f t="shared" ref="M60" ca="1" si="59">OFFSET(M60,MATCH($D$5,$B61:$B63,0),0)</f>
        <v>3.5999999999999997E-2</v>
      </c>
      <c r="N60" s="89">
        <f t="shared" ref="N60" ca="1" si="60">OFFSET(N60,MATCH($D$5,$B61:$B63,0),0)</f>
        <v>0.04</v>
      </c>
    </row>
    <row r="61" spans="2:17" s="33" customFormat="1" x14ac:dyDescent="0.3">
      <c r="B61" s="61" t="s">
        <v>166</v>
      </c>
      <c r="G61" s="92"/>
      <c r="H61" s="92"/>
      <c r="I61" s="92"/>
      <c r="J61" s="99">
        <f>J62+$Q$48</f>
        <v>1.2500000000000001E-2</v>
      </c>
      <c r="K61" s="99">
        <f t="shared" ref="K61" si="61">K62+$Q$48</f>
        <v>2.75E-2</v>
      </c>
      <c r="L61" s="99">
        <f t="shared" ref="L61" si="62">L62+$Q$48</f>
        <v>4.65E-2</v>
      </c>
      <c r="M61" s="99">
        <f t="shared" ref="M61" si="63">M62+$Q$48</f>
        <v>4.8500000000000001E-2</v>
      </c>
      <c r="N61" s="99">
        <f t="shared" ref="N61" si="64">N62+$Q$48</f>
        <v>5.2500000000000005E-2</v>
      </c>
    </row>
    <row r="62" spans="2:17" s="33" customFormat="1" x14ac:dyDescent="0.3">
      <c r="B62" s="61" t="s">
        <v>38</v>
      </c>
      <c r="G62" s="92"/>
      <c r="H62" s="89">
        <f>H59/G59-1</f>
        <v>-1.822916666666663E-2</v>
      </c>
      <c r="I62" s="89">
        <f>I59/H59-1</f>
        <v>-4.6419098143236082E-2</v>
      </c>
      <c r="J62" s="99">
        <v>0</v>
      </c>
      <c r="K62" s="99">
        <v>1.4999999999999999E-2</v>
      </c>
      <c r="L62" s="99">
        <v>3.4000000000000002E-2</v>
      </c>
      <c r="M62" s="99">
        <v>3.5999999999999997E-2</v>
      </c>
      <c r="N62" s="99">
        <v>0.04</v>
      </c>
    </row>
    <row r="63" spans="2:17" s="33" customFormat="1" x14ac:dyDescent="0.3">
      <c r="B63" s="61" t="s">
        <v>167</v>
      </c>
      <c r="G63" s="92"/>
      <c r="H63" s="92"/>
      <c r="I63" s="92"/>
      <c r="J63" s="99">
        <f>J62+$Q$50</f>
        <v>-0.01</v>
      </c>
      <c r="K63" s="99">
        <f t="shared" ref="K63" si="65">K62+$Q$50</f>
        <v>4.9999999999999992E-3</v>
      </c>
      <c r="L63" s="99">
        <f t="shared" ref="L63" si="66">L62+$Q$50</f>
        <v>2.4E-2</v>
      </c>
      <c r="M63" s="99">
        <f t="shared" ref="M63" si="67">M62+$Q$50</f>
        <v>2.5999999999999995E-2</v>
      </c>
      <c r="N63" s="99">
        <f t="shared" ref="N63" si="68">N62+$Q$50</f>
        <v>0.03</v>
      </c>
    </row>
    <row r="64" spans="2:17" s="33" customFormat="1" x14ac:dyDescent="0.3">
      <c r="B64" s="345" t="s">
        <v>144</v>
      </c>
      <c r="G64" s="92">
        <v>46</v>
      </c>
      <c r="H64" s="92">
        <v>50</v>
      </c>
      <c r="I64" s="92">
        <v>55</v>
      </c>
      <c r="J64" s="92">
        <f ca="1">ROUNDUP(I64*(1+J65),0)</f>
        <v>61</v>
      </c>
      <c r="K64" s="92">
        <f t="shared" ref="K64" ca="1" si="69">ROUNDUP(J64*(1+K65),0)</f>
        <v>68</v>
      </c>
      <c r="L64" s="92">
        <f t="shared" ref="L64" ca="1" si="70">ROUNDUP(K64*(1+L65),0)</f>
        <v>76</v>
      </c>
      <c r="M64" s="92">
        <f t="shared" ref="M64" ca="1" si="71">ROUNDUP(L64*(1+M65),0)</f>
        <v>85</v>
      </c>
      <c r="N64" s="92">
        <f t="shared" ref="N64" ca="1" si="72">ROUNDUP(M64*(1+N65),0)</f>
        <v>96</v>
      </c>
      <c r="O64" s="91">
        <f>_xlfn.RRI(2,G64,I64)</f>
        <v>9.3458812170373218E-2</v>
      </c>
      <c r="P64" s="91">
        <f ca="1">_xlfn.RRI(4,J64,N64)</f>
        <v>0.1200446849900052</v>
      </c>
    </row>
    <row r="65" spans="1:19" s="33" customFormat="1" x14ac:dyDescent="0.3">
      <c r="B65" s="345"/>
      <c r="G65" s="92"/>
      <c r="H65" s="92"/>
      <c r="I65" s="92"/>
      <c r="J65" s="89">
        <f ca="1">OFFSET(J65,MATCH($D$5,$B66:$B68,0),0)</f>
        <v>0.1</v>
      </c>
      <c r="K65" s="89">
        <f t="shared" ref="K65" ca="1" si="73">OFFSET(K65,MATCH($D$5,$B66:$B68,0),0)</f>
        <v>0.10500000000000001</v>
      </c>
      <c r="L65" s="89">
        <f t="shared" ref="L65" ca="1" si="74">OFFSET(L65,MATCH($D$5,$B66:$B68,0),0)</f>
        <v>0.11000000000000001</v>
      </c>
      <c r="M65" s="89">
        <f t="shared" ref="M65" ca="1" si="75">OFFSET(M65,MATCH($D$5,$B66:$B68,0),0)</f>
        <v>0.11500000000000002</v>
      </c>
      <c r="N65" s="89">
        <f t="shared" ref="N65" ca="1" si="76">OFFSET(N65,MATCH($D$5,$B66:$B68,0),0)</f>
        <v>0.12</v>
      </c>
    </row>
    <row r="66" spans="1:19" s="33" customFormat="1" x14ac:dyDescent="0.3">
      <c r="B66" s="61" t="s">
        <v>166</v>
      </c>
      <c r="G66" s="92"/>
      <c r="H66" s="92"/>
      <c r="I66" s="92"/>
      <c r="J66" s="99">
        <f>J67+$Q$48</f>
        <v>0.1125</v>
      </c>
      <c r="K66" s="99">
        <f t="shared" ref="K66" si="77">K67+$Q$48</f>
        <v>0.11750000000000001</v>
      </c>
      <c r="L66" s="99">
        <f t="shared" ref="L66" si="78">L67+$Q$48</f>
        <v>0.12250000000000001</v>
      </c>
      <c r="M66" s="99">
        <f t="shared" ref="M66" si="79">M67+$Q$48</f>
        <v>0.12750000000000003</v>
      </c>
      <c r="N66" s="99">
        <f t="shared" ref="N66" si="80">N67+$Q$48</f>
        <v>0.13250000000000001</v>
      </c>
    </row>
    <row r="67" spans="1:19" s="33" customFormat="1" x14ac:dyDescent="0.3">
      <c r="B67" s="61" t="s">
        <v>38</v>
      </c>
      <c r="G67" s="92"/>
      <c r="H67" s="89">
        <f>H64/G64-1</f>
        <v>8.6956521739130377E-2</v>
      </c>
      <c r="I67" s="89">
        <f>I64/H64-1</f>
        <v>0.10000000000000009</v>
      </c>
      <c r="J67" s="99">
        <v>0.1</v>
      </c>
      <c r="K67" s="99">
        <f>J67+($N$67-$J$67)/4</f>
        <v>0.10500000000000001</v>
      </c>
      <c r="L67" s="99">
        <f t="shared" ref="L67:M67" si="81">K67+($N$67-$J$67)/4</f>
        <v>0.11000000000000001</v>
      </c>
      <c r="M67" s="99">
        <f t="shared" si="81"/>
        <v>0.11500000000000002</v>
      </c>
      <c r="N67" s="99">
        <v>0.12</v>
      </c>
    </row>
    <row r="68" spans="1:19" s="33" customFormat="1" x14ac:dyDescent="0.3">
      <c r="B68" s="61" t="s">
        <v>167</v>
      </c>
      <c r="G68" s="92"/>
      <c r="H68" s="92"/>
      <c r="I68" s="92"/>
      <c r="J68" s="99">
        <f>J67+$Q$50</f>
        <v>9.0000000000000011E-2</v>
      </c>
      <c r="K68" s="99">
        <f t="shared" ref="K68" si="82">K67+$Q$50</f>
        <v>9.5000000000000015E-2</v>
      </c>
      <c r="L68" s="99">
        <f t="shared" ref="L68" si="83">L67+$Q$50</f>
        <v>0.10000000000000002</v>
      </c>
      <c r="M68" s="99">
        <f t="shared" ref="M68" si="84">M67+$Q$50</f>
        <v>0.10500000000000002</v>
      </c>
      <c r="N68" s="99">
        <f t="shared" ref="N68" si="85">N67+$Q$50</f>
        <v>0.11</v>
      </c>
    </row>
    <row r="69" spans="1:19" s="33" customFormat="1" x14ac:dyDescent="0.3">
      <c r="B69" s="73" t="s">
        <v>154</v>
      </c>
      <c r="G69" s="97">
        <f t="shared" ref="G69:I69" si="86">G59+G64</f>
        <v>1582</v>
      </c>
      <c r="H69" s="97">
        <f t="shared" si="86"/>
        <v>1558</v>
      </c>
      <c r="I69" s="97">
        <f t="shared" si="86"/>
        <v>1493</v>
      </c>
      <c r="J69" s="97">
        <f ca="1">J59+J64</f>
        <v>1499</v>
      </c>
      <c r="K69" s="97">
        <f t="shared" ref="K69:N69" ca="1" si="87">K59+K64</f>
        <v>1528</v>
      </c>
      <c r="L69" s="97">
        <f t="shared" ca="1" si="87"/>
        <v>1586</v>
      </c>
      <c r="M69" s="97">
        <f t="shared" ca="1" si="87"/>
        <v>1650</v>
      </c>
      <c r="N69" s="97">
        <f t="shared" ca="1" si="87"/>
        <v>1724</v>
      </c>
      <c r="O69" s="91">
        <f>_xlfn.RRI(2,G69,I69)</f>
        <v>-2.8536105349583618E-2</v>
      </c>
      <c r="P69" s="91">
        <f ca="1">_xlfn.RRI(4,J69,N69)</f>
        <v>3.5580602756782875E-2</v>
      </c>
    </row>
    <row r="70" spans="1:19" s="33" customFormat="1" x14ac:dyDescent="0.3">
      <c r="B70" s="73"/>
      <c r="G70" s="92"/>
      <c r="H70" s="92"/>
      <c r="I70" s="92"/>
      <c r="J70" s="92"/>
      <c r="K70" s="92"/>
      <c r="L70" s="92"/>
      <c r="M70" s="92"/>
      <c r="N70" s="92"/>
    </row>
    <row r="71" spans="1:19" s="33" customFormat="1" x14ac:dyDescent="0.3">
      <c r="B71" s="77" t="s">
        <v>158</v>
      </c>
      <c r="G71" s="97"/>
      <c r="H71" s="97"/>
      <c r="I71" s="97"/>
      <c r="J71" s="97"/>
      <c r="K71" s="97"/>
      <c r="L71" s="97"/>
      <c r="M71" s="97"/>
      <c r="N71" s="97"/>
      <c r="O71" s="91"/>
      <c r="P71" s="91"/>
    </row>
    <row r="72" spans="1:19" s="33" customFormat="1" x14ac:dyDescent="0.3">
      <c r="B72" s="71" t="s">
        <v>143</v>
      </c>
      <c r="G72" s="92">
        <f>G46+G59</f>
        <v>1602</v>
      </c>
      <c r="H72" s="92">
        <f t="shared" ref="H72:N72" si="88">H46+H59</f>
        <v>1573</v>
      </c>
      <c r="I72" s="92">
        <f t="shared" si="88"/>
        <v>1499</v>
      </c>
      <c r="J72" s="92">
        <f t="shared" ca="1" si="88"/>
        <v>1497</v>
      </c>
      <c r="K72" s="92">
        <f t="shared" ca="1" si="88"/>
        <v>1519</v>
      </c>
      <c r="L72" s="92">
        <f t="shared" ca="1" si="88"/>
        <v>1571</v>
      </c>
      <c r="M72" s="92">
        <f t="shared" ca="1" si="88"/>
        <v>1628</v>
      </c>
      <c r="N72" s="92">
        <f t="shared" ca="1" si="88"/>
        <v>1695</v>
      </c>
      <c r="O72" s="91"/>
      <c r="P72" s="91"/>
    </row>
    <row r="73" spans="1:19" s="33" customFormat="1" x14ac:dyDescent="0.3">
      <c r="B73" s="72" t="s">
        <v>169</v>
      </c>
      <c r="G73" s="92"/>
      <c r="H73" s="89">
        <f>H72/G72-1</f>
        <v>-1.8102372034956349E-2</v>
      </c>
      <c r="I73" s="89">
        <f t="shared" ref="I73:N73" si="89">I72/H72-1</f>
        <v>-4.7043865225683379E-2</v>
      </c>
      <c r="J73" s="89">
        <f t="shared" ca="1" si="89"/>
        <v>-1.3342228152101177E-3</v>
      </c>
      <c r="K73" s="89">
        <f t="shared" ca="1" si="89"/>
        <v>1.4696058784235078E-2</v>
      </c>
      <c r="L73" s="89">
        <f t="shared" ca="1" si="89"/>
        <v>3.4233048057932924E-2</v>
      </c>
      <c r="M73" s="89">
        <f t="shared" ca="1" si="89"/>
        <v>3.6282622533418296E-2</v>
      </c>
      <c r="N73" s="89">
        <f t="shared" ca="1" si="89"/>
        <v>4.1154791154791148E-2</v>
      </c>
      <c r="O73" s="91"/>
      <c r="P73" s="91"/>
    </row>
    <row r="74" spans="1:19" s="33" customFormat="1" x14ac:dyDescent="0.3">
      <c r="B74" s="71" t="s">
        <v>144</v>
      </c>
      <c r="G74" s="84">
        <f>G51+G64</f>
        <v>54</v>
      </c>
      <c r="H74" s="84">
        <f t="shared" ref="H74:N74" si="90">H51+H64</f>
        <v>58</v>
      </c>
      <c r="I74" s="84">
        <f t="shared" si="90"/>
        <v>69</v>
      </c>
      <c r="J74" s="84">
        <f t="shared" ca="1" si="90"/>
        <v>77</v>
      </c>
      <c r="K74" s="84">
        <f t="shared" ca="1" si="90"/>
        <v>86</v>
      </c>
      <c r="L74" s="84">
        <f t="shared" ca="1" si="90"/>
        <v>96</v>
      </c>
      <c r="M74" s="84">
        <f t="shared" ca="1" si="90"/>
        <v>108</v>
      </c>
      <c r="N74" s="84">
        <f t="shared" ca="1" si="90"/>
        <v>123</v>
      </c>
    </row>
    <row r="75" spans="1:19" s="33" customFormat="1" x14ac:dyDescent="0.3">
      <c r="B75" s="72" t="s">
        <v>169</v>
      </c>
      <c r="G75" s="84"/>
      <c r="H75" s="89">
        <f>H74/G74-1</f>
        <v>7.4074074074074181E-2</v>
      </c>
      <c r="I75" s="89">
        <f t="shared" ref="I75" si="91">I74/H74-1</f>
        <v>0.18965517241379315</v>
      </c>
      <c r="J75" s="89">
        <f t="shared" ref="J75" ca="1" si="92">J74/I74-1</f>
        <v>0.11594202898550732</v>
      </c>
      <c r="K75" s="89">
        <f t="shared" ref="K75" ca="1" si="93">K74/J74-1</f>
        <v>0.11688311688311681</v>
      </c>
      <c r="L75" s="89">
        <f t="shared" ref="L75" ca="1" si="94">L74/K74-1</f>
        <v>0.11627906976744184</v>
      </c>
      <c r="M75" s="89">
        <f t="shared" ref="M75" ca="1" si="95">M74/L74-1</f>
        <v>0.125</v>
      </c>
      <c r="N75" s="89">
        <f t="shared" ref="N75" ca="1" si="96">N74/M74-1</f>
        <v>0.13888888888888884</v>
      </c>
    </row>
    <row r="76" spans="1:19" s="33" customFormat="1" x14ac:dyDescent="0.3">
      <c r="B76" s="73" t="s">
        <v>154</v>
      </c>
      <c r="G76" s="97">
        <f t="shared" ref="G76:N76" si="97">SUM(G72:G74)</f>
        <v>1656</v>
      </c>
      <c r="H76" s="97">
        <f t="shared" si="97"/>
        <v>1630.9818976279651</v>
      </c>
      <c r="I76" s="97">
        <f t="shared" si="97"/>
        <v>1567.9529561347742</v>
      </c>
      <c r="J76" s="97">
        <f t="shared" ca="1" si="97"/>
        <v>1573.9986657771849</v>
      </c>
      <c r="K76" s="97">
        <f t="shared" ca="1" si="97"/>
        <v>1605.0146960587842</v>
      </c>
      <c r="L76" s="97">
        <f t="shared" ca="1" si="97"/>
        <v>1667.034233048058</v>
      </c>
      <c r="M76" s="97">
        <f t="shared" ca="1" si="97"/>
        <v>1736.0362826225335</v>
      </c>
      <c r="N76" s="97">
        <f t="shared" ca="1" si="97"/>
        <v>1818.0411547911549</v>
      </c>
      <c r="O76" s="91">
        <f>_xlfn.RRI(2,G76,I76)</f>
        <v>-2.6947331718129686E-2</v>
      </c>
      <c r="P76" s="91">
        <f ca="1">_xlfn.RRI(4,J76,N76)</f>
        <v>3.6692215754535296E-2</v>
      </c>
    </row>
    <row r="77" spans="1:19" s="33" customFormat="1" x14ac:dyDescent="0.3">
      <c r="B77" s="114" t="s">
        <v>169</v>
      </c>
      <c r="G77" s="50"/>
      <c r="H77" s="89">
        <f>H76/G76-1</f>
        <v>-1.5107549741567028E-2</v>
      </c>
      <c r="I77" s="89">
        <f t="shared" ref="I77" si="98">I76/H76-1</f>
        <v>-3.8644782989227244E-2</v>
      </c>
      <c r="J77" s="89">
        <f t="shared" ref="J77" ca="1" si="99">J76/I76-1</f>
        <v>3.8557978533451109E-3</v>
      </c>
      <c r="K77" s="89">
        <f t="shared" ref="K77" ca="1" si="100">K76/J76-1</f>
        <v>1.9705245598975685E-2</v>
      </c>
      <c r="L77" s="89">
        <f t="shared" ref="L77" ca="1" si="101">L76/K76-1</f>
        <v>3.8641102253809123E-2</v>
      </c>
      <c r="M77" s="89">
        <f t="shared" ref="M77" ca="1" si="102">M76/L76-1</f>
        <v>4.1392101137785131E-2</v>
      </c>
      <c r="N77" s="89">
        <f t="shared" ref="N77" ca="1" si="103">N76/M76-1</f>
        <v>4.7236842334159812E-2</v>
      </c>
    </row>
    <row r="78" spans="1:19" s="33" customFormat="1" x14ac:dyDescent="0.3"/>
    <row r="79" spans="1:19" ht="14.4" x14ac:dyDescent="0.3">
      <c r="A79" s="10" t="s">
        <v>34</v>
      </c>
      <c r="B79" s="8" t="s">
        <v>171</v>
      </c>
      <c r="C79" s="35"/>
      <c r="D79" s="36"/>
      <c r="E79" s="35"/>
      <c r="F79" s="35"/>
      <c r="G79" s="82">
        <v>44920</v>
      </c>
      <c r="H79" s="82">
        <v>45285</v>
      </c>
      <c r="I79" s="82">
        <v>45651</v>
      </c>
      <c r="J79" s="83">
        <v>46016</v>
      </c>
      <c r="K79" s="83">
        <v>46381</v>
      </c>
      <c r="L79" s="83">
        <v>46746</v>
      </c>
      <c r="M79" s="83">
        <v>47112</v>
      </c>
      <c r="N79" s="83">
        <v>47477</v>
      </c>
      <c r="O79" s="35"/>
      <c r="P79" s="35"/>
      <c r="Q79" s="35"/>
      <c r="R79" s="35"/>
      <c r="S79" s="35"/>
    </row>
    <row r="81" spans="2:17" x14ac:dyDescent="0.3">
      <c r="B81" s="74" t="s">
        <v>92</v>
      </c>
    </row>
    <row r="82" spans="2:17" x14ac:dyDescent="0.3">
      <c r="B82" s="71" t="s">
        <v>78</v>
      </c>
      <c r="G82" s="92">
        <f>Statements!G23</f>
        <v>53617</v>
      </c>
      <c r="H82" s="92">
        <f>Statements!H23</f>
        <v>55789</v>
      </c>
      <c r="I82" s="92">
        <f>Statements!I23</f>
        <v>53931</v>
      </c>
      <c r="J82" s="92">
        <f ca="1">J76*J83</f>
        <v>55718.532842616019</v>
      </c>
      <c r="K82" s="92">
        <f t="shared" ref="K82:N82" ca="1" si="104">K76*K83</f>
        <v>57048.893833388749</v>
      </c>
      <c r="L82" s="92">
        <f t="shared" ca="1" si="104"/>
        <v>60191.557903106754</v>
      </c>
      <c r="M82" s="92">
        <f t="shared" ca="1" si="104"/>
        <v>63708.953486677237</v>
      </c>
      <c r="N82" s="92">
        <f t="shared" ca="1" si="104"/>
        <v>67525.476969302254</v>
      </c>
      <c r="O82" s="91">
        <f>_xlfn.RRI(2,G82,I82)</f>
        <v>2.9239011661343906E-3</v>
      </c>
      <c r="P82" s="91">
        <f ca="1">_xlfn.RRI(4,J82,N82)</f>
        <v>4.9221054910464135E-2</v>
      </c>
      <c r="Q82" s="103" t="s">
        <v>161</v>
      </c>
    </row>
    <row r="83" spans="2:17" x14ac:dyDescent="0.3">
      <c r="B83" s="71" t="s">
        <v>173</v>
      </c>
      <c r="G83" s="50">
        <f>G82/G$76</f>
        <v>32.3774154589372</v>
      </c>
      <c r="H83" s="50">
        <f t="shared" ref="H83:I83" si="105">H82/H$76</f>
        <v>34.205775110770567</v>
      </c>
      <c r="I83" s="50">
        <f t="shared" si="105"/>
        <v>34.395802367022249</v>
      </c>
      <c r="J83" s="50">
        <f>I83*(1+J87)</f>
        <v>35.399352016035017</v>
      </c>
      <c r="K83" s="50">
        <f>J83*(1+K87)</f>
        <v>35.544156681852158</v>
      </c>
      <c r="L83" s="50">
        <f t="shared" ref="L83:N83" si="106">K83*(1+L87)</f>
        <v>36.106971716501953</v>
      </c>
      <c r="M83" s="50">
        <f t="shared" si="106"/>
        <v>36.697938933877388</v>
      </c>
      <c r="N83" s="50">
        <f t="shared" si="106"/>
        <v>37.141885810092759</v>
      </c>
      <c r="Q83" s="112" t="s">
        <v>192</v>
      </c>
    </row>
    <row r="84" spans="2:17" x14ac:dyDescent="0.3">
      <c r="B84" s="61" t="s">
        <v>196</v>
      </c>
      <c r="G84" s="92">
        <v>257.89699999999999</v>
      </c>
      <c r="H84" s="92">
        <v>249.86600000000001</v>
      </c>
      <c r="I84" s="92">
        <v>253.423</v>
      </c>
      <c r="J84" s="92">
        <v>260.81700000000001</v>
      </c>
      <c r="K84" s="92">
        <f ca="1">J84*(1+K85)</f>
        <v>261.8838985835481</v>
      </c>
      <c r="L84" s="92">
        <f t="shared" ref="L84:N84" ca="1" si="107">K84*(1+L85)</f>
        <v>266.03063349625955</v>
      </c>
      <c r="M84" s="92">
        <f t="shared" ca="1" si="107"/>
        <v>270.38478937641213</v>
      </c>
      <c r="N84" s="92">
        <f t="shared" ca="1" si="107"/>
        <v>273.65572191668616</v>
      </c>
      <c r="O84" s="33"/>
    </row>
    <row r="85" spans="2:17" x14ac:dyDescent="0.3">
      <c r="B85" s="61"/>
      <c r="K85" s="89">
        <f ca="1">OFFSET(K85,MATCH($D$5,$B86:$B88,0),0)</f>
        <v>4.0906021599362479E-3</v>
      </c>
      <c r="L85" s="89">
        <f t="shared" ref="L85:N85" ca="1" si="108">OFFSET(L85,MATCH($D$5,$B86:$B88,0),0)</f>
        <v>1.5834249204093476E-2</v>
      </c>
      <c r="M85" s="89">
        <f t="shared" ca="1" si="108"/>
        <v>1.6367122172844736E-2</v>
      </c>
      <c r="N85" s="89">
        <f t="shared" ca="1" si="108"/>
        <v>1.2097324512291487E-2</v>
      </c>
      <c r="O85" s="33"/>
    </row>
    <row r="86" spans="2:17" x14ac:dyDescent="0.3">
      <c r="B86" s="61" t="s">
        <v>166</v>
      </c>
      <c r="C86" s="33"/>
      <c r="D86" s="33"/>
      <c r="E86" s="33"/>
      <c r="F86" s="33"/>
      <c r="G86" s="92"/>
      <c r="H86" s="5"/>
      <c r="I86" s="5"/>
      <c r="J86" s="5"/>
      <c r="K86" s="99">
        <f>K87+$Q$86</f>
        <v>-9.0939784006375222E-4</v>
      </c>
      <c r="L86" s="99">
        <f t="shared" ref="L86:N86" si="109">L87+$Q$86</f>
        <v>1.0834249204093475E-2</v>
      </c>
      <c r="M86" s="99">
        <f t="shared" si="109"/>
        <v>1.1367122172844735E-2</v>
      </c>
      <c r="N86" s="99">
        <f t="shared" si="109"/>
        <v>7.0973245122914865E-3</v>
      </c>
      <c r="O86" s="33"/>
      <c r="Q86" s="107">
        <v>-5.0000000000000001E-3</v>
      </c>
    </row>
    <row r="87" spans="2:17" x14ac:dyDescent="0.3">
      <c r="B87" s="61" t="s">
        <v>38</v>
      </c>
      <c r="C87" s="33"/>
      <c r="D87" s="33"/>
      <c r="E87" s="33"/>
      <c r="F87" s="33"/>
      <c r="G87" s="92"/>
      <c r="H87" s="89">
        <f>H84/G84-1</f>
        <v>-3.1140338972535431E-2</v>
      </c>
      <c r="I87" s="89">
        <f>I84/H84-1</f>
        <v>1.4235630297839696E-2</v>
      </c>
      <c r="J87" s="89">
        <f>J84/I84-1</f>
        <v>2.9176515154504479E-2</v>
      </c>
      <c r="K87" s="99">
        <f>AVERAGE(H87:J87)</f>
        <v>4.0906021599362479E-3</v>
      </c>
      <c r="L87" s="99">
        <f t="shared" ref="L87:N87" si="110">AVERAGE(I87:K87)</f>
        <v>1.5834249204093476E-2</v>
      </c>
      <c r="M87" s="99">
        <f t="shared" si="110"/>
        <v>1.6367122172844736E-2</v>
      </c>
      <c r="N87" s="99">
        <f t="shared" si="110"/>
        <v>1.2097324512291487E-2</v>
      </c>
      <c r="O87" s="33"/>
      <c r="Q87" s="108"/>
    </row>
    <row r="88" spans="2:17" x14ac:dyDescent="0.3">
      <c r="B88" s="61" t="s">
        <v>167</v>
      </c>
      <c r="C88" s="33"/>
      <c r="D88" s="33"/>
      <c r="E88" s="33"/>
      <c r="F88" s="33"/>
      <c r="G88" s="92"/>
      <c r="H88" s="5"/>
      <c r="I88" s="5"/>
      <c r="J88" s="5"/>
      <c r="K88" s="99">
        <f>K87+$Q$88</f>
        <v>1.4090602159936249E-2</v>
      </c>
      <c r="L88" s="99">
        <f t="shared" ref="L88:N88" si="111">L87+$Q$88</f>
        <v>2.5834249204093475E-2</v>
      </c>
      <c r="M88" s="99">
        <f t="shared" si="111"/>
        <v>2.6367122172844738E-2</v>
      </c>
      <c r="N88" s="99">
        <f t="shared" si="111"/>
        <v>2.2097324512291489E-2</v>
      </c>
      <c r="O88" s="33"/>
      <c r="Q88" s="107">
        <v>0.01</v>
      </c>
    </row>
    <row r="89" spans="2:17" x14ac:dyDescent="0.3">
      <c r="B89" s="61"/>
      <c r="C89" s="33"/>
      <c r="D89" s="33"/>
      <c r="E89" s="33"/>
      <c r="F89" s="33"/>
      <c r="G89" s="92"/>
      <c r="H89" s="5"/>
      <c r="I89" s="5"/>
      <c r="J89" s="5"/>
      <c r="Q89" s="107"/>
    </row>
    <row r="90" spans="2:17" x14ac:dyDescent="0.3">
      <c r="B90" s="76" t="s">
        <v>79</v>
      </c>
      <c r="G90" s="92">
        <f>Statements!G24</f>
        <v>76412</v>
      </c>
      <c r="H90" s="92">
        <f>Statements!H24</f>
        <v>80666</v>
      </c>
      <c r="I90" s="92">
        <f>Statements!I24</f>
        <v>80605</v>
      </c>
      <c r="J90" s="92">
        <f ca="1">J91*J92</f>
        <v>81242.611227493078</v>
      </c>
      <c r="K90" s="92">
        <f t="shared" ref="K90:N90" ca="1" si="112">K91*K92</f>
        <v>84511.780332756243</v>
      </c>
      <c r="L90" s="92">
        <f t="shared" ca="1" si="112"/>
        <v>91198.439558171754</v>
      </c>
      <c r="M90" s="92">
        <f t="shared" ca="1" si="112"/>
        <v>98937.055436288108</v>
      </c>
      <c r="N90" s="92">
        <f t="shared" ca="1" si="112"/>
        <v>108511.30505574794</v>
      </c>
      <c r="O90" s="91">
        <f>_xlfn.RRI(2,G90,I90)</f>
        <v>2.7070387103999005E-2</v>
      </c>
      <c r="P90" s="91">
        <f ca="1">_xlfn.RRI(4,J90,N90)</f>
        <v>7.5035431766967697E-2</v>
      </c>
      <c r="Q90" s="10" t="s">
        <v>178</v>
      </c>
    </row>
    <row r="91" spans="2:17" x14ac:dyDescent="0.3">
      <c r="B91" s="37" t="s">
        <v>189</v>
      </c>
      <c r="G91" s="51">
        <f>G90/G92</f>
        <v>20.651891891891893</v>
      </c>
      <c r="H91" s="51">
        <f t="shared" ref="H91" si="113">H90/H92</f>
        <v>23.047428571428572</v>
      </c>
      <c r="I91" s="51">
        <f>I90/I92</f>
        <v>21.211842105263159</v>
      </c>
      <c r="J91" s="51">
        <f ca="1">($I91/$I$92)*J92</f>
        <v>21.29557306094183</v>
      </c>
      <c r="K91" s="51">
        <f t="shared" ref="K91:N91" ca="1" si="114">($I91/$I$92)*K92</f>
        <v>21.719809903047093</v>
      </c>
      <c r="L91" s="51">
        <f t="shared" ca="1" si="114"/>
        <v>22.562701523545709</v>
      </c>
      <c r="M91" s="51">
        <f t="shared" ca="1" si="114"/>
        <v>23.500488227146818</v>
      </c>
      <c r="N91" s="51">
        <f t="shared" ca="1" si="114"/>
        <v>24.611318905817178</v>
      </c>
      <c r="O91" s="33"/>
      <c r="Q91" s="10" t="s">
        <v>176</v>
      </c>
    </row>
    <row r="92" spans="2:17" x14ac:dyDescent="0.3">
      <c r="B92" s="71" t="s">
        <v>170</v>
      </c>
      <c r="G92" s="10">
        <v>3700</v>
      </c>
      <c r="H92" s="10">
        <v>3500</v>
      </c>
      <c r="I92" s="10">
        <v>3800</v>
      </c>
      <c r="J92" s="110">
        <f ca="1">ROUNDUP(I92*(1+J77),0)</f>
        <v>3815</v>
      </c>
      <c r="K92" s="10">
        <f t="shared" ref="K92:N92" ca="1" si="115">ROUNDUP(J92*(1+K77),0)</f>
        <v>3891</v>
      </c>
      <c r="L92" s="10">
        <f t="shared" ca="1" si="115"/>
        <v>4042</v>
      </c>
      <c r="M92" s="10">
        <f t="shared" ca="1" si="115"/>
        <v>4210</v>
      </c>
      <c r="N92" s="10">
        <f t="shared" ca="1" si="115"/>
        <v>4409</v>
      </c>
      <c r="Q92" s="10" t="s">
        <v>177</v>
      </c>
    </row>
    <row r="93" spans="2:17" x14ac:dyDescent="0.3">
      <c r="B93" s="71" t="s">
        <v>175</v>
      </c>
      <c r="G93" s="92">
        <f>ROUND(G94*26*8*12,0)</f>
        <v>24960</v>
      </c>
      <c r="H93" s="92">
        <f t="shared" ref="H93:N93" si="116">ROUND(H94*26*8*12,0)</f>
        <v>26208</v>
      </c>
      <c r="I93" s="92">
        <f t="shared" si="116"/>
        <v>28080</v>
      </c>
      <c r="J93" s="92">
        <f t="shared" si="116"/>
        <v>29328</v>
      </c>
      <c r="K93" s="92">
        <f t="shared" ca="1" si="116"/>
        <v>30501</v>
      </c>
      <c r="L93" s="92">
        <f t="shared" ca="1" si="116"/>
        <v>32026</v>
      </c>
      <c r="M93" s="92">
        <f t="shared" ca="1" si="116"/>
        <v>33435</v>
      </c>
      <c r="N93" s="92">
        <f t="shared" ca="1" si="116"/>
        <v>34929</v>
      </c>
    </row>
    <row r="94" spans="2:17" x14ac:dyDescent="0.3">
      <c r="B94" s="37" t="s">
        <v>174</v>
      </c>
      <c r="G94" s="106">
        <v>10</v>
      </c>
      <c r="H94" s="51">
        <v>10.5</v>
      </c>
      <c r="I94" s="106">
        <v>11.25</v>
      </c>
      <c r="J94" s="106">
        <v>11.75</v>
      </c>
      <c r="K94" s="106">
        <f ca="1">J94*(1+K95)</f>
        <v>12.22</v>
      </c>
      <c r="L94" s="106">
        <f t="shared" ref="L94:N94" ca="1" si="117">K94*(1+L95)</f>
        <v>12.831000000000001</v>
      </c>
      <c r="M94" s="106">
        <f t="shared" ca="1" si="117"/>
        <v>13.395564000000002</v>
      </c>
      <c r="N94" s="106">
        <f t="shared" ca="1" si="117"/>
        <v>13.993899192000002</v>
      </c>
    </row>
    <row r="95" spans="2:17" x14ac:dyDescent="0.3">
      <c r="B95" s="37"/>
      <c r="G95" s="109"/>
      <c r="H95" s="109"/>
      <c r="I95" s="109"/>
      <c r="K95" s="89">
        <f ca="1">OFFSET(K95,MATCH($D$5,$B96:$B98,0),0)</f>
        <v>0.04</v>
      </c>
      <c r="L95" s="89">
        <f t="shared" ref="L95" ca="1" si="118">OFFSET(L95,MATCH($D$5,$B96:$B98,0),0)</f>
        <v>0.05</v>
      </c>
      <c r="M95" s="89">
        <f t="shared" ref="M95" ca="1" si="119">OFFSET(M95,MATCH($D$5,$B96:$B98,0),0)</f>
        <v>4.3999999999999997E-2</v>
      </c>
      <c r="N95" s="89">
        <f t="shared" ref="N95" ca="1" si="120">OFFSET(N95,MATCH($D$5,$B96:$B98,0),0)</f>
        <v>4.4666666666666667E-2</v>
      </c>
    </row>
    <row r="96" spans="2:17" x14ac:dyDescent="0.3">
      <c r="B96" s="37" t="s">
        <v>166</v>
      </c>
      <c r="C96" s="33"/>
      <c r="D96" s="33"/>
      <c r="E96" s="33"/>
      <c r="F96" s="33"/>
      <c r="G96" s="92"/>
      <c r="H96" s="5"/>
      <c r="I96" s="5"/>
      <c r="J96" s="5"/>
      <c r="K96" s="99">
        <f>K97+$Q$96</f>
        <v>3.2500000000000001E-2</v>
      </c>
      <c r="L96" s="99">
        <f t="shared" ref="L96:N96" si="121">L97+$Q$96</f>
        <v>4.2500000000000003E-2</v>
      </c>
      <c r="M96" s="99">
        <f t="shared" si="121"/>
        <v>3.6499999999999998E-2</v>
      </c>
      <c r="N96" s="99">
        <f t="shared" si="121"/>
        <v>3.7166666666666667E-2</v>
      </c>
      <c r="Q96" s="107">
        <v>-7.4999999999999997E-3</v>
      </c>
    </row>
    <row r="97" spans="2:17" x14ac:dyDescent="0.3">
      <c r="B97" s="37" t="s">
        <v>38</v>
      </c>
      <c r="C97" s="33"/>
      <c r="D97" s="33"/>
      <c r="E97" s="33"/>
      <c r="F97" s="33"/>
      <c r="G97" s="92"/>
      <c r="H97" s="89">
        <f>H94/G94-1</f>
        <v>5.0000000000000044E-2</v>
      </c>
      <c r="I97" s="89">
        <f>I94/H94-1</f>
        <v>7.1428571428571397E-2</v>
      </c>
      <c r="J97" s="89">
        <f>J94/I94-1</f>
        <v>4.4444444444444509E-2</v>
      </c>
      <c r="K97" s="99">
        <v>0.04</v>
      </c>
      <c r="L97" s="99">
        <v>0.05</v>
      </c>
      <c r="M97" s="99">
        <v>4.3999999999999997E-2</v>
      </c>
      <c r="N97" s="99">
        <f t="array" ref="N97">AVERAGE(K97:M97)</f>
        <v>4.4666666666666667E-2</v>
      </c>
      <c r="Q97" s="108"/>
    </row>
    <row r="98" spans="2:17" x14ac:dyDescent="0.3">
      <c r="B98" s="37" t="s">
        <v>167</v>
      </c>
      <c r="C98" s="33"/>
      <c r="D98" s="33"/>
      <c r="E98" s="33"/>
      <c r="F98" s="33"/>
      <c r="G98" s="92"/>
      <c r="H98" s="5"/>
      <c r="I98" s="5"/>
      <c r="J98" s="5"/>
      <c r="K98" s="99">
        <f>K97+$Q$98</f>
        <v>5.2500000000000005E-2</v>
      </c>
      <c r="L98" s="99">
        <f t="shared" ref="L98:N98" si="122">L97+$Q$98</f>
        <v>6.25E-2</v>
      </c>
      <c r="M98" s="99">
        <f t="shared" si="122"/>
        <v>5.6499999999999995E-2</v>
      </c>
      <c r="N98" s="99">
        <f t="shared" si="122"/>
        <v>5.7166666666666671E-2</v>
      </c>
      <c r="Q98" s="107">
        <v>1.2500000000000001E-2</v>
      </c>
    </row>
    <row r="99" spans="2:17" x14ac:dyDescent="0.3">
      <c r="B99" s="111"/>
    </row>
    <row r="100" spans="2:17" x14ac:dyDescent="0.3">
      <c r="B100" s="76" t="s">
        <v>80</v>
      </c>
      <c r="G100" s="92">
        <f>Statements!G25</f>
        <v>15154</v>
      </c>
      <c r="H100" s="92">
        <f>Statements!H25</f>
        <v>16809</v>
      </c>
      <c r="I100" s="92">
        <f>Statements!I25</f>
        <v>18129</v>
      </c>
      <c r="J100" s="92">
        <f ca="1">J37*J101</f>
        <v>15545.869263878325</v>
      </c>
      <c r="K100" s="92">
        <f t="shared" ref="K100:N100" ca="1" si="123">K37*K101</f>
        <v>16637.872873522108</v>
      </c>
      <c r="L100" s="92">
        <f t="shared" ca="1" si="123"/>
        <v>17517.315312380219</v>
      </c>
      <c r="M100" s="92">
        <f t="shared" ca="1" si="123"/>
        <v>17640.412989499146</v>
      </c>
      <c r="N100" s="92">
        <f t="shared" ca="1" si="123"/>
        <v>18622.843038222331</v>
      </c>
      <c r="O100" s="91">
        <f>_xlfn.RRI(2,G100,I100)</f>
        <v>9.376313883773002E-2</v>
      </c>
      <c r="P100" s="91">
        <f ca="1">_xlfn.RRI(4,J100,N100)</f>
        <v>4.6183203020220276E-2</v>
      </c>
      <c r="Q100" s="10" t="s">
        <v>193</v>
      </c>
    </row>
    <row r="101" spans="2:17" x14ac:dyDescent="0.3">
      <c r="B101" s="71" t="s">
        <v>187</v>
      </c>
      <c r="G101" s="89">
        <f>G100/G37</f>
        <v>0.39262118817524677</v>
      </c>
      <c r="H101" s="89">
        <f t="shared" ref="H101:I101" si="124">H100/H37</f>
        <v>0.46843909372126075</v>
      </c>
      <c r="I101" s="89">
        <f t="shared" si="124"/>
        <v>0.54664696659027856</v>
      </c>
      <c r="J101" s="105">
        <f>AVERAGE(G101:I101)</f>
        <v>0.46923574949559538</v>
      </c>
      <c r="K101" s="105">
        <f t="shared" ref="K101:N101" si="125">AVERAGE(H101:J101)</f>
        <v>0.49477393660237823</v>
      </c>
      <c r="L101" s="105">
        <f t="shared" si="125"/>
        <v>0.5035522175627507</v>
      </c>
      <c r="M101" s="105">
        <f t="shared" si="125"/>
        <v>0.48918730122024146</v>
      </c>
      <c r="N101" s="105">
        <f t="shared" si="125"/>
        <v>0.49583781846179015</v>
      </c>
    </row>
    <row r="102" spans="2:17" x14ac:dyDescent="0.3">
      <c r="B102" s="76"/>
    </row>
    <row r="103" spans="2:17" x14ac:dyDescent="0.3">
      <c r="B103" s="76" t="s">
        <v>81</v>
      </c>
      <c r="G103" s="92">
        <f>Statements!G26</f>
        <v>34275</v>
      </c>
      <c r="H103" s="92">
        <f>Statements!H26</f>
        <v>34335</v>
      </c>
      <c r="I103" s="92">
        <f>Statements!I26</f>
        <v>37079</v>
      </c>
      <c r="J103" s="92">
        <f ca="1">J104*J42</f>
        <v>35023.703569795704</v>
      </c>
      <c r="K103" s="92">
        <f t="shared" ref="K103:N103" ca="1" si="126">K104*K42</f>
        <v>36059.944129070886</v>
      </c>
      <c r="L103" s="92">
        <f t="shared" ca="1" si="126"/>
        <v>38084.48708176909</v>
      </c>
      <c r="M103" s="92">
        <f t="shared" ca="1" si="126"/>
        <v>39195.646083788204</v>
      </c>
      <c r="N103" s="92">
        <f t="shared" ca="1" si="126"/>
        <v>41257.665570139208</v>
      </c>
      <c r="O103" s="91">
        <f>_xlfn.RRI(2,G103,I103)</f>
        <v>4.0100427177178988E-2</v>
      </c>
      <c r="P103" s="91">
        <f ca="1">_xlfn.RRI(4,J103,N103)</f>
        <v>4.1803100685228189E-2</v>
      </c>
      <c r="Q103" s="10" t="s">
        <v>194</v>
      </c>
    </row>
    <row r="104" spans="2:17" x14ac:dyDescent="0.3">
      <c r="B104" s="71" t="s">
        <v>188</v>
      </c>
      <c r="G104" s="89">
        <f>G103/G42</f>
        <v>7.5093826202980093E-2</v>
      </c>
      <c r="H104" s="89">
        <f t="shared" ref="H104:I104" si="127">H103/H42</f>
        <v>7.4010286211906307E-2</v>
      </c>
      <c r="I104" s="89">
        <f t="shared" si="127"/>
        <v>8.1972613157534041E-2</v>
      </c>
      <c r="J104" s="89">
        <f t="array" ref="J104">AVERAGE(G104:I104)</f>
        <v>7.7025575190806814E-2</v>
      </c>
      <c r="K104" s="89">
        <f t="array" ref="K104">AVERAGE(H104:J104)</f>
        <v>7.7669491520082387E-2</v>
      </c>
      <c r="L104" s="89">
        <f t="array" ref="L104">AVERAGE(I104:K104)</f>
        <v>7.8889226622807743E-2</v>
      </c>
      <c r="M104" s="89">
        <f t="array" ref="M104">AVERAGE(J104:L104)</f>
        <v>7.7861431111232324E-2</v>
      </c>
      <c r="N104" s="89">
        <f t="array" ref="N104">AVERAGE(K104:M104)</f>
        <v>7.814004975137416E-2</v>
      </c>
    </row>
    <row r="105" spans="2:17" x14ac:dyDescent="0.3">
      <c r="B105" s="111"/>
    </row>
    <row r="106" spans="2:17" x14ac:dyDescent="0.3">
      <c r="B106" s="77" t="s">
        <v>94</v>
      </c>
    </row>
    <row r="107" spans="2:17" x14ac:dyDescent="0.3">
      <c r="B107" s="37" t="s">
        <v>179</v>
      </c>
      <c r="G107" s="92">
        <v>75926</v>
      </c>
      <c r="H107" s="92">
        <v>78494</v>
      </c>
      <c r="I107" s="92">
        <v>79973</v>
      </c>
      <c r="J107" s="92">
        <f ca="1">J108*J$69</f>
        <v>75919.474085836235</v>
      </c>
      <c r="K107" s="92">
        <f t="shared" ref="K107:M107" ca="1" si="128">K108*K$69</f>
        <v>78739.525893675192</v>
      </c>
      <c r="L107" s="92">
        <f t="shared" ca="1" si="128"/>
        <v>82336.214774479682</v>
      </c>
      <c r="M107" s="92">
        <f t="shared" ca="1" si="128"/>
        <v>84750.729612616735</v>
      </c>
      <c r="N107" s="92">
        <f ca="1">N108*N$69</f>
        <v>88963.897830463276</v>
      </c>
      <c r="Q107" s="10" t="s">
        <v>190</v>
      </c>
    </row>
    <row r="108" spans="2:17" x14ac:dyDescent="0.3">
      <c r="B108" s="61" t="s">
        <v>182</v>
      </c>
      <c r="G108" s="63">
        <f>G107/G69</f>
        <v>47.993678887484194</v>
      </c>
      <c r="H108" s="50">
        <f t="shared" ref="H108" si="129">H107/H69</f>
        <v>50.381258023106547</v>
      </c>
      <c r="I108" s="50">
        <f>I107/I69</f>
        <v>53.565304755525787</v>
      </c>
      <c r="J108" s="63">
        <f>AVERAGE(G108:I108)</f>
        <v>50.646747222038847</v>
      </c>
      <c r="K108" s="63">
        <f t="shared" ref="K108:N108" si="130">AVERAGE(H108:J108)</f>
        <v>51.531103333557063</v>
      </c>
      <c r="L108" s="63">
        <f t="shared" si="130"/>
        <v>51.914385103707239</v>
      </c>
      <c r="M108" s="63">
        <f t="shared" si="130"/>
        <v>51.364078553101052</v>
      </c>
      <c r="N108" s="63">
        <f t="shared" si="130"/>
        <v>51.603188996788447</v>
      </c>
    </row>
    <row r="109" spans="2:17" x14ac:dyDescent="0.3">
      <c r="B109" s="61"/>
      <c r="G109" s="63"/>
      <c r="H109" s="50"/>
      <c r="I109" s="50"/>
      <c r="J109" s="63"/>
      <c r="K109" s="63"/>
      <c r="L109" s="63"/>
      <c r="M109" s="63"/>
      <c r="N109" s="63"/>
    </row>
    <row r="110" spans="2:17" x14ac:dyDescent="0.3">
      <c r="B110" s="37" t="s">
        <v>180</v>
      </c>
      <c r="G110" s="92">
        <v>24090</v>
      </c>
      <c r="H110" s="92">
        <v>22160</v>
      </c>
      <c r="I110" s="92">
        <v>20539</v>
      </c>
      <c r="J110" s="92">
        <f ca="1">J111*J$69</f>
        <v>21589.491758047861</v>
      </c>
      <c r="K110" s="92">
        <f t="shared" ref="K110" ca="1" si="131">K111*K$69</f>
        <v>21586.985479440049</v>
      </c>
      <c r="L110" s="92">
        <f t="shared" ref="L110" ca="1" si="132">L111*L$69</f>
        <v>22355.764290298455</v>
      </c>
      <c r="M110" s="92">
        <f t="shared" ref="M110" ca="1" si="133">M111*M$69</f>
        <v>23444.241976603007</v>
      </c>
      <c r="N110" s="92">
        <f t="shared" ref="N110" ca="1" si="134">N111*N$69</f>
        <v>24384.215639836377</v>
      </c>
    </row>
    <row r="111" spans="2:17" x14ac:dyDescent="0.3">
      <c r="B111" s="61" t="s">
        <v>183</v>
      </c>
      <c r="G111" s="63">
        <f>G110/G69</f>
        <v>15.227560050568901</v>
      </c>
      <c r="H111" s="63">
        <f t="shared" ref="H111:I111" si="135">H110/H69</f>
        <v>14.223363286264442</v>
      </c>
      <c r="I111" s="63">
        <f t="shared" si="135"/>
        <v>13.756865371734762</v>
      </c>
      <c r="J111" s="63">
        <f t="array" ref="J111">AVERAGE(G111:I111)</f>
        <v>14.402596236189368</v>
      </c>
      <c r="K111" s="63">
        <f t="array" ref="K111">AVERAGE(H111:J111)</f>
        <v>14.127608298062858</v>
      </c>
      <c r="L111" s="63">
        <f t="array" ref="L111">AVERAGE(I111:K111)</f>
        <v>14.095689968662329</v>
      </c>
      <c r="M111" s="63">
        <f t="array" ref="M111">AVERAGE(J111:L111)</f>
        <v>14.208631500971519</v>
      </c>
      <c r="N111" s="63">
        <f t="array" ref="N111">AVERAGE(K111:M111)</f>
        <v>14.143976589232237</v>
      </c>
    </row>
    <row r="112" spans="2:17" x14ac:dyDescent="0.3">
      <c r="B112" s="61"/>
      <c r="G112" s="63"/>
      <c r="H112" s="63"/>
      <c r="I112" s="63"/>
      <c r="J112" s="63"/>
      <c r="K112" s="63"/>
      <c r="L112" s="63"/>
      <c r="M112" s="63"/>
      <c r="N112" s="63"/>
    </row>
    <row r="113" spans="2:16" x14ac:dyDescent="0.3">
      <c r="B113" s="37" t="s">
        <v>181</v>
      </c>
      <c r="G113" s="92">
        <v>35311</v>
      </c>
      <c r="H113" s="92">
        <v>21798</v>
      </c>
      <c r="I113" s="92">
        <v>19714</v>
      </c>
      <c r="J113" s="92">
        <f ca="1">J114*J$69</f>
        <v>24741.385337776555</v>
      </c>
      <c r="K113" s="92">
        <f t="shared" ref="K113" ca="1" si="136">K114*K$69</f>
        <v>22258.152499736956</v>
      </c>
      <c r="L113" s="92">
        <f t="shared" ref="L113" ca="1" si="137">L114*L$69</f>
        <v>23407.457222991408</v>
      </c>
      <c r="M113" s="92">
        <f t="shared" ref="M113" ca="1" si="138">M114*M$69</f>
        <v>25207.002917624653</v>
      </c>
      <c r="N113" s="92">
        <f t="shared" ref="N113" ca="1" si="139">N114*N$69</f>
        <v>25631.642098900989</v>
      </c>
    </row>
    <row r="114" spans="2:16" x14ac:dyDescent="0.3">
      <c r="B114" s="61" t="s">
        <v>184</v>
      </c>
      <c r="G114" s="63">
        <f>G113/G69</f>
        <v>22.320480404551201</v>
      </c>
      <c r="H114" s="63">
        <f t="shared" ref="H114:I114" si="140">H113/H69</f>
        <v>13.991014120667522</v>
      </c>
      <c r="I114" s="63">
        <f t="shared" si="140"/>
        <v>13.20428667113195</v>
      </c>
      <c r="J114" s="63">
        <f>AVERAGE(G114:I114)</f>
        <v>16.505260398783559</v>
      </c>
      <c r="K114" s="63">
        <f t="shared" ref="K114:N114" si="141">AVERAGE(H114:J114)</f>
        <v>14.566853730194344</v>
      </c>
      <c r="L114" s="63">
        <f t="shared" si="141"/>
        <v>14.758800266703284</v>
      </c>
      <c r="M114" s="63">
        <f t="shared" si="141"/>
        <v>15.276971465227062</v>
      </c>
      <c r="N114" s="63">
        <f t="shared" si="141"/>
        <v>14.867541820708231</v>
      </c>
    </row>
    <row r="115" spans="2:16" x14ac:dyDescent="0.3">
      <c r="B115" s="31" t="s">
        <v>185</v>
      </c>
      <c r="G115" s="97">
        <f>G107+G110+G113</f>
        <v>135327</v>
      </c>
      <c r="H115" s="97">
        <f t="shared" ref="H115:N115" si="142">H107+H110+H113</f>
        <v>122452</v>
      </c>
      <c r="I115" s="97">
        <f t="shared" si="142"/>
        <v>120226</v>
      </c>
      <c r="J115" s="97">
        <f t="shared" ca="1" si="142"/>
        <v>122250.35118166066</v>
      </c>
      <c r="K115" s="97">
        <f t="shared" ca="1" si="142"/>
        <v>122584.66387285219</v>
      </c>
      <c r="L115" s="97">
        <f t="shared" ca="1" si="142"/>
        <v>128099.43628776954</v>
      </c>
      <c r="M115" s="97">
        <f t="shared" ca="1" si="142"/>
        <v>133401.97450684439</v>
      </c>
      <c r="N115" s="97">
        <f t="shared" ca="1" si="142"/>
        <v>138979.75556920064</v>
      </c>
      <c r="O115" s="91">
        <f>_xlfn.RRI(2,G115,I115)</f>
        <v>-5.7444413302903841E-2</v>
      </c>
      <c r="P115" s="91">
        <f ca="1">_xlfn.RRI(4,J115,N115)</f>
        <v>3.2583918485236341E-2</v>
      </c>
    </row>
    <row r="117" spans="2:16" x14ac:dyDescent="0.3">
      <c r="B117" s="76" t="s">
        <v>82</v>
      </c>
      <c r="G117" s="92">
        <f>Statements!G30</f>
        <v>67173</v>
      </c>
      <c r="H117" s="92">
        <f>Statements!H30</f>
        <v>77770</v>
      </c>
      <c r="I117" s="92">
        <f>Statements!I30</f>
        <v>80197</v>
      </c>
      <c r="J117" s="92">
        <f ca="1">J118*J42</f>
        <v>74586.733491046325</v>
      </c>
      <c r="K117" s="92">
        <f t="shared" ref="K117:N117" ca="1" si="143">K118*K42</f>
        <v>78766.623122145349</v>
      </c>
      <c r="L117" s="92">
        <f t="shared" ca="1" si="143"/>
        <v>82227.636478275163</v>
      </c>
      <c r="M117" s="92">
        <f t="shared" ca="1" si="143"/>
        <v>84574.67805240117</v>
      </c>
      <c r="N117" s="92">
        <f t="shared" ca="1" si="143"/>
        <v>89405.623725269776</v>
      </c>
      <c r="O117" s="91">
        <f>_xlfn.RRI(2,G117,I117)</f>
        <v>9.2651556996589557E-2</v>
      </c>
      <c r="P117" s="91">
        <f ca="1">_xlfn.RRI(4,J117,N117)</f>
        <v>4.6347190144043315E-2</v>
      </c>
    </row>
    <row r="118" spans="2:16" x14ac:dyDescent="0.3">
      <c r="B118" s="37" t="s">
        <v>186</v>
      </c>
      <c r="G118" s="89">
        <f>G117/G42</f>
        <v>0.14717075383027808</v>
      </c>
      <c r="H118" s="89">
        <f t="shared" ref="H118:I118" si="144">H117/H42</f>
        <v>0.16763593880005689</v>
      </c>
      <c r="I118" s="89">
        <f t="shared" si="144"/>
        <v>0.17729598040386085</v>
      </c>
      <c r="J118" s="105">
        <f>AVERAGE(G118:I118)</f>
        <v>0.16403422434473194</v>
      </c>
      <c r="K118" s="105">
        <f t="shared" ref="K118:N118" si="145">AVERAGE(H118:J118)</f>
        <v>0.16965538118288323</v>
      </c>
      <c r="L118" s="105">
        <f t="shared" si="145"/>
        <v>0.17032852864382533</v>
      </c>
      <c r="M118" s="105">
        <f t="shared" si="145"/>
        <v>0.1680060447238135</v>
      </c>
      <c r="N118" s="105">
        <f t="shared" si="145"/>
        <v>0.16932998485017403</v>
      </c>
    </row>
    <row r="120" spans="2:16" x14ac:dyDescent="0.3">
      <c r="B120" s="10" t="s">
        <v>90</v>
      </c>
      <c r="G120" s="92">
        <f>Statements!G40</f>
        <v>24718</v>
      </c>
      <c r="H120" s="92">
        <f>Statements!H40</f>
        <v>6993</v>
      </c>
      <c r="I120" s="92">
        <f>Statements!I40</f>
        <v>7678</v>
      </c>
      <c r="J120" s="92">
        <f ca="1">J121*Statements!J39</f>
        <v>10553.074387337529</v>
      </c>
      <c r="K120" s="92">
        <f ca="1">K121*Statements!K39</f>
        <v>10877.627069361468</v>
      </c>
      <c r="L120" s="92">
        <f ca="1">L121*Statements!L39</f>
        <v>10641.148291224408</v>
      </c>
      <c r="M120" s="92">
        <f ca="1">M121*Statements!M39</f>
        <v>11269.436946034013</v>
      </c>
      <c r="N120" s="92">
        <f ca="1">N121*Statements!N39</f>
        <v>11171.539718519991</v>
      </c>
      <c r="O120" s="91">
        <f>_xlfn.RRI(2,G120,I120)</f>
        <v>-0.44266362322202002</v>
      </c>
      <c r="P120" s="91">
        <f ca="1">_xlfn.RRI(4,J120,N120)</f>
        <v>1.4339898651310579E-2</v>
      </c>
    </row>
    <row r="121" spans="2:16" x14ac:dyDescent="0.3">
      <c r="B121" s="37" t="s">
        <v>191</v>
      </c>
      <c r="G121" s="89">
        <f>G120/Statements!G39</f>
        <v>0.24859700291662476</v>
      </c>
      <c r="H121" s="89">
        <f>H120/Statements!H39</f>
        <v>0.25959610958497292</v>
      </c>
      <c r="I121" s="89">
        <f>I120/Statements!I39</f>
        <v>0.26250470101541934</v>
      </c>
      <c r="J121" s="105">
        <v>0.26</v>
      </c>
      <c r="K121" s="105">
        <v>0.26</v>
      </c>
      <c r="L121" s="105">
        <v>0.26</v>
      </c>
      <c r="M121" s="105">
        <v>0.26</v>
      </c>
      <c r="N121" s="105">
        <v>0.26</v>
      </c>
    </row>
    <row r="196" spans="2:19" x14ac:dyDescent="0.3"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</row>
    <row r="198" spans="2:19" x14ac:dyDescent="0.3">
      <c r="B198" s="104" t="s">
        <v>48</v>
      </c>
    </row>
  </sheetData>
  <mergeCells count="8">
    <mergeCell ref="G6:I6"/>
    <mergeCell ref="J6:N6"/>
    <mergeCell ref="O6:P6"/>
    <mergeCell ref="Q6:S7"/>
    <mergeCell ref="B64:B65"/>
    <mergeCell ref="B59:B60"/>
    <mergeCell ref="B51:B52"/>
    <mergeCell ref="B46:B47"/>
  </mergeCells>
  <hyperlinks>
    <hyperlink ref="B198" location="Scenario!A8" display="&lt;- Go back to the top" xr:uid="{A12DDDAB-D9CA-432D-8C9D-4006ABCBCFAA}"/>
  </hyperlinks>
  <pageMargins left="0.7" right="0.7" top="0.75" bottom="0.75" header="0.3" footer="0.3"/>
  <pageSetup orientation="portrait" r:id="rId1"/>
  <ignoredErrors>
    <ignoredError sqref="J27:N38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E44F4-48FD-47E7-8572-BBAC6143B4D1}">
  <dimension ref="A2:O121"/>
  <sheetViews>
    <sheetView showGridLines="0" zoomScaleNormal="100" workbookViewId="0">
      <selection activeCell="A9" sqref="A9:XFD9"/>
    </sheetView>
  </sheetViews>
  <sheetFormatPr defaultRowHeight="13.8" x14ac:dyDescent="0.3"/>
  <cols>
    <col min="1" max="1" width="1.88671875" style="10" customWidth="1"/>
    <col min="2" max="3" width="8.88671875" style="10"/>
    <col min="4" max="4" width="10.109375" style="10" customWidth="1"/>
    <col min="5" max="6" width="8.88671875" style="10"/>
    <col min="7" max="15" width="12.6640625" style="10" customWidth="1"/>
    <col min="16" max="16384" width="8.88671875" style="10"/>
  </cols>
  <sheetData>
    <row r="2" spans="1:14" s="14" customFormat="1" ht="15.6" x14ac:dyDescent="0.3">
      <c r="B2" s="16" t="str">
        <f>Dashboard!B2</f>
        <v>Denny's Diner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</row>
    <row r="3" spans="1:14" s="14" customFormat="1" ht="14.4" x14ac:dyDescent="0.3">
      <c r="B3" s="49" t="s">
        <v>41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4" spans="1:14" s="14" customFormat="1" ht="14.4" x14ac:dyDescent="0.3">
      <c r="B4" s="64" t="str">
        <f>Dashboard!B4</f>
        <v>(In $ thousands, except per share amounts)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s="14" customFormat="1" ht="14.4" x14ac:dyDescent="0.3">
      <c r="B5" s="7" t="s">
        <v>37</v>
      </c>
      <c r="C5" s="17"/>
      <c r="D5" s="7" t="str">
        <f>Dashboard!G13</f>
        <v>Street</v>
      </c>
      <c r="E5" s="17"/>
      <c r="F5" s="17"/>
      <c r="G5" s="17"/>
      <c r="H5" s="17"/>
      <c r="I5" s="17"/>
      <c r="J5" s="17"/>
      <c r="K5" s="17"/>
      <c r="L5" s="17"/>
      <c r="M5" s="17"/>
      <c r="N5" s="17"/>
    </row>
    <row r="6" spans="1:14" s="14" customFormat="1" ht="14.4" x14ac:dyDescent="0.3">
      <c r="B6" s="7" t="s">
        <v>141</v>
      </c>
      <c r="C6" s="19"/>
      <c r="D6" s="19"/>
      <c r="E6" s="19"/>
      <c r="F6" s="19"/>
      <c r="G6" s="357" t="s">
        <v>140</v>
      </c>
      <c r="H6" s="358"/>
      <c r="I6" s="359"/>
      <c r="J6" s="337" t="s">
        <v>2</v>
      </c>
      <c r="K6" s="338"/>
      <c r="L6" s="338"/>
      <c r="M6" s="338"/>
      <c r="N6" s="338"/>
    </row>
    <row r="7" spans="1:14" s="14" customFormat="1" ht="14.4" x14ac:dyDescent="0.3">
      <c r="B7" s="7" t="s">
        <v>142</v>
      </c>
      <c r="C7" s="19"/>
      <c r="D7" s="19"/>
      <c r="E7" s="19"/>
      <c r="F7" s="19"/>
      <c r="G7" s="21">
        <f>Statements!G7</f>
        <v>44920</v>
      </c>
      <c r="H7" s="21">
        <f t="shared" ref="H7:N7" si="0">EDATE(G7,12)</f>
        <v>45285</v>
      </c>
      <c r="I7" s="23">
        <f t="shared" si="0"/>
        <v>45651</v>
      </c>
      <c r="J7" s="23">
        <f t="shared" si="0"/>
        <v>46016</v>
      </c>
      <c r="K7" s="23">
        <f t="shared" si="0"/>
        <v>46381</v>
      </c>
      <c r="L7" s="24">
        <f t="shared" si="0"/>
        <v>46746</v>
      </c>
      <c r="M7" s="23">
        <f t="shared" si="0"/>
        <v>47112</v>
      </c>
      <c r="N7" s="24">
        <f t="shared" si="0"/>
        <v>47477</v>
      </c>
    </row>
    <row r="9" spans="1:14" x14ac:dyDescent="0.3">
      <c r="A9" s="10" t="s">
        <v>34</v>
      </c>
      <c r="B9" s="32" t="s">
        <v>199</v>
      </c>
      <c r="C9" s="35"/>
      <c r="D9" s="35"/>
      <c r="E9" s="35"/>
      <c r="F9" s="35"/>
      <c r="G9" s="115">
        <v>44920</v>
      </c>
      <c r="H9" s="115">
        <v>45285</v>
      </c>
      <c r="I9" s="115">
        <v>45651</v>
      </c>
      <c r="J9" s="116">
        <v>46016</v>
      </c>
      <c r="K9" s="116">
        <v>46381</v>
      </c>
      <c r="L9" s="116">
        <v>46746</v>
      </c>
      <c r="M9" s="116">
        <v>47112</v>
      </c>
      <c r="N9" s="116">
        <v>47477</v>
      </c>
    </row>
    <row r="10" spans="1:14" s="33" customFormat="1" x14ac:dyDescent="0.3"/>
    <row r="11" spans="1:14" s="33" customFormat="1" x14ac:dyDescent="0.3">
      <c r="B11" s="88" t="s">
        <v>197</v>
      </c>
    </row>
    <row r="12" spans="1:14" s="33" customFormat="1" x14ac:dyDescent="0.3"/>
    <row r="13" spans="1:14" s="33" customFormat="1" x14ac:dyDescent="0.3">
      <c r="B13" s="33" t="s">
        <v>198</v>
      </c>
      <c r="G13" s="80"/>
      <c r="H13" s="80">
        <f>G16</f>
        <v>243012</v>
      </c>
      <c r="I13" s="80">
        <f>H16</f>
        <v>253373</v>
      </c>
      <c r="J13" s="80">
        <f t="shared" ref="J13:N13" si="1">I16</f>
        <v>271005</v>
      </c>
      <c r="K13" s="80">
        <f t="shared" ca="1" si="1"/>
        <v>275599.04531755467</v>
      </c>
      <c r="L13" s="80">
        <f t="shared" ca="1" si="1"/>
        <v>282813.07859256893</v>
      </c>
      <c r="M13" s="80">
        <f t="shared" ca="1" si="1"/>
        <v>291599.29548290162</v>
      </c>
      <c r="N13" s="80">
        <f t="shared" ca="1" si="1"/>
        <v>302987.76282333146</v>
      </c>
    </row>
    <row r="14" spans="1:14" s="33" customFormat="1" x14ac:dyDescent="0.3">
      <c r="B14" s="71" t="s">
        <v>200</v>
      </c>
      <c r="G14" s="80"/>
      <c r="H14" s="80"/>
      <c r="I14" s="80"/>
      <c r="J14" s="80">
        <f ca="1">J20</f>
        <v>9094.0453175546991</v>
      </c>
      <c r="K14" s="80">
        <f t="shared" ref="K14:N14" ca="1" si="2">K20</f>
        <v>10214.033275014261</v>
      </c>
      <c r="L14" s="80">
        <f t="shared" ca="1" si="2"/>
        <v>11586.216890332687</v>
      </c>
      <c r="M14" s="80">
        <f t="shared" ca="1" si="2"/>
        <v>13088.467340429854</v>
      </c>
      <c r="N14" s="80">
        <f t="shared" ca="1" si="2"/>
        <v>14783.899417002642</v>
      </c>
    </row>
    <row r="15" spans="1:14" s="33" customFormat="1" x14ac:dyDescent="0.3">
      <c r="B15" s="71" t="s">
        <v>201</v>
      </c>
      <c r="G15" s="80"/>
      <c r="H15" s="80"/>
      <c r="I15" s="80"/>
      <c r="J15" s="80">
        <v>-4500</v>
      </c>
      <c r="K15" s="80">
        <v>-3000</v>
      </c>
      <c r="L15" s="80">
        <v>-2800</v>
      </c>
      <c r="M15" s="80">
        <v>-1700</v>
      </c>
      <c r="N15" s="80">
        <v>-1500</v>
      </c>
    </row>
    <row r="16" spans="1:14" s="33" customFormat="1" x14ac:dyDescent="0.3">
      <c r="B16" s="74" t="s">
        <v>202</v>
      </c>
      <c r="G16" s="120">
        <v>243012</v>
      </c>
      <c r="H16" s="121">
        <v>253373</v>
      </c>
      <c r="I16" s="121">
        <v>271005</v>
      </c>
      <c r="J16" s="121">
        <f ca="1">SUM(J13:J15)</f>
        <v>275599.04531755467</v>
      </c>
      <c r="K16" s="121">
        <f t="shared" ref="K16:N16" ca="1" si="3">SUM(K13:K15)</f>
        <v>282813.07859256893</v>
      </c>
      <c r="L16" s="121">
        <f t="shared" ca="1" si="3"/>
        <v>291599.29548290162</v>
      </c>
      <c r="M16" s="121">
        <f t="shared" ca="1" si="3"/>
        <v>302987.76282333146</v>
      </c>
      <c r="N16" s="121">
        <f t="shared" ca="1" si="3"/>
        <v>316271.66224033409</v>
      </c>
    </row>
    <row r="17" spans="2:14" s="33" customFormat="1" x14ac:dyDescent="0.3">
      <c r="B17" s="71" t="s">
        <v>217</v>
      </c>
      <c r="G17" s="80"/>
      <c r="H17" s="80"/>
      <c r="I17" s="80">
        <v>159588</v>
      </c>
      <c r="J17" s="80">
        <f ca="1">I17+J23</f>
        <v>171494.70930110785</v>
      </c>
      <c r="K17" s="80">
        <f t="shared" ref="K17:N17" ca="1" si="4">J17+K23</f>
        <v>183472.9015841526</v>
      </c>
      <c r="L17" s="80">
        <f t="shared" ca="1" si="4"/>
        <v>195827.55597309765</v>
      </c>
      <c r="M17" s="80">
        <f t="shared" ca="1" si="4"/>
        <v>208747.49528079981</v>
      </c>
      <c r="N17" s="80">
        <f t="shared" ca="1" si="4"/>
        <v>222174.71697629345</v>
      </c>
    </row>
    <row r="18" spans="2:14" s="33" customFormat="1" x14ac:dyDescent="0.3">
      <c r="B18" s="74" t="s">
        <v>203</v>
      </c>
      <c r="G18" s="80"/>
      <c r="H18" s="80"/>
      <c r="I18" s="80"/>
      <c r="J18" s="121">
        <f ca="1">J16-J17</f>
        <v>104104.33601644682</v>
      </c>
      <c r="K18" s="121">
        <f t="shared" ref="K18:N18" ca="1" si="5">K16-K17</f>
        <v>99340.177008416329</v>
      </c>
      <c r="L18" s="121">
        <f t="shared" ca="1" si="5"/>
        <v>95771.739509803971</v>
      </c>
      <c r="M18" s="121">
        <f t="shared" ca="1" si="5"/>
        <v>94240.267542531656</v>
      </c>
      <c r="N18" s="121">
        <f t="shared" ca="1" si="5"/>
        <v>94096.945264040638</v>
      </c>
    </row>
    <row r="19" spans="2:14" s="33" customFormat="1" x14ac:dyDescent="0.3">
      <c r="G19" s="80"/>
      <c r="H19" s="80"/>
      <c r="I19" s="80"/>
      <c r="J19" s="80"/>
      <c r="K19" s="80"/>
      <c r="L19" s="80"/>
      <c r="M19" s="80"/>
      <c r="N19" s="80"/>
    </row>
    <row r="20" spans="2:14" s="33" customFormat="1" x14ac:dyDescent="0.3">
      <c r="B20" s="33" t="s">
        <v>211</v>
      </c>
      <c r="G20" s="80">
        <f>4596+91+3846</f>
        <v>8533</v>
      </c>
      <c r="H20" s="80">
        <f>349+4378+3782</f>
        <v>8509</v>
      </c>
      <c r="I20" s="80">
        <f>7471+14970+3420</f>
        <v>25861</v>
      </c>
      <c r="J20" s="80">
        <f ca="1">J21*Statements!J21</f>
        <v>9094.0453175546991</v>
      </c>
      <c r="K20" s="80">
        <f ca="1">K21*Statements!K21</f>
        <v>10214.033275014261</v>
      </c>
      <c r="L20" s="80">
        <f ca="1">L21*Statements!L21</f>
        <v>11586.216890332687</v>
      </c>
      <c r="M20" s="80">
        <f ca="1">M21*Statements!M21</f>
        <v>13088.467340429854</v>
      </c>
      <c r="N20" s="80">
        <f ca="1">N21*Statements!N21</f>
        <v>14783.899417002642</v>
      </c>
    </row>
    <row r="21" spans="2:14" s="33" customFormat="1" x14ac:dyDescent="0.3">
      <c r="B21" s="33" t="s">
        <v>205</v>
      </c>
      <c r="G21" s="89">
        <f>G20/Statements!G21</f>
        <v>1.8695131115682835E-2</v>
      </c>
      <c r="H21" s="89">
        <f>H20/Statements!H21</f>
        <v>1.8341445329171716E-2</v>
      </c>
      <c r="I21" s="89">
        <f>I20/Statements!I21</f>
        <v>5.7172354941260217E-2</v>
      </c>
      <c r="J21" s="90">
        <v>0.02</v>
      </c>
      <c r="K21" s="90">
        <v>2.1999999999999999E-2</v>
      </c>
      <c r="L21" s="90">
        <v>2.4E-2</v>
      </c>
      <c r="M21" s="90">
        <v>2.5999999999999999E-2</v>
      </c>
      <c r="N21" s="90">
        <v>2.8000000000000001E-2</v>
      </c>
    </row>
    <row r="22" spans="2:14" s="33" customFormat="1" x14ac:dyDescent="0.3"/>
    <row r="23" spans="2:14" s="33" customFormat="1" x14ac:dyDescent="0.3">
      <c r="B23" s="33" t="s">
        <v>204</v>
      </c>
      <c r="G23" s="84">
        <v>11118</v>
      </c>
      <c r="H23" s="84">
        <v>10720</v>
      </c>
      <c r="I23" s="84">
        <v>11260</v>
      </c>
      <c r="J23" s="84">
        <f ca="1">J24*J16</f>
        <v>11906.709301107861</v>
      </c>
      <c r="K23" s="84">
        <f t="shared" ref="K23:N23" ca="1" si="6">K24*K16</f>
        <v>11978.192283044733</v>
      </c>
      <c r="L23" s="84">
        <f t="shared" ca="1" si="6"/>
        <v>12354.654388945066</v>
      </c>
      <c r="M23" s="84">
        <f t="shared" ca="1" si="6"/>
        <v>12919.939307702145</v>
      </c>
      <c r="N23" s="84">
        <f t="shared" ca="1" si="6"/>
        <v>13427.221695493643</v>
      </c>
    </row>
    <row r="24" spans="2:14" s="33" customFormat="1" x14ac:dyDescent="0.3">
      <c r="B24" s="33" t="s">
        <v>212</v>
      </c>
      <c r="G24" s="89">
        <f>G23/G16</f>
        <v>4.575082711964841E-2</v>
      </c>
      <c r="H24" s="89">
        <f t="shared" ref="H24:I24" si="7">H23/H16</f>
        <v>4.2309164749203744E-2</v>
      </c>
      <c r="I24" s="89">
        <f t="shared" si="7"/>
        <v>4.1549048910536707E-2</v>
      </c>
      <c r="J24" s="89">
        <f>AVERAGE(G24:I24)</f>
        <v>4.320301359312962E-2</v>
      </c>
      <c r="K24" s="89">
        <f t="shared" ref="K24:N24" si="8">AVERAGE(H24:J24)</f>
        <v>4.2353742417623352E-2</v>
      </c>
      <c r="L24" s="89">
        <f t="shared" si="8"/>
        <v>4.2368601640429888E-2</v>
      </c>
      <c r="M24" s="89">
        <f t="shared" si="8"/>
        <v>4.2641785883727613E-2</v>
      </c>
      <c r="N24" s="89">
        <f t="shared" si="8"/>
        <v>4.2454709980593613E-2</v>
      </c>
    </row>
    <row r="25" spans="2:14" s="33" customFormat="1" x14ac:dyDescent="0.3"/>
    <row r="26" spans="2:14" s="33" customFormat="1" x14ac:dyDescent="0.3">
      <c r="B26" s="88" t="s">
        <v>206</v>
      </c>
    </row>
    <row r="27" spans="2:14" s="33" customFormat="1" x14ac:dyDescent="0.3">
      <c r="B27" s="88"/>
    </row>
    <row r="28" spans="2:14" s="33" customFormat="1" x14ac:dyDescent="0.3">
      <c r="B28" s="33" t="s">
        <v>214</v>
      </c>
      <c r="G28" s="84">
        <f t="shared" ref="G28:H28" si="9">79687+120</f>
        <v>79807</v>
      </c>
      <c r="H28" s="84">
        <f t="shared" si="9"/>
        <v>79807</v>
      </c>
      <c r="I28" s="84">
        <f>79687+120</f>
        <v>79807</v>
      </c>
      <c r="J28" s="84">
        <f>I28</f>
        <v>79807</v>
      </c>
      <c r="K28" s="84">
        <f t="shared" ref="K28:N28" si="10">J28</f>
        <v>79807</v>
      </c>
      <c r="L28" s="84">
        <f t="shared" si="10"/>
        <v>79807</v>
      </c>
      <c r="M28" s="84">
        <f t="shared" si="10"/>
        <v>79807</v>
      </c>
      <c r="N28" s="84">
        <f t="shared" si="10"/>
        <v>79807</v>
      </c>
    </row>
    <row r="29" spans="2:14" s="33" customFormat="1" x14ac:dyDescent="0.3">
      <c r="B29" s="33" t="s">
        <v>215</v>
      </c>
      <c r="G29" s="84">
        <f>10489+10700</f>
        <v>21189</v>
      </c>
      <c r="H29" s="84">
        <f>9470+10700</f>
        <v>20170</v>
      </c>
      <c r="I29" s="84">
        <f>9135+10603</f>
        <v>19738</v>
      </c>
      <c r="J29" s="84">
        <f ca="1">J38+I29</f>
        <v>21453.82844966773</v>
      </c>
      <c r="K29" s="84">
        <f t="shared" ref="K29:N29" ca="1" si="11">K38+J29</f>
        <v>22895.312191680041</v>
      </c>
      <c r="L29" s="84">
        <f t="shared" ca="1" si="11"/>
        <v>24606.953110580667</v>
      </c>
      <c r="M29" s="84">
        <f t="shared" ca="1" si="11"/>
        <v>26356.087592157332</v>
      </c>
      <c r="N29" s="84">
        <f t="shared" ca="1" si="11"/>
        <v>28138.07077207182</v>
      </c>
    </row>
    <row r="30" spans="2:14" s="33" customFormat="1" x14ac:dyDescent="0.3">
      <c r="B30" s="88"/>
    </row>
    <row r="31" spans="2:14" s="33" customFormat="1" x14ac:dyDescent="0.3"/>
    <row r="32" spans="2:14" s="33" customFormat="1" x14ac:dyDescent="0.3">
      <c r="B32" s="33" t="s">
        <v>207</v>
      </c>
      <c r="G32" s="80"/>
      <c r="H32" s="80">
        <f>G34</f>
        <v>100996</v>
      </c>
      <c r="I32" s="80">
        <f>H34</f>
        <v>99977</v>
      </c>
      <c r="J32" s="80">
        <f t="shared" ref="J32:N32" si="12">I34</f>
        <v>99545</v>
      </c>
      <c r="K32" s="80">
        <f t="shared" ca="1" si="12"/>
        <v>101260.82844966772</v>
      </c>
      <c r="L32" s="80">
        <f t="shared" ca="1" si="12"/>
        <v>102702.31219168003</v>
      </c>
      <c r="M32" s="80">
        <f t="shared" ca="1" si="12"/>
        <v>104413.95311058065</v>
      </c>
      <c r="N32" s="80">
        <f t="shared" ca="1" si="12"/>
        <v>106163.08759215732</v>
      </c>
    </row>
    <row r="33" spans="2:14" s="33" customFormat="1" x14ac:dyDescent="0.3">
      <c r="B33" s="71" t="s">
        <v>208</v>
      </c>
      <c r="G33" s="80"/>
      <c r="H33" s="80">
        <f>H34-H32</f>
        <v>-1019</v>
      </c>
      <c r="I33" s="80">
        <f>I34-I32</f>
        <v>-432</v>
      </c>
      <c r="J33" s="80">
        <f ca="1">J38</f>
        <v>1715.8284496677281</v>
      </c>
      <c r="K33" s="80">
        <f t="shared" ref="K33:N33" ca="1" si="13">K38</f>
        <v>1441.4837420123104</v>
      </c>
      <c r="L33" s="80">
        <f t="shared" ca="1" si="13"/>
        <v>1711.6409189006251</v>
      </c>
      <c r="M33" s="80">
        <f t="shared" ca="1" si="13"/>
        <v>1749.1344815766652</v>
      </c>
      <c r="N33" s="80">
        <f t="shared" ca="1" si="13"/>
        <v>1781.9831799144872</v>
      </c>
    </row>
    <row r="34" spans="2:14" s="33" customFormat="1" x14ac:dyDescent="0.3">
      <c r="B34" s="74" t="s">
        <v>209</v>
      </c>
      <c r="G34" s="122">
        <v>100996</v>
      </c>
      <c r="H34" s="122">
        <v>99977</v>
      </c>
      <c r="I34" s="122">
        <v>99545</v>
      </c>
      <c r="J34" s="121">
        <f ca="1">SUM(J32:J33)</f>
        <v>101260.82844966772</v>
      </c>
      <c r="K34" s="121">
        <f t="shared" ref="K34:N34" ca="1" si="14">SUM(K32:K33)</f>
        <v>102702.31219168003</v>
      </c>
      <c r="L34" s="121">
        <f t="shared" ca="1" si="14"/>
        <v>104413.95311058065</v>
      </c>
      <c r="M34" s="121">
        <f t="shared" ca="1" si="14"/>
        <v>106163.08759215732</v>
      </c>
      <c r="N34" s="121">
        <f t="shared" ca="1" si="14"/>
        <v>107945.07077207181</v>
      </c>
    </row>
    <row r="35" spans="2:14" s="33" customFormat="1" x14ac:dyDescent="0.3">
      <c r="B35" s="71" t="s">
        <v>216</v>
      </c>
      <c r="G35" s="80"/>
      <c r="H35" s="80"/>
      <c r="I35" s="38">
        <v>7806</v>
      </c>
      <c r="J35" s="80">
        <f ca="1">I35+J41</f>
        <v>9591.1656899335467</v>
      </c>
      <c r="K35" s="80">
        <f t="shared" ref="K35:N35" ca="1" si="15">J35+K41</f>
        <v>11496.628128269555</v>
      </c>
      <c r="L35" s="80">
        <f t="shared" ca="1" si="15"/>
        <v>13705.418750385688</v>
      </c>
      <c r="M35" s="80">
        <f t="shared" ca="1" si="15"/>
        <v>16114.036268817155</v>
      </c>
      <c r="N35" s="80">
        <f t="shared" ca="1" si="15"/>
        <v>18811.050423231518</v>
      </c>
    </row>
    <row r="36" spans="2:14" s="33" customFormat="1" x14ac:dyDescent="0.3">
      <c r="B36" s="74" t="s">
        <v>210</v>
      </c>
      <c r="G36" s="80"/>
      <c r="H36" s="80"/>
      <c r="I36" s="80"/>
      <c r="J36" s="121">
        <f ca="1">J34-J35</f>
        <v>91669.662759734172</v>
      </c>
      <c r="K36" s="121">
        <f t="shared" ref="K36:N36" ca="1" si="16">K34-K35</f>
        <v>91205.684063410474</v>
      </c>
      <c r="L36" s="121">
        <f t="shared" ca="1" si="16"/>
        <v>90708.534360194957</v>
      </c>
      <c r="M36" s="121">
        <f t="shared" ca="1" si="16"/>
        <v>90049.051323340158</v>
      </c>
      <c r="N36" s="121">
        <f t="shared" ca="1" si="16"/>
        <v>89134.020348840291</v>
      </c>
    </row>
    <row r="37" spans="2:14" s="33" customFormat="1" x14ac:dyDescent="0.3">
      <c r="G37" s="80"/>
      <c r="H37" s="80"/>
      <c r="I37" s="80"/>
      <c r="J37" s="80"/>
      <c r="K37" s="80"/>
      <c r="L37" s="80"/>
      <c r="M37" s="80"/>
      <c r="N37" s="80"/>
    </row>
    <row r="38" spans="2:14" s="33" customFormat="1" x14ac:dyDescent="0.3">
      <c r="B38" s="33" t="s">
        <v>213</v>
      </c>
      <c r="G38" s="38">
        <v>2638</v>
      </c>
      <c r="H38" s="38">
        <v>827</v>
      </c>
      <c r="I38" s="38">
        <v>1700</v>
      </c>
      <c r="J38" s="38">
        <f ca="1">J39*Statements!J21</f>
        <v>1715.8284496677281</v>
      </c>
      <c r="K38" s="38">
        <f ca="1">K39*Statements!K21</f>
        <v>1441.4837420123104</v>
      </c>
      <c r="L38" s="38">
        <f ca="1">L39*Statements!L21</f>
        <v>1711.6409189006251</v>
      </c>
      <c r="M38" s="38">
        <f ca="1">M39*Statements!M21</f>
        <v>1749.1344815766652</v>
      </c>
      <c r="N38" s="38">
        <f ca="1">N39*Statements!N21</f>
        <v>1781.9831799144872</v>
      </c>
    </row>
    <row r="39" spans="2:14" s="33" customFormat="1" x14ac:dyDescent="0.3">
      <c r="B39" s="33" t="s">
        <v>205</v>
      </c>
      <c r="G39" s="89">
        <f>G38/Statements!G21</f>
        <v>5.7796502851484022E-3</v>
      </c>
      <c r="H39" s="89">
        <f>H38/Statements!H21</f>
        <v>1.7826272519949474E-3</v>
      </c>
      <c r="I39" s="89">
        <f>I38/Statements!I21</f>
        <v>3.7582848072442044E-3</v>
      </c>
      <c r="J39" s="89">
        <f t="array" ref="J39">AVERAGE(G39:I39)</f>
        <v>3.7735207814625182E-3</v>
      </c>
      <c r="K39" s="89">
        <f t="array" ref="K39">AVERAGE(H39:J39)</f>
        <v>3.104810946900557E-3</v>
      </c>
      <c r="L39" s="89">
        <f t="array" ref="L39">AVERAGE(I39:K39)</f>
        <v>3.5455388452024267E-3</v>
      </c>
      <c r="M39" s="89">
        <f t="array" ref="M39">AVERAGE(J39:L39)</f>
        <v>3.474623524521834E-3</v>
      </c>
      <c r="N39" s="89">
        <f t="array" ref="N39">AVERAGE(K39:M39)</f>
        <v>3.3749911055416058E-3</v>
      </c>
    </row>
    <row r="40" spans="2:14" s="33" customFormat="1" x14ac:dyDescent="0.3"/>
    <row r="41" spans="2:14" s="33" customFormat="1" x14ac:dyDescent="0.3">
      <c r="B41" s="33" t="s">
        <v>220</v>
      </c>
      <c r="G41" s="84">
        <v>2000</v>
      </c>
      <c r="H41" s="84">
        <v>2200</v>
      </c>
      <c r="I41" s="84">
        <v>2200</v>
      </c>
      <c r="J41" s="84">
        <f ca="1">SUM(J42:J48)</f>
        <v>1785.1656899335458</v>
      </c>
      <c r="K41" s="84">
        <f t="shared" ref="K41:N41" ca="1" si="17">SUM(K42:K48)</f>
        <v>1905.4624383360078</v>
      </c>
      <c r="L41" s="84">
        <f t="shared" ca="1" si="17"/>
        <v>2208.7906221161329</v>
      </c>
      <c r="M41" s="84">
        <f t="shared" ca="1" si="17"/>
        <v>2408.6175184314661</v>
      </c>
      <c r="N41" s="84">
        <f t="shared" ca="1" si="17"/>
        <v>2697.0141544143635</v>
      </c>
    </row>
    <row r="42" spans="2:14" s="33" customFormat="1" x14ac:dyDescent="0.3">
      <c r="B42" s="33" t="s">
        <v>218</v>
      </c>
      <c r="J42" s="92">
        <v>1442</v>
      </c>
      <c r="K42" s="92">
        <v>1274</v>
      </c>
      <c r="L42" s="92">
        <v>1235</v>
      </c>
      <c r="M42" s="84">
        <v>1085</v>
      </c>
      <c r="N42" s="84">
        <v>1017</v>
      </c>
    </row>
    <row r="43" spans="2:14" s="33" customFormat="1" x14ac:dyDescent="0.3"/>
    <row r="44" spans="2:14" s="33" customFormat="1" x14ac:dyDescent="0.3">
      <c r="B44" s="33" t="s">
        <v>219</v>
      </c>
      <c r="J44" s="84">
        <f ca="1">$J$38/5</f>
        <v>343.16568993354565</v>
      </c>
      <c r="K44" s="84">
        <f t="shared" ref="K44:N44" ca="1" si="18">$J$38/5</f>
        <v>343.16568993354565</v>
      </c>
      <c r="L44" s="84">
        <f t="shared" ca="1" si="18"/>
        <v>343.16568993354565</v>
      </c>
      <c r="M44" s="84">
        <f t="shared" ca="1" si="18"/>
        <v>343.16568993354565</v>
      </c>
      <c r="N44" s="84">
        <f t="shared" ca="1" si="18"/>
        <v>343.16568993354565</v>
      </c>
    </row>
    <row r="45" spans="2:14" s="33" customFormat="1" x14ac:dyDescent="0.3">
      <c r="J45" s="84"/>
      <c r="K45" s="84">
        <f ca="1">$K$38/5</f>
        <v>288.29674840246207</v>
      </c>
      <c r="L45" s="84">
        <f t="shared" ref="L45:N45" ca="1" si="19">$K$38/5</f>
        <v>288.29674840246207</v>
      </c>
      <c r="M45" s="84">
        <f t="shared" ca="1" si="19"/>
        <v>288.29674840246207</v>
      </c>
      <c r="N45" s="84">
        <f t="shared" ca="1" si="19"/>
        <v>288.29674840246207</v>
      </c>
    </row>
    <row r="46" spans="2:14" s="33" customFormat="1" x14ac:dyDescent="0.3">
      <c r="J46" s="84"/>
      <c r="K46" s="84"/>
      <c r="L46" s="84">
        <f ca="1">$L$38/5</f>
        <v>342.32818378012502</v>
      </c>
      <c r="M46" s="84">
        <f t="shared" ref="M46:N46" ca="1" si="20">$L$38/5</f>
        <v>342.32818378012502</v>
      </c>
      <c r="N46" s="84">
        <f t="shared" ca="1" si="20"/>
        <v>342.32818378012502</v>
      </c>
    </row>
    <row r="47" spans="2:14" s="33" customFormat="1" x14ac:dyDescent="0.3">
      <c r="J47" s="84"/>
      <c r="K47" s="84"/>
      <c r="L47" s="84"/>
      <c r="M47" s="84">
        <f ca="1">$M$38/5</f>
        <v>349.82689631533304</v>
      </c>
      <c r="N47" s="84">
        <f ca="1">$M$38/5</f>
        <v>349.82689631533304</v>
      </c>
    </row>
    <row r="48" spans="2:14" s="33" customFormat="1" x14ac:dyDescent="0.3">
      <c r="J48" s="84"/>
      <c r="K48" s="84"/>
      <c r="L48" s="84"/>
      <c r="M48" s="84"/>
      <c r="N48" s="84">
        <f ca="1">$N$38/5</f>
        <v>356.39663598289746</v>
      </c>
    </row>
    <row r="49" spans="1:14" s="33" customFormat="1" x14ac:dyDescent="0.3">
      <c r="B49" s="88" t="s">
        <v>221</v>
      </c>
      <c r="J49" s="84"/>
      <c r="K49" s="84"/>
      <c r="L49" s="84"/>
      <c r="M49" s="84"/>
      <c r="N49" s="84"/>
    </row>
    <row r="50" spans="1:14" s="33" customFormat="1" x14ac:dyDescent="0.3"/>
    <row r="51" spans="1:14" s="33" customFormat="1" x14ac:dyDescent="0.3">
      <c r="B51" s="33" t="s">
        <v>222</v>
      </c>
      <c r="G51" s="80"/>
      <c r="H51" s="80"/>
      <c r="I51" s="80"/>
      <c r="J51" s="80">
        <f>Statements!I68</f>
        <v>54764</v>
      </c>
      <c r="K51" s="80">
        <f ca="1">J54</f>
        <v>49405.293108190395</v>
      </c>
      <c r="L51" s="80">
        <f ca="1">K54</f>
        <v>50010.279837317503</v>
      </c>
      <c r="M51" s="80">
        <f ca="1">L54</f>
        <v>54300.913626419155</v>
      </c>
      <c r="N51" s="80">
        <f ca="1">M54</f>
        <v>55181.588892050502</v>
      </c>
    </row>
    <row r="52" spans="1:14" s="33" customFormat="1" x14ac:dyDescent="0.3">
      <c r="B52" s="71" t="s">
        <v>223</v>
      </c>
      <c r="G52" s="80"/>
      <c r="H52" s="80"/>
      <c r="I52" s="80"/>
      <c r="J52" s="80">
        <f ca="1">J54-J53-J51</f>
        <v>-5326.005225212095</v>
      </c>
      <c r="K52" s="80">
        <f t="shared" ref="K52:N52" ca="1" si="21">K54-K53-K51</f>
        <v>636.01642753455235</v>
      </c>
      <c r="L52" s="80">
        <f t="shared" ca="1" si="21"/>
        <v>4329.7098259770355</v>
      </c>
      <c r="M52" s="80">
        <f t="shared" ca="1" si="21"/>
        <v>917.49964655542135</v>
      </c>
      <c r="N52" s="80">
        <f t="shared" ca="1" si="21"/>
        <v>2904.2432922995067</v>
      </c>
    </row>
    <row r="53" spans="1:14" s="33" customFormat="1" x14ac:dyDescent="0.3">
      <c r="B53" s="71" t="s">
        <v>225</v>
      </c>
      <c r="G53" s="80"/>
      <c r="H53" s="80"/>
      <c r="I53" s="80"/>
      <c r="J53" s="80">
        <f ca="1">-J56</f>
        <v>-32.701666597508705</v>
      </c>
      <c r="K53" s="80">
        <f t="shared" ref="K53:N53" ca="1" si="22">-K56</f>
        <v>-31.02969840744165</v>
      </c>
      <c r="L53" s="80">
        <f t="shared" ca="1" si="22"/>
        <v>-39.076036875380687</v>
      </c>
      <c r="M53" s="80">
        <f t="shared" ca="1" si="22"/>
        <v>-36.82438092407299</v>
      </c>
      <c r="N53" s="80">
        <f t="shared" ca="1" si="22"/>
        <v>-38.841516458019022</v>
      </c>
    </row>
    <row r="54" spans="1:14" s="33" customFormat="1" x14ac:dyDescent="0.3">
      <c r="B54" s="74" t="s">
        <v>224</v>
      </c>
      <c r="C54" s="74"/>
      <c r="D54" s="74"/>
      <c r="E54" s="74"/>
      <c r="F54" s="74"/>
      <c r="G54" s="121"/>
      <c r="H54" s="121"/>
      <c r="I54" s="121"/>
      <c r="J54" s="121">
        <f ca="1">Statements!J68</f>
        <v>49405.293108190395</v>
      </c>
      <c r="K54" s="121">
        <f ca="1">Statements!K68</f>
        <v>50010.279837317503</v>
      </c>
      <c r="L54" s="121">
        <f ca="1">Statements!L68</f>
        <v>54300.913626419155</v>
      </c>
      <c r="M54" s="121">
        <f ca="1">Statements!M68</f>
        <v>55181.588892050502</v>
      </c>
      <c r="N54" s="121">
        <f ca="1">Statements!N68</f>
        <v>58046.990667891987</v>
      </c>
    </row>
    <row r="55" spans="1:14" s="33" customFormat="1" x14ac:dyDescent="0.3">
      <c r="J55" s="81"/>
      <c r="K55" s="81"/>
      <c r="L55" s="81"/>
      <c r="M55" s="81"/>
      <c r="N55" s="81"/>
    </row>
    <row r="56" spans="1:14" s="33" customFormat="1" x14ac:dyDescent="0.3">
      <c r="B56" s="33" t="s">
        <v>308</v>
      </c>
      <c r="C56" s="74"/>
      <c r="D56" s="74"/>
      <c r="E56" s="74"/>
      <c r="F56" s="74"/>
      <c r="G56" s="80">
        <v>40</v>
      </c>
      <c r="H56" s="80">
        <v>14</v>
      </c>
      <c r="I56" s="80">
        <v>48</v>
      </c>
      <c r="J56" s="80">
        <f ca="1">J57*J54</f>
        <v>32.701666597508705</v>
      </c>
      <c r="K56" s="80">
        <f t="shared" ref="K56:N56" ca="1" si="23">K57*K54</f>
        <v>31.02969840744165</v>
      </c>
      <c r="L56" s="80">
        <f t="shared" ca="1" si="23"/>
        <v>39.076036875380687</v>
      </c>
      <c r="M56" s="80">
        <f t="shared" ca="1" si="23"/>
        <v>36.82438092407299</v>
      </c>
      <c r="N56" s="80">
        <f t="shared" ca="1" si="23"/>
        <v>38.841516458019022</v>
      </c>
    </row>
    <row r="57" spans="1:14" s="33" customFormat="1" x14ac:dyDescent="0.3">
      <c r="B57" s="33" t="s">
        <v>309</v>
      </c>
      <c r="C57" s="74"/>
      <c r="D57" s="74"/>
      <c r="E57" s="74"/>
      <c r="F57" s="74"/>
      <c r="G57" s="53">
        <f>G56/G79</f>
        <v>7.8622533218020282E-4</v>
      </c>
      <c r="H57" s="53">
        <f t="shared" ref="H57:I57" si="24">H56/H79</f>
        <v>3.2300486814479845E-4</v>
      </c>
      <c r="I57" s="53">
        <f t="shared" si="24"/>
        <v>8.7648820392958874E-4</v>
      </c>
      <c r="J57" s="53">
        <f>AVERAGE(G57:I57)</f>
        <v>6.6190613475153E-4</v>
      </c>
      <c r="K57" s="53">
        <f t="shared" ref="K57:N57" si="25">AVERAGE(H57:J57)</f>
        <v>6.204664022753057E-4</v>
      </c>
      <c r="L57" s="53">
        <f t="shared" si="25"/>
        <v>7.1962024698547485E-4</v>
      </c>
      <c r="M57" s="53">
        <f t="shared" si="25"/>
        <v>6.6733092800410352E-4</v>
      </c>
      <c r="N57" s="53">
        <f t="shared" si="25"/>
        <v>6.6913919242162802E-4</v>
      </c>
    </row>
    <row r="58" spans="1:14" s="33" customFormat="1" x14ac:dyDescent="0.3"/>
    <row r="59" spans="1:14" x14ac:dyDescent="0.3">
      <c r="A59" s="10" t="s">
        <v>34</v>
      </c>
      <c r="B59" s="32" t="s">
        <v>42</v>
      </c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</row>
    <row r="60" spans="1:14" s="33" customFormat="1" x14ac:dyDescent="0.3"/>
    <row r="61" spans="1:14" s="88" customFormat="1" x14ac:dyDescent="0.3">
      <c r="B61" s="88" t="s">
        <v>226</v>
      </c>
    </row>
    <row r="62" spans="1:14" s="33" customFormat="1" x14ac:dyDescent="0.3">
      <c r="B62" s="33" t="s">
        <v>104</v>
      </c>
      <c r="G62" s="80">
        <f>Statements!G57</f>
        <v>25576</v>
      </c>
      <c r="H62" s="80">
        <f>Statements!H57</f>
        <v>21391</v>
      </c>
      <c r="I62" s="80">
        <f>Statements!I57</f>
        <v>24433</v>
      </c>
      <c r="J62" s="80">
        <f ca="1">J69*Statements!J21/days</f>
        <v>24560.922818516181</v>
      </c>
      <c r="K62" s="80">
        <f ca="1">K69*Statements!K21/days</f>
        <v>25077.956776149669</v>
      </c>
      <c r="L62" s="80">
        <f ca="1">L69*Statements!L21/days</f>
        <v>26076.420418088786</v>
      </c>
      <c r="M62" s="80">
        <f ca="1">M69*Statements!M21/days</f>
        <v>27191.490097746242</v>
      </c>
      <c r="N62" s="80">
        <f ca="1">N69*Statements!N21/days</f>
        <v>28519.934894476326</v>
      </c>
    </row>
    <row r="63" spans="1:14" s="33" customFormat="1" x14ac:dyDescent="0.3">
      <c r="B63" s="33" t="s">
        <v>105</v>
      </c>
      <c r="G63" s="80">
        <f>Statements!G58</f>
        <v>5538</v>
      </c>
      <c r="H63" s="80">
        <f>Statements!H58</f>
        <v>2175</v>
      </c>
      <c r="I63" s="80">
        <f>Statements!I58</f>
        <v>1747</v>
      </c>
      <c r="J63" s="80">
        <f ca="1">J70*Statements!J$27/days</f>
        <v>1726.6219876829261</v>
      </c>
      <c r="K63" s="80">
        <f ca="1">K70*Statements!K$27/days</f>
        <v>1788.5655623987334</v>
      </c>
      <c r="L63" s="80">
        <f ca="1">L70*Statements!L$27/days</f>
        <v>1905.8029468517184</v>
      </c>
      <c r="M63" s="80">
        <f ca="1">M70*Statements!M$27/days</f>
        <v>2020.802622425233</v>
      </c>
      <c r="N63" s="80">
        <f ca="1">N70*Statements!N$27/days</f>
        <v>2172.1240552353192</v>
      </c>
    </row>
    <row r="64" spans="1:14" s="33" customFormat="1" x14ac:dyDescent="0.3">
      <c r="G64" s="80"/>
      <c r="H64" s="80"/>
      <c r="I64" s="80"/>
      <c r="J64" s="80"/>
      <c r="K64" s="80"/>
      <c r="L64" s="80"/>
      <c r="M64" s="80"/>
      <c r="N64" s="80"/>
    </row>
    <row r="65" spans="2:14" s="33" customFormat="1" x14ac:dyDescent="0.3">
      <c r="B65" s="88" t="s">
        <v>227</v>
      </c>
      <c r="G65" s="80"/>
      <c r="H65" s="80"/>
      <c r="I65" s="80"/>
      <c r="J65" s="80"/>
      <c r="K65" s="80"/>
      <c r="L65" s="80"/>
      <c r="M65" s="80"/>
      <c r="N65" s="80"/>
    </row>
    <row r="66" spans="2:14" s="33" customFormat="1" x14ac:dyDescent="0.3">
      <c r="B66" s="76" t="s">
        <v>119</v>
      </c>
      <c r="G66" s="80">
        <f>Statements!G75</f>
        <v>19896</v>
      </c>
      <c r="H66" s="80">
        <f>Statements!H75</f>
        <v>24070</v>
      </c>
      <c r="I66" s="80">
        <f>Statements!I75</f>
        <v>19985</v>
      </c>
      <c r="J66" s="80">
        <f ca="1">J71*Statements!J$27/days</f>
        <v>19751.883471003592</v>
      </c>
      <c r="K66" s="80">
        <f ca="1">K71*Statements!K$27/days</f>
        <v>20460.493854916247</v>
      </c>
      <c r="L66" s="80">
        <f ca="1">L71*Statements!L$27/days</f>
        <v>21801.643899731873</v>
      </c>
      <c r="M66" s="80">
        <f ca="1">M71*Statements!M$27/days</f>
        <v>23117.19542596925</v>
      </c>
      <c r="N66" s="80">
        <f ca="1">N71*Statements!N$27/days</f>
        <v>24848.253717159612</v>
      </c>
    </row>
    <row r="67" spans="2:14" s="33" customFormat="1" x14ac:dyDescent="0.3">
      <c r="G67" s="80"/>
      <c r="H67" s="80"/>
      <c r="I67" s="80"/>
      <c r="J67" s="80"/>
      <c r="K67" s="80"/>
      <c r="L67" s="80"/>
      <c r="M67" s="80"/>
      <c r="N67" s="80"/>
    </row>
    <row r="68" spans="2:14" s="33" customFormat="1" x14ac:dyDescent="0.3">
      <c r="B68" s="88" t="s">
        <v>228</v>
      </c>
      <c r="G68" s="80"/>
      <c r="H68" s="80"/>
      <c r="I68" s="80"/>
      <c r="J68" s="80"/>
      <c r="K68" s="80"/>
      <c r="L68" s="80"/>
      <c r="M68" s="80"/>
      <c r="N68" s="80"/>
    </row>
    <row r="69" spans="2:14" s="33" customFormat="1" x14ac:dyDescent="0.3">
      <c r="B69" s="33" t="s">
        <v>104</v>
      </c>
      <c r="G69" s="80">
        <f>G62*days/Statements!G$21</f>
        <v>20.452775787690967</v>
      </c>
      <c r="H69" s="80">
        <f>H62*days/Statements!H$21</f>
        <v>16.82980113036243</v>
      </c>
      <c r="I69" s="80">
        <f>I62*days/Statements!I$21</f>
        <v>19.715619431658908</v>
      </c>
      <c r="J69" s="80">
        <f>I69</f>
        <v>19.715619431658908</v>
      </c>
      <c r="K69" s="80">
        <f t="shared" ref="K69:N69" si="26">J69</f>
        <v>19.715619431658908</v>
      </c>
      <c r="L69" s="80">
        <f t="shared" si="26"/>
        <v>19.715619431658908</v>
      </c>
      <c r="M69" s="80">
        <f t="shared" si="26"/>
        <v>19.715619431658908</v>
      </c>
      <c r="N69" s="80">
        <f t="shared" si="26"/>
        <v>19.715619431658908</v>
      </c>
    </row>
    <row r="70" spans="2:14" s="33" customFormat="1" x14ac:dyDescent="0.3">
      <c r="B70" s="33" t="s">
        <v>105</v>
      </c>
      <c r="G70" s="80">
        <f>G63*days/Statements!G$27</f>
        <v>11.263749735314112</v>
      </c>
      <c r="H70" s="80">
        <f>H63*days/Statements!H$27</f>
        <v>4.2317656277485485</v>
      </c>
      <c r="I70" s="80">
        <f>I63*days/Statements!I$27</f>
        <v>3.3606069230120585</v>
      </c>
      <c r="J70" s="80">
        <f t="shared" ref="J70:N71" si="27">I70</f>
        <v>3.3606069230120585</v>
      </c>
      <c r="K70" s="80">
        <f t="shared" si="27"/>
        <v>3.3606069230120585</v>
      </c>
      <c r="L70" s="80">
        <f t="shared" si="27"/>
        <v>3.3606069230120585</v>
      </c>
      <c r="M70" s="80">
        <f t="shared" si="27"/>
        <v>3.3606069230120585</v>
      </c>
      <c r="N70" s="80">
        <f t="shared" si="27"/>
        <v>3.3606069230120585</v>
      </c>
    </row>
    <row r="71" spans="2:14" s="33" customFormat="1" x14ac:dyDescent="0.3">
      <c r="B71" s="33" t="s">
        <v>119</v>
      </c>
      <c r="G71" s="80">
        <f>G66*days/Statements!G$27</f>
        <v>40.466515842146912</v>
      </c>
      <c r="H71" s="80">
        <f>H66*days/Statements!H$27</f>
        <v>46.831539613750607</v>
      </c>
      <c r="I71" s="80">
        <f>I66*days/Statements!I$27</f>
        <v>38.444035121005143</v>
      </c>
      <c r="J71" s="80">
        <f t="shared" si="27"/>
        <v>38.444035121005143</v>
      </c>
      <c r="K71" s="80">
        <f t="shared" si="27"/>
        <v>38.444035121005143</v>
      </c>
      <c r="L71" s="80">
        <f t="shared" si="27"/>
        <v>38.444035121005143</v>
      </c>
      <c r="M71" s="80">
        <f t="shared" si="27"/>
        <v>38.444035121005143</v>
      </c>
      <c r="N71" s="80">
        <f t="shared" si="27"/>
        <v>38.444035121005143</v>
      </c>
    </row>
    <row r="72" spans="2:14" s="33" customFormat="1" x14ac:dyDescent="0.3">
      <c r="G72" s="80"/>
      <c r="H72" s="80"/>
      <c r="I72" s="80"/>
      <c r="J72" s="80"/>
      <c r="K72" s="80"/>
      <c r="L72" s="80"/>
      <c r="M72" s="80"/>
      <c r="N72" s="80"/>
    </row>
    <row r="73" spans="2:14" s="33" customFormat="1" x14ac:dyDescent="0.3">
      <c r="B73" s="33" t="s">
        <v>107</v>
      </c>
      <c r="G73" s="80">
        <f>Statements!G60</f>
        <v>12529</v>
      </c>
      <c r="H73" s="80">
        <f>Statements!H60</f>
        <v>12855</v>
      </c>
      <c r="I73" s="80">
        <f>Statements!I60</f>
        <v>10628</v>
      </c>
      <c r="J73" s="80">
        <f ca="1">J74*Statements!J$21</f>
        <v>11921.590776582849</v>
      </c>
      <c r="K73" s="80">
        <f ca="1">K74*Statements!K$21</f>
        <v>11981.953440062221</v>
      </c>
      <c r="L73" s="80">
        <f ca="1">L74*Statements!L$21</f>
        <v>12153.022539034453</v>
      </c>
      <c r="M73" s="80">
        <f ca="1">M74*Statements!M$21</f>
        <v>12954.306069434433</v>
      </c>
      <c r="N73" s="80">
        <f ca="1">N74*Statements!N$21</f>
        <v>13501.837839654814</v>
      </c>
    </row>
    <row r="74" spans="2:14" s="33" customFormat="1" x14ac:dyDescent="0.3">
      <c r="B74" s="33" t="s">
        <v>229</v>
      </c>
      <c r="G74" s="89">
        <f>G73/Statements!G$21</f>
        <v>2.7450052472564188E-2</v>
      </c>
      <c r="H74" s="89">
        <f>H73/Statements!H$21</f>
        <v>2.7709399424903323E-2</v>
      </c>
      <c r="I74" s="89">
        <f>I73/Statements!I$21</f>
        <v>2.3495912312583179E-2</v>
      </c>
      <c r="J74" s="89">
        <f t="array" ref="J74">AVERAGE(G74:I74)</f>
        <v>2.6218454736683564E-2</v>
      </c>
      <c r="K74" s="89">
        <f t="array" ref="K74">AVERAGE(H74:J74)</f>
        <v>2.580792215805669E-2</v>
      </c>
      <c r="L74" s="89">
        <f t="array" ref="L74">AVERAGE(I74:K74)</f>
        <v>2.5174096402441143E-2</v>
      </c>
      <c r="M74" s="89">
        <f t="array" ref="M74">AVERAGE(J74:L74)</f>
        <v>2.5733491099060465E-2</v>
      </c>
      <c r="N74" s="89">
        <f t="array" ref="N74">AVERAGE(K74:M74)</f>
        <v>2.5571836553186098E-2</v>
      </c>
    </row>
    <row r="75" spans="2:14" s="33" customFormat="1" x14ac:dyDescent="0.3">
      <c r="B75" s="76" t="s">
        <v>120</v>
      </c>
      <c r="G75" s="80">
        <f>Statements!G76</f>
        <v>56762</v>
      </c>
      <c r="H75" s="80">
        <f>Statements!H76</f>
        <v>63068</v>
      </c>
      <c r="I75" s="80">
        <f>Statements!I76</f>
        <v>58842</v>
      </c>
      <c r="J75" s="80">
        <f ca="1">J76*Statements!J$21</f>
        <v>59170.652944818357</v>
      </c>
      <c r="K75" s="80">
        <f ca="1">K76*Statements!K$21</f>
        <v>61309.131334743754</v>
      </c>
      <c r="L75" s="80">
        <f ca="1">L76*Statements!L$21</f>
        <v>63123.887618097222</v>
      </c>
      <c r="M75" s="80">
        <f ca="1">M76*Statements!M$21</f>
        <v>65935.797981863609</v>
      </c>
      <c r="N75" s="80">
        <f ca="1">N76*Statements!N$21</f>
        <v>69306.650075824669</v>
      </c>
    </row>
    <row r="76" spans="2:14" s="33" customFormat="1" x14ac:dyDescent="0.3">
      <c r="B76" s="76" t="s">
        <v>230</v>
      </c>
      <c r="G76" s="89">
        <f>G75/Statements!G$21</f>
        <v>0.12436107258741227</v>
      </c>
      <c r="H76" s="89">
        <f>H75/Statements!H$21</f>
        <v>0.13594526666120599</v>
      </c>
      <c r="I76" s="89">
        <f>I75/Statements!I$21</f>
        <v>0.13008529095756674</v>
      </c>
      <c r="J76" s="89">
        <f t="array" ref="J76">AVERAGE(G76:I76)</f>
        <v>0.13013054340206165</v>
      </c>
      <c r="K76" s="89">
        <f t="array" ref="K76">AVERAGE(H76:J76)</f>
        <v>0.13205370034027811</v>
      </c>
      <c r="L76" s="89">
        <f t="array" ref="L76">AVERAGE(I76:K76)</f>
        <v>0.13075651156663548</v>
      </c>
      <c r="M76" s="89">
        <f t="array" ref="M76">AVERAGE(J76:L76)</f>
        <v>0.13098025176965841</v>
      </c>
      <c r="N76" s="89">
        <f t="array" ref="N76">AVERAGE(K76:M76)</f>
        <v>0.13126348789219067</v>
      </c>
    </row>
    <row r="77" spans="2:14" s="33" customFormat="1" x14ac:dyDescent="0.3">
      <c r="B77" s="76" t="s">
        <v>127</v>
      </c>
      <c r="G77" s="80">
        <f>Statements!G84</f>
        <v>32598</v>
      </c>
      <c r="H77" s="80">
        <f>Statements!H84</f>
        <v>31592</v>
      </c>
      <c r="I77" s="80">
        <f>Statements!I84</f>
        <v>27446</v>
      </c>
      <c r="J77" s="80">
        <f ca="1">J78*Statements!J$21</f>
        <v>30342.844279391982</v>
      </c>
      <c r="K77" s="80">
        <f ca="1">K78*Statements!K$21</f>
        <v>30256.023810185077</v>
      </c>
      <c r="L77" s="80">
        <f ca="1">L78*Statements!L$21</f>
        <v>30989.279387796785</v>
      </c>
      <c r="M77" s="80">
        <f ca="1">M78*Statements!M$21</f>
        <v>32904.354978752177</v>
      </c>
      <c r="N77" s="80">
        <f ca="1">N78*Statements!N$21</f>
        <v>34271.252670147485</v>
      </c>
    </row>
    <row r="78" spans="2:14" s="33" customFormat="1" x14ac:dyDescent="0.3">
      <c r="B78" s="33" t="s">
        <v>231</v>
      </c>
      <c r="G78" s="89">
        <f>G77/Statements!G$21</f>
        <v>7.1419651249153754E-2</v>
      </c>
      <c r="H78" s="89">
        <f>H77/Statements!H$21</f>
        <v>6.8097654347066966E-2</v>
      </c>
      <c r="I78" s="89">
        <f>I77/Statements!I$21</f>
        <v>6.0676402835073195E-2</v>
      </c>
      <c r="J78" s="89">
        <f t="array" ref="J78">AVERAGE(G78:I78)</f>
        <v>6.6731236143764638E-2</v>
      </c>
      <c r="K78" s="89">
        <f t="array" ref="K78">AVERAGE(H78:J78)</f>
        <v>6.5168431108634933E-2</v>
      </c>
      <c r="L78" s="89">
        <f t="array" ref="L78">AVERAGE(I78:K78)</f>
        <v>6.4192023362490927E-2</v>
      </c>
      <c r="M78" s="89">
        <f t="array" ref="M78">AVERAGE(J78:L78)</f>
        <v>6.5363896871630175E-2</v>
      </c>
      <c r="N78" s="89">
        <f t="array" ref="N78">AVERAGE(K78:M78)</f>
        <v>6.4908117114252026E-2</v>
      </c>
    </row>
    <row r="79" spans="2:14" s="33" customFormat="1" x14ac:dyDescent="0.3">
      <c r="B79" s="76" t="s">
        <v>113</v>
      </c>
      <c r="G79" s="80">
        <f>Statements!G68</f>
        <v>50876</v>
      </c>
      <c r="H79" s="80">
        <f>Statements!H68</f>
        <v>43343</v>
      </c>
      <c r="I79" s="80">
        <f>Statements!I68</f>
        <v>54764</v>
      </c>
      <c r="J79" s="80">
        <f ca="1">J80*Statements!J21</f>
        <v>49405.293108190395</v>
      </c>
      <c r="K79" s="80">
        <f ca="1">K80*Statements!K21</f>
        <v>50010.279837317503</v>
      </c>
      <c r="L79" s="80">
        <f ca="1">L80*Statements!L21</f>
        <v>54300.913626419155</v>
      </c>
      <c r="M79" s="80">
        <f ca="1">M80*Statements!M21</f>
        <v>55181.588892050502</v>
      </c>
      <c r="N79" s="80">
        <f ca="1">N80*Statements!N21</f>
        <v>58046.990667891987</v>
      </c>
    </row>
    <row r="80" spans="2:14" s="33" customFormat="1" x14ac:dyDescent="0.3">
      <c r="B80" s="76" t="s">
        <v>307</v>
      </c>
      <c r="G80" s="89">
        <f>G79/Statements!G21</f>
        <v>0.11146531004822217</v>
      </c>
      <c r="H80" s="89">
        <f>H79/Statements!H21</f>
        <v>9.3427343389621526E-2</v>
      </c>
      <c r="I80" s="89">
        <f>I79/Statements!I21</f>
        <v>0.1210698289317186</v>
      </c>
      <c r="J80" s="90">
        <f>AVERAGE(G80:I80)</f>
        <v>0.10865416078985408</v>
      </c>
      <c r="K80" s="90">
        <f t="shared" ref="K80:N80" si="28">AVERAGE(H80:J80)</f>
        <v>0.10771711103706473</v>
      </c>
      <c r="L80" s="90">
        <f t="shared" si="28"/>
        <v>0.11248036691954581</v>
      </c>
      <c r="M80" s="90">
        <f t="shared" si="28"/>
        <v>0.1096172129154882</v>
      </c>
      <c r="N80" s="90">
        <f t="shared" si="28"/>
        <v>0.10993823029069959</v>
      </c>
    </row>
    <row r="81" spans="1:15" s="33" customFormat="1" x14ac:dyDescent="0.3"/>
    <row r="82" spans="1:15" x14ac:dyDescent="0.3">
      <c r="A82" s="10" t="s">
        <v>34</v>
      </c>
      <c r="B82" s="32" t="s">
        <v>66</v>
      </c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</row>
    <row r="83" spans="1:15" s="33" customFormat="1" x14ac:dyDescent="0.3"/>
    <row r="84" spans="1:15" s="33" customFormat="1" x14ac:dyDescent="0.3">
      <c r="B84" s="33" t="s">
        <v>234</v>
      </c>
      <c r="G84" s="123"/>
      <c r="H84" s="123"/>
      <c r="I84" s="123"/>
      <c r="J84" s="80">
        <f>Statements!I79</f>
        <v>261300</v>
      </c>
      <c r="K84" s="80">
        <f>Statements!J79</f>
        <v>211300</v>
      </c>
      <c r="L84" s="80">
        <f>Statements!K79</f>
        <v>171300</v>
      </c>
      <c r="M84" s="80">
        <f>Statements!L79</f>
        <v>131300</v>
      </c>
      <c r="N84" s="80">
        <f>Statements!M79</f>
        <v>91300</v>
      </c>
    </row>
    <row r="85" spans="1:15" s="33" customFormat="1" x14ac:dyDescent="0.3">
      <c r="B85" s="71" t="s">
        <v>232</v>
      </c>
      <c r="G85" s="123"/>
      <c r="H85" s="123"/>
      <c r="I85" s="123"/>
      <c r="J85" s="80">
        <v>0</v>
      </c>
      <c r="K85" s="80">
        <v>0</v>
      </c>
      <c r="L85" s="80">
        <v>0</v>
      </c>
      <c r="M85" s="80">
        <v>0</v>
      </c>
      <c r="N85" s="80">
        <v>0</v>
      </c>
    </row>
    <row r="86" spans="1:15" s="33" customFormat="1" x14ac:dyDescent="0.3">
      <c r="B86" s="71" t="s">
        <v>266</v>
      </c>
      <c r="G86" s="123"/>
      <c r="H86" s="123"/>
      <c r="I86" s="123"/>
      <c r="J86" s="80">
        <v>50000</v>
      </c>
      <c r="K86" s="80">
        <v>40000</v>
      </c>
      <c r="L86" s="80">
        <v>40000</v>
      </c>
      <c r="M86" s="80">
        <v>40000</v>
      </c>
      <c r="N86" s="80">
        <v>40000</v>
      </c>
    </row>
    <row r="87" spans="1:15" s="33" customFormat="1" x14ac:dyDescent="0.3">
      <c r="B87" s="74" t="s">
        <v>233</v>
      </c>
      <c r="C87" s="74"/>
      <c r="D87" s="74"/>
      <c r="E87" s="74"/>
      <c r="F87" s="74"/>
      <c r="G87" s="124"/>
      <c r="H87" s="124"/>
      <c r="I87" s="124"/>
      <c r="J87" s="121">
        <f>J84+J85-J86</f>
        <v>211300</v>
      </c>
      <c r="K87" s="121">
        <f t="shared" ref="K87:N87" si="29">K84+K85-K86</f>
        <v>171300</v>
      </c>
      <c r="L87" s="121">
        <f t="shared" si="29"/>
        <v>131300</v>
      </c>
      <c r="M87" s="121">
        <f t="shared" si="29"/>
        <v>91300</v>
      </c>
      <c r="N87" s="121">
        <f t="shared" si="29"/>
        <v>51300</v>
      </c>
    </row>
    <row r="88" spans="1:15" s="33" customFormat="1" x14ac:dyDescent="0.3">
      <c r="B88" s="74"/>
      <c r="C88" s="74"/>
      <c r="D88" s="74"/>
      <c r="E88" s="74"/>
      <c r="F88" s="74"/>
      <c r="G88" s="124"/>
      <c r="H88" s="124"/>
      <c r="I88" s="124"/>
      <c r="J88" s="81"/>
      <c r="K88" s="81"/>
      <c r="L88" s="81"/>
      <c r="M88" s="81"/>
      <c r="N88" s="81"/>
    </row>
    <row r="89" spans="1:15" s="33" customFormat="1" x14ac:dyDescent="0.3">
      <c r="B89" s="33" t="s">
        <v>268</v>
      </c>
      <c r="C89" s="74"/>
      <c r="D89" s="33" t="s">
        <v>237</v>
      </c>
      <c r="E89" s="74"/>
      <c r="F89" s="74"/>
      <c r="G89" s="124"/>
      <c r="H89" s="124"/>
      <c r="I89" s="124"/>
      <c r="J89" s="53">
        <v>4.53E-2</v>
      </c>
      <c r="K89" s="53">
        <v>4.4999999999999998E-2</v>
      </c>
      <c r="L89" s="53">
        <v>4.2999999999999997E-2</v>
      </c>
      <c r="M89" s="53">
        <v>4.2500000000000003E-2</v>
      </c>
      <c r="N89" s="53">
        <v>4.1500000000000002E-2</v>
      </c>
    </row>
    <row r="90" spans="1:15" s="33" customFormat="1" x14ac:dyDescent="0.3">
      <c r="B90" s="33" t="s">
        <v>236</v>
      </c>
      <c r="C90" s="74"/>
      <c r="G90" s="123"/>
      <c r="H90" s="124"/>
      <c r="I90" s="124"/>
      <c r="J90" s="53">
        <f>J89+2.25%</f>
        <v>6.7799999999999999E-2</v>
      </c>
      <c r="K90" s="53">
        <f t="shared" ref="K90:N90" si="30">K89+2.25%</f>
        <v>6.7500000000000004E-2</v>
      </c>
      <c r="L90" s="53">
        <f t="shared" si="30"/>
        <v>6.5500000000000003E-2</v>
      </c>
      <c r="M90" s="53">
        <f t="shared" si="30"/>
        <v>6.5000000000000002E-2</v>
      </c>
      <c r="N90" s="53">
        <f t="shared" si="30"/>
        <v>6.4000000000000001E-2</v>
      </c>
    </row>
    <row r="91" spans="1:15" s="33" customFormat="1" x14ac:dyDescent="0.3">
      <c r="B91" s="33" t="s">
        <v>235</v>
      </c>
      <c r="C91" s="74"/>
      <c r="D91" s="74"/>
      <c r="E91" s="74"/>
      <c r="F91" s="74"/>
      <c r="G91" s="124"/>
      <c r="H91" s="124"/>
      <c r="I91" s="124"/>
      <c r="J91" s="80">
        <f>AVERAGE(J84,J87)*J90</f>
        <v>16021.14</v>
      </c>
      <c r="K91" s="80">
        <f t="shared" ref="K91:N91" si="31">AVERAGE(K84,K87)*K90</f>
        <v>12912.75</v>
      </c>
      <c r="L91" s="80">
        <f t="shared" si="31"/>
        <v>9910.15</v>
      </c>
      <c r="M91" s="80">
        <f t="shared" si="31"/>
        <v>7234.5</v>
      </c>
      <c r="N91" s="80">
        <f t="shared" si="31"/>
        <v>4563.2</v>
      </c>
    </row>
    <row r="92" spans="1:15" s="33" customFormat="1" x14ac:dyDescent="0.3">
      <c r="G92" s="123"/>
      <c r="H92" s="123"/>
      <c r="I92" s="123"/>
    </row>
    <row r="93" spans="1:15" s="33" customFormat="1" x14ac:dyDescent="0.3">
      <c r="B93" s="33" t="s">
        <v>270</v>
      </c>
      <c r="G93" s="123"/>
      <c r="H93" s="123"/>
      <c r="I93" s="123"/>
      <c r="J93" s="80">
        <f ca="1">Statements!J113+Statements!J119</f>
        <v>68088.646845935655</v>
      </c>
      <c r="K93" s="80">
        <f ca="1">Statements!K113+Statements!K119</f>
        <v>60294.015382915561</v>
      </c>
      <c r="L93" s="80">
        <f ca="1">Statements!L113+Statements!L119</f>
        <v>52389.841860606393</v>
      </c>
      <c r="M93" s="80">
        <f ca="1">Statements!M113+Statements!M119</f>
        <v>54178.686161464488</v>
      </c>
      <c r="N93" s="80">
        <f ca="1">Statements!N113+Statements!N119</f>
        <v>48896.838925092394</v>
      </c>
    </row>
    <row r="94" spans="1:15" s="33" customFormat="1" x14ac:dyDescent="0.3">
      <c r="B94" s="71" t="s">
        <v>271</v>
      </c>
      <c r="G94" s="123"/>
      <c r="H94" s="123"/>
      <c r="I94" s="123"/>
      <c r="J94" s="80">
        <v>-2000</v>
      </c>
      <c r="K94" s="80">
        <v>-1999</v>
      </c>
      <c r="L94" s="80">
        <v>-1998</v>
      </c>
      <c r="M94" s="80">
        <v>-1997</v>
      </c>
      <c r="N94" s="80">
        <v>-1996</v>
      </c>
      <c r="O94" s="80"/>
    </row>
    <row r="95" spans="1:15" s="33" customFormat="1" x14ac:dyDescent="0.3">
      <c r="B95" s="74" t="s">
        <v>272</v>
      </c>
      <c r="G95" s="123"/>
      <c r="H95" s="123"/>
      <c r="I95" s="123"/>
      <c r="J95" s="81">
        <f ca="1">SUM(J93:J94)</f>
        <v>66088.646845935655</v>
      </c>
      <c r="K95" s="81">
        <f t="shared" ref="K95:N95" ca="1" si="32">SUM(K93:K94)</f>
        <v>58295.015382915561</v>
      </c>
      <c r="L95" s="81">
        <f t="shared" ca="1" si="32"/>
        <v>50391.841860606393</v>
      </c>
      <c r="M95" s="81">
        <f t="shared" ca="1" si="32"/>
        <v>52181.686161464488</v>
      </c>
      <c r="N95" s="81">
        <f t="shared" ca="1" si="32"/>
        <v>46900.838925092394</v>
      </c>
      <c r="O95" s="80"/>
    </row>
    <row r="96" spans="1:15" s="33" customFormat="1" x14ac:dyDescent="0.3">
      <c r="B96" s="71" t="s">
        <v>274</v>
      </c>
      <c r="G96" s="123"/>
      <c r="H96" s="123"/>
      <c r="I96" s="123"/>
      <c r="J96" s="80">
        <f>-J86</f>
        <v>-50000</v>
      </c>
      <c r="K96" s="80">
        <f t="shared" ref="K96:N96" si="33">-K86</f>
        <v>-40000</v>
      </c>
      <c r="L96" s="80">
        <f t="shared" si="33"/>
        <v>-40000</v>
      </c>
      <c r="M96" s="80">
        <f t="shared" si="33"/>
        <v>-40000</v>
      </c>
      <c r="N96" s="80">
        <f t="shared" si="33"/>
        <v>-40000</v>
      </c>
      <c r="O96" s="80"/>
    </row>
    <row r="97" spans="1:15" s="33" customFormat="1" x14ac:dyDescent="0.3">
      <c r="B97" s="71" t="s">
        <v>275</v>
      </c>
      <c r="G97" s="123"/>
      <c r="H97" s="123"/>
      <c r="I97" s="123"/>
      <c r="J97" s="80">
        <f>-J91</f>
        <v>-16021.14</v>
      </c>
      <c r="K97" s="80">
        <f t="shared" ref="K97:N97" si="34">-K91</f>
        <v>-12912.75</v>
      </c>
      <c r="L97" s="80">
        <f t="shared" si="34"/>
        <v>-9910.15</v>
      </c>
      <c r="M97" s="80">
        <f t="shared" si="34"/>
        <v>-7234.5</v>
      </c>
      <c r="N97" s="80">
        <f t="shared" si="34"/>
        <v>-4563.2</v>
      </c>
      <c r="O97" s="80"/>
    </row>
    <row r="98" spans="1:15" s="33" customFormat="1" x14ac:dyDescent="0.3">
      <c r="B98" s="74" t="s">
        <v>276</v>
      </c>
      <c r="G98" s="123"/>
      <c r="H98" s="123"/>
      <c r="I98" s="123"/>
      <c r="J98" s="121">
        <f ca="1">SUM(J95:J97)</f>
        <v>67.506845935655292</v>
      </c>
      <c r="K98" s="121">
        <f t="shared" ref="K98:N98" ca="1" si="35">SUM(K95:K97)</f>
        <v>5382.2653829155606</v>
      </c>
      <c r="L98" s="121">
        <f t="shared" ca="1" si="35"/>
        <v>481.69186060639367</v>
      </c>
      <c r="M98" s="121">
        <f t="shared" ca="1" si="35"/>
        <v>4947.1861614644877</v>
      </c>
      <c r="N98" s="121">
        <f t="shared" ca="1" si="35"/>
        <v>2337.6389250923939</v>
      </c>
      <c r="O98" s="80"/>
    </row>
    <row r="99" spans="1:15" s="33" customFormat="1" x14ac:dyDescent="0.3">
      <c r="G99" s="123"/>
      <c r="H99" s="123"/>
      <c r="I99" s="123"/>
      <c r="J99" s="80"/>
      <c r="K99" s="80"/>
      <c r="L99" s="80"/>
      <c r="M99" s="80"/>
      <c r="N99" s="80"/>
      <c r="O99" s="80"/>
    </row>
    <row r="100" spans="1:15" s="33" customFormat="1" x14ac:dyDescent="0.3">
      <c r="B100" s="33" t="s">
        <v>264</v>
      </c>
      <c r="G100" s="123"/>
      <c r="H100" s="123"/>
      <c r="I100" s="123"/>
      <c r="J100" s="33">
        <f>Statements!I78</f>
        <v>0</v>
      </c>
      <c r="K100" s="80">
        <f ca="1">J103</f>
        <v>0</v>
      </c>
      <c r="L100" s="80">
        <f t="shared" ref="L100:N100" ca="1" si="36">K103</f>
        <v>0</v>
      </c>
      <c r="M100" s="80">
        <f t="shared" ca="1" si="36"/>
        <v>0</v>
      </c>
      <c r="N100" s="80">
        <f t="shared" ca="1" si="36"/>
        <v>0</v>
      </c>
    </row>
    <row r="101" spans="1:15" s="33" customFormat="1" x14ac:dyDescent="0.3">
      <c r="B101" s="71" t="s">
        <v>273</v>
      </c>
      <c r="G101" s="123"/>
      <c r="H101" s="123"/>
      <c r="I101" s="123"/>
      <c r="J101" s="80">
        <f ca="1">IF(J98&lt;0,-J98,0)</f>
        <v>0</v>
      </c>
      <c r="K101" s="80">
        <f t="shared" ref="K101:N101" ca="1" si="37">IF(K98&lt;0,-K98,0)</f>
        <v>0</v>
      </c>
      <c r="L101" s="80">
        <f t="shared" ca="1" si="37"/>
        <v>0</v>
      </c>
      <c r="M101" s="80">
        <f t="shared" ca="1" si="37"/>
        <v>0</v>
      </c>
      <c r="N101" s="80">
        <f t="shared" ca="1" si="37"/>
        <v>0</v>
      </c>
    </row>
    <row r="102" spans="1:15" s="33" customFormat="1" x14ac:dyDescent="0.3">
      <c r="B102" s="71" t="s">
        <v>267</v>
      </c>
      <c r="G102" s="123"/>
      <c r="H102" s="123"/>
      <c r="I102" s="123"/>
      <c r="J102" s="80">
        <f ca="1">IF(J98&gt;0,MIN(J98,J100),0)</f>
        <v>0</v>
      </c>
      <c r="K102" s="80">
        <f ca="1">IF(K98&gt;0,-MIN(K98,K100),0)</f>
        <v>0</v>
      </c>
      <c r="L102" s="80">
        <f t="shared" ref="L102:N102" ca="1" si="38">IF(L98&gt;0,-MIN(L98,L100),0)</f>
        <v>0</v>
      </c>
      <c r="M102" s="80">
        <f t="shared" ca="1" si="38"/>
        <v>0</v>
      </c>
      <c r="N102" s="80">
        <f t="shared" ca="1" si="38"/>
        <v>0</v>
      </c>
    </row>
    <row r="103" spans="1:15" s="33" customFormat="1" x14ac:dyDescent="0.3">
      <c r="B103" s="74" t="s">
        <v>265</v>
      </c>
      <c r="G103" s="123"/>
      <c r="H103" s="123"/>
      <c r="I103" s="123"/>
      <c r="J103" s="121">
        <f ca="1">SUM(J100:J102)</f>
        <v>0</v>
      </c>
      <c r="K103" s="121">
        <f t="shared" ref="K103:N103" ca="1" si="39">SUM(K100:K102)</f>
        <v>0</v>
      </c>
      <c r="L103" s="121">
        <f t="shared" ca="1" si="39"/>
        <v>0</v>
      </c>
      <c r="M103" s="121">
        <f t="shared" ca="1" si="39"/>
        <v>0</v>
      </c>
      <c r="N103" s="121">
        <f t="shared" ca="1" si="39"/>
        <v>0</v>
      </c>
    </row>
    <row r="104" spans="1:15" s="33" customFormat="1" x14ac:dyDescent="0.3">
      <c r="G104" s="123"/>
      <c r="H104" s="123"/>
      <c r="I104" s="123"/>
    </row>
    <row r="105" spans="1:15" s="33" customFormat="1" x14ac:dyDescent="0.3">
      <c r="B105" s="33" t="s">
        <v>236</v>
      </c>
      <c r="D105" s="33" t="s">
        <v>278</v>
      </c>
      <c r="G105" s="123"/>
      <c r="H105" s="123"/>
      <c r="I105" s="123"/>
      <c r="J105" s="118">
        <f>J89+1.25%</f>
        <v>5.7800000000000004E-2</v>
      </c>
      <c r="K105" s="118">
        <f t="shared" ref="K105:N105" si="40">K89+1.25%</f>
        <v>5.7499999999999996E-2</v>
      </c>
      <c r="L105" s="118">
        <f t="shared" si="40"/>
        <v>5.5499999999999994E-2</v>
      </c>
      <c r="M105" s="118">
        <f t="shared" si="40"/>
        <v>5.5000000000000007E-2</v>
      </c>
      <c r="N105" s="118">
        <f t="shared" si="40"/>
        <v>5.4000000000000006E-2</v>
      </c>
    </row>
    <row r="106" spans="1:15" s="33" customFormat="1" x14ac:dyDescent="0.3">
      <c r="B106" s="33" t="s">
        <v>277</v>
      </c>
      <c r="G106" s="123"/>
      <c r="H106" s="123"/>
      <c r="I106" s="123"/>
      <c r="J106" s="80">
        <f ca="1">AVERAGE(J100,J103)*J105</f>
        <v>0</v>
      </c>
      <c r="K106" s="80">
        <f t="shared" ref="K106:N106" ca="1" si="41">AVERAGE(K100,K103)*K105</f>
        <v>0</v>
      </c>
      <c r="L106" s="80">
        <f t="shared" ca="1" si="41"/>
        <v>0</v>
      </c>
      <c r="M106" s="80">
        <f t="shared" ca="1" si="41"/>
        <v>0</v>
      </c>
      <c r="N106" s="80">
        <f t="shared" ca="1" si="41"/>
        <v>0</v>
      </c>
    </row>
    <row r="107" spans="1:15" s="33" customFormat="1" x14ac:dyDescent="0.3"/>
    <row r="108" spans="1:15" x14ac:dyDescent="0.3">
      <c r="A108" s="10" t="s">
        <v>34</v>
      </c>
      <c r="B108" s="32" t="s">
        <v>67</v>
      </c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</row>
    <row r="110" spans="1:15" x14ac:dyDescent="0.3">
      <c r="B110" s="10" t="s">
        <v>241</v>
      </c>
      <c r="G110" s="117"/>
      <c r="H110" s="117"/>
      <c r="I110" s="117"/>
      <c r="J110" s="38">
        <f>Statements!I91</f>
        <v>-2499</v>
      </c>
      <c r="K110" s="38">
        <f ca="1">J113</f>
        <v>26036.67325626835</v>
      </c>
      <c r="L110" s="38">
        <f t="shared" ref="L110:N110" ca="1" si="42">K113</f>
        <v>55496.073376758679</v>
      </c>
      <c r="M110" s="38">
        <f t="shared" ca="1" si="42"/>
        <v>84282.418513320445</v>
      </c>
      <c r="N110" s="38">
        <f t="shared" ca="1" si="42"/>
        <v>114856.96982126341</v>
      </c>
    </row>
    <row r="111" spans="1:15" x14ac:dyDescent="0.3">
      <c r="B111" s="37" t="s">
        <v>242</v>
      </c>
      <c r="G111" s="117"/>
      <c r="H111" s="117"/>
      <c r="I111" s="117"/>
      <c r="J111" s="38">
        <f ca="1">Statements!J41</f>
        <v>30035.67325626835</v>
      </c>
      <c r="K111" s="38">
        <f ca="1">Statements!K41</f>
        <v>30959.400120490329</v>
      </c>
      <c r="L111" s="38">
        <f ca="1">Statements!L41</f>
        <v>30286.345136561773</v>
      </c>
      <c r="M111" s="38">
        <f ca="1">Statements!M41</f>
        <v>32074.551307942962</v>
      </c>
      <c r="N111" s="38">
        <f ca="1">Statements!N41</f>
        <v>31795.920737326123</v>
      </c>
    </row>
    <row r="112" spans="1:15" x14ac:dyDescent="0.3">
      <c r="B112" s="37" t="s">
        <v>248</v>
      </c>
      <c r="G112" s="117"/>
      <c r="H112" s="117"/>
      <c r="I112" s="117"/>
      <c r="J112" s="38">
        <v>-1500</v>
      </c>
      <c r="K112" s="38">
        <v>-1500</v>
      </c>
      <c r="L112" s="38">
        <v>-1500</v>
      </c>
      <c r="M112" s="38">
        <v>-1500</v>
      </c>
      <c r="N112" s="38">
        <v>-1500</v>
      </c>
    </row>
    <row r="113" spans="2:14" x14ac:dyDescent="0.3">
      <c r="B113" s="31" t="s">
        <v>243</v>
      </c>
      <c r="C113" s="31"/>
      <c r="D113" s="31"/>
      <c r="E113" s="31"/>
      <c r="F113" s="31"/>
      <c r="G113" s="125"/>
      <c r="H113" s="125"/>
      <c r="I113" s="125"/>
      <c r="J113" s="122">
        <f ca="1">SUM(J110:J112)</f>
        <v>26036.67325626835</v>
      </c>
      <c r="K113" s="122">
        <f t="shared" ref="K113:N113" ca="1" si="43">SUM(K110:K112)</f>
        <v>55496.073376758679</v>
      </c>
      <c r="L113" s="122">
        <f t="shared" ca="1" si="43"/>
        <v>84282.418513320445</v>
      </c>
      <c r="M113" s="122">
        <f t="shared" ca="1" si="43"/>
        <v>114856.96982126341</v>
      </c>
      <c r="N113" s="122">
        <f t="shared" ca="1" si="43"/>
        <v>145152.89055858954</v>
      </c>
    </row>
    <row r="115" spans="2:14" x14ac:dyDescent="0.3">
      <c r="B115" s="10" t="s">
        <v>244</v>
      </c>
      <c r="J115" s="92">
        <f>Statements!I90</f>
        <v>0</v>
      </c>
      <c r="K115" s="92">
        <f ca="1">J117</f>
        <v>7699.8803616067371</v>
      </c>
      <c r="L115" s="92">
        <f t="shared" ref="L115:N115" ca="1" si="44">K117</f>
        <v>17377.666540002443</v>
      </c>
      <c r="M115" s="92">
        <f t="shared" ca="1" si="44"/>
        <v>27193.66807090435</v>
      </c>
      <c r="N115" s="92">
        <f t="shared" ca="1" si="44"/>
        <v>36741.838590601939</v>
      </c>
    </row>
    <row r="116" spans="2:14" x14ac:dyDescent="0.3">
      <c r="B116" s="37" t="s">
        <v>245</v>
      </c>
      <c r="G116" s="92">
        <v>6548</v>
      </c>
      <c r="H116" s="92">
        <v>5546</v>
      </c>
      <c r="I116" s="92">
        <v>8701</v>
      </c>
      <c r="J116" s="92">
        <f ca="1">J119*Statements!J41</f>
        <v>7699.8803616067371</v>
      </c>
      <c r="K116" s="92">
        <f ca="1">K119*Statements!K41</f>
        <v>9677.7861783957069</v>
      </c>
      <c r="L116" s="92">
        <f ca="1">L119*Statements!L41</f>
        <v>9816.0015309019054</v>
      </c>
      <c r="M116" s="92">
        <f ca="1">M119*Statements!M41</f>
        <v>9548.1705196975872</v>
      </c>
      <c r="N116" s="92">
        <f ca="1">N119*Statements!N41</f>
        <v>9903.2566338306951</v>
      </c>
    </row>
    <row r="117" spans="2:14" x14ac:dyDescent="0.3">
      <c r="B117" s="31" t="s">
        <v>246</v>
      </c>
      <c r="J117" s="120">
        <f ca="1">SUM(J115:J116)</f>
        <v>7699.8803616067371</v>
      </c>
      <c r="K117" s="120">
        <f t="shared" ref="K117:N117" ca="1" si="45">SUM(K115:K116)</f>
        <v>17377.666540002443</v>
      </c>
      <c r="L117" s="120">
        <f t="shared" ca="1" si="45"/>
        <v>27193.66807090435</v>
      </c>
      <c r="M117" s="120">
        <f t="shared" ca="1" si="45"/>
        <v>36741.838590601939</v>
      </c>
      <c r="N117" s="120">
        <f t="shared" ca="1" si="45"/>
        <v>46645.095224432633</v>
      </c>
    </row>
    <row r="119" spans="2:14" x14ac:dyDescent="0.3">
      <c r="B119" s="10" t="s">
        <v>247</v>
      </c>
      <c r="G119" s="89">
        <f>G116/Statements!G41</f>
        <v>8.7643216618481637E-2</v>
      </c>
      <c r="H119" s="89">
        <f>H116/Statements!H41</f>
        <v>0.27806467786412636</v>
      </c>
      <c r="I119" s="89">
        <f>I116/Statements!I41</f>
        <v>0.4033656297807241</v>
      </c>
      <c r="J119" s="105">
        <f>AVERAGE(G119:I119)</f>
        <v>0.25635784142111068</v>
      </c>
      <c r="K119" s="105">
        <f t="shared" ref="K119:N119" si="46">AVERAGE(H119:J119)</f>
        <v>0.31259604968865373</v>
      </c>
      <c r="L119" s="105">
        <f t="shared" si="46"/>
        <v>0.32410650696349613</v>
      </c>
      <c r="M119" s="105">
        <f t="shared" si="46"/>
        <v>0.2976867993577535</v>
      </c>
      <c r="N119" s="105">
        <f t="shared" si="46"/>
        <v>0.31146311866996773</v>
      </c>
    </row>
    <row r="121" spans="2:14" x14ac:dyDescent="0.3">
      <c r="B121" s="104" t="s">
        <v>48</v>
      </c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</row>
  </sheetData>
  <mergeCells count="2">
    <mergeCell ref="G6:I6"/>
    <mergeCell ref="J6:N6"/>
  </mergeCells>
  <hyperlinks>
    <hyperlink ref="B121" location="Schedule!A8" display="&lt;- Go back to the top" xr:uid="{BD6AFDFD-951C-4A5E-A975-D7F35E747FA9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7E9B-182C-4605-86F7-8C19CB228200}">
  <sheetPr>
    <tabColor rgb="FF00004D"/>
  </sheetPr>
  <dimension ref="A1"/>
  <sheetViews>
    <sheetView showGridLines="0" workbookViewId="0"/>
  </sheetViews>
  <sheetFormatPr defaultRowHeight="14.4" x14ac:dyDescent="0.3"/>
  <sheetData>
    <row r="1" spans="1:1" x14ac:dyDescent="0.3">
      <c r="A1" t="s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799F9-B230-4756-966C-30D72BA1C5DB}">
  <dimension ref="B2:O26"/>
  <sheetViews>
    <sheetView showGridLines="0" zoomScale="85" zoomScaleNormal="85" workbookViewId="0">
      <selection activeCell="A6" sqref="A6:XFD6"/>
    </sheetView>
  </sheetViews>
  <sheetFormatPr defaultRowHeight="13.8" x14ac:dyDescent="0.3"/>
  <cols>
    <col min="1" max="1" width="1.88671875" style="10" customWidth="1"/>
    <col min="2" max="2" width="31.88671875" style="10" customWidth="1"/>
    <col min="3" max="3" width="8.77734375" style="10" customWidth="1"/>
    <col min="4" max="4" width="10.44140625" style="10" customWidth="1"/>
    <col min="5" max="5" width="13.6640625" style="10" customWidth="1"/>
    <col min="6" max="6" width="17.109375" style="10" customWidth="1"/>
    <col min="7" max="7" width="12.77734375" style="10" customWidth="1"/>
    <col min="8" max="8" width="12.33203125" style="10" customWidth="1"/>
    <col min="9" max="15" width="15.6640625" style="10" customWidth="1"/>
    <col min="16" max="16384" width="8.88671875" style="10"/>
  </cols>
  <sheetData>
    <row r="2" spans="2:15" s="14" customFormat="1" ht="15.6" x14ac:dyDescent="0.3">
      <c r="B2" s="16" t="str">
        <f>Dashboard!B2</f>
        <v>Denny's Diner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</row>
    <row r="3" spans="2:15" s="14" customFormat="1" ht="14.4" x14ac:dyDescent="0.3">
      <c r="B3" s="49" t="s">
        <v>316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4" spans="2:15" s="14" customFormat="1" ht="14.4" x14ac:dyDescent="0.3">
      <c r="B4" s="64" t="s">
        <v>295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</row>
    <row r="5" spans="2:15" s="14" customFormat="1" ht="14.4" x14ac:dyDescent="0.3">
      <c r="B5" s="7" t="s">
        <v>37</v>
      </c>
      <c r="C5" s="19"/>
      <c r="D5" s="7" t="str">
        <f>Dashboard!G13</f>
        <v>Street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</row>
    <row r="7" spans="2:15" ht="14.4" x14ac:dyDescent="0.3">
      <c r="B7" s="29" t="s">
        <v>45</v>
      </c>
    </row>
    <row r="9" spans="2:15" x14ac:dyDescent="0.3">
      <c r="B9" s="31" t="s">
        <v>296</v>
      </c>
    </row>
    <row r="11" spans="2:15" x14ac:dyDescent="0.3">
      <c r="B11" s="31" t="s">
        <v>315</v>
      </c>
    </row>
    <row r="12" spans="2:15" ht="14.4" customHeight="1" x14ac:dyDescent="0.3"/>
    <row r="13" spans="2:15" x14ac:dyDescent="0.3">
      <c r="B13" s="132" t="s">
        <v>281</v>
      </c>
      <c r="C13" s="133" t="s">
        <v>5</v>
      </c>
      <c r="D13" s="133" t="s">
        <v>282</v>
      </c>
      <c r="E13" s="133" t="s">
        <v>283</v>
      </c>
      <c r="F13" s="133" t="s">
        <v>284</v>
      </c>
      <c r="G13" s="133" t="s">
        <v>285</v>
      </c>
      <c r="H13" s="133" t="s">
        <v>286</v>
      </c>
      <c r="I13" s="133" t="s">
        <v>287</v>
      </c>
      <c r="J13" s="133" t="s">
        <v>288</v>
      </c>
      <c r="K13" s="133" t="s">
        <v>64</v>
      </c>
      <c r="L13" s="133" t="s">
        <v>289</v>
      </c>
      <c r="M13" s="133" t="s">
        <v>290</v>
      </c>
      <c r="N13" s="133" t="s">
        <v>291</v>
      </c>
      <c r="O13" s="134" t="s">
        <v>292</v>
      </c>
    </row>
    <row r="14" spans="2:15" x14ac:dyDescent="0.3">
      <c r="B14" s="66" t="s">
        <v>293</v>
      </c>
      <c r="C14" s="10" t="s">
        <v>294</v>
      </c>
      <c r="D14" s="126">
        <v>25.2</v>
      </c>
      <c r="E14" s="126">
        <v>14.57</v>
      </c>
      <c r="F14" s="126">
        <f t="shared" ref="F14:F19" si="0">D14*E14</f>
        <v>367.16399999999999</v>
      </c>
      <c r="G14" s="126">
        <v>1600</v>
      </c>
      <c r="H14" s="126">
        <v>128.19999999999999</v>
      </c>
      <c r="I14" s="126">
        <f t="shared" ref="I14:I19" si="1">F14+G14-H14</f>
        <v>1838.9639999999999</v>
      </c>
      <c r="J14" s="126">
        <v>879.3</v>
      </c>
      <c r="K14" s="126">
        <v>186.5</v>
      </c>
      <c r="L14" s="126">
        <v>16</v>
      </c>
      <c r="M14" s="126">
        <f>I14/J14</f>
        <v>2.0913954281815079</v>
      </c>
      <c r="N14" s="126">
        <f>I14/K14</f>
        <v>9.8603967828418231</v>
      </c>
      <c r="O14" s="127">
        <f>D14/(L14/E14)</f>
        <v>22.947749999999999</v>
      </c>
    </row>
    <row r="15" spans="2:15" x14ac:dyDescent="0.3">
      <c r="B15" s="66" t="s">
        <v>297</v>
      </c>
      <c r="C15" s="10" t="s">
        <v>298</v>
      </c>
      <c r="D15" s="126">
        <v>27.63</v>
      </c>
      <c r="E15" s="126">
        <v>22.35</v>
      </c>
      <c r="F15" s="126">
        <f t="shared" si="0"/>
        <v>617.53049999999996</v>
      </c>
      <c r="G15" s="126">
        <v>1210</v>
      </c>
      <c r="H15" s="126">
        <v>8.57</v>
      </c>
      <c r="I15" s="126">
        <f t="shared" si="1"/>
        <v>1818.9604999999999</v>
      </c>
      <c r="J15" s="126">
        <v>3360</v>
      </c>
      <c r="K15" s="126">
        <v>130.87</v>
      </c>
      <c r="L15" s="126">
        <v>-4.01</v>
      </c>
      <c r="M15" s="126">
        <f t="shared" ref="M15:M19" si="2">I15/J15</f>
        <v>0.54135729166666668</v>
      </c>
      <c r="N15" s="126">
        <f t="shared" ref="N15:N19" si="3">I15/K15</f>
        <v>13.898987544891876</v>
      </c>
      <c r="O15" s="127">
        <f t="shared" ref="O15:O19" si="4">D15/(L15/E15)</f>
        <v>-153.99763092269328</v>
      </c>
    </row>
    <row r="16" spans="2:15" x14ac:dyDescent="0.3">
      <c r="B16" s="66" t="s">
        <v>299</v>
      </c>
      <c r="C16" s="10" t="s">
        <v>300</v>
      </c>
      <c r="D16" s="126">
        <v>170.9</v>
      </c>
      <c r="E16" s="126">
        <v>66.150000000000006</v>
      </c>
      <c r="F16" s="126">
        <f t="shared" si="0"/>
        <v>11305.035000000002</v>
      </c>
      <c r="G16" s="126">
        <v>976.76</v>
      </c>
      <c r="H16" s="126">
        <v>134.71</v>
      </c>
      <c r="I16" s="126">
        <f t="shared" si="1"/>
        <v>12147.085000000003</v>
      </c>
      <c r="J16" s="126">
        <v>5880</v>
      </c>
      <c r="K16" s="126">
        <v>681.73</v>
      </c>
      <c r="L16" s="126">
        <v>405.55</v>
      </c>
      <c r="M16" s="126">
        <f t="shared" si="2"/>
        <v>2.0658307823129256</v>
      </c>
      <c r="N16" s="126">
        <f t="shared" si="3"/>
        <v>17.818029131767712</v>
      </c>
      <c r="O16" s="127">
        <f t="shared" si="4"/>
        <v>27.875810627542844</v>
      </c>
    </row>
    <row r="17" spans="2:15" x14ac:dyDescent="0.3">
      <c r="B17" s="66" t="s">
        <v>301</v>
      </c>
      <c r="C17" s="10" t="s">
        <v>302</v>
      </c>
      <c r="D17" s="126">
        <v>141.25</v>
      </c>
      <c r="E17" s="126">
        <v>44.43</v>
      </c>
      <c r="F17" s="126">
        <f t="shared" si="0"/>
        <v>6275.7375000000002</v>
      </c>
      <c r="G17" s="126">
        <v>1760</v>
      </c>
      <c r="H17" s="126">
        <v>15</v>
      </c>
      <c r="I17" s="126">
        <f t="shared" si="1"/>
        <v>8020.7375000000002</v>
      </c>
      <c r="J17" s="126">
        <v>5690</v>
      </c>
      <c r="K17" s="126">
        <v>809.9</v>
      </c>
      <c r="L17" s="126">
        <v>454.1</v>
      </c>
      <c r="M17" s="126">
        <f t="shared" si="2"/>
        <v>1.4096199472759228</v>
      </c>
      <c r="N17" s="126">
        <f t="shared" si="3"/>
        <v>9.9033676997160143</v>
      </c>
      <c r="O17" s="127">
        <f t="shared" si="4"/>
        <v>13.820166262937677</v>
      </c>
    </row>
    <row r="18" spans="2:15" x14ac:dyDescent="0.3">
      <c r="B18" s="66" t="s">
        <v>303</v>
      </c>
      <c r="C18" s="10" t="s">
        <v>304</v>
      </c>
      <c r="D18" s="126">
        <v>198.43</v>
      </c>
      <c r="E18" s="126">
        <v>116.31</v>
      </c>
      <c r="F18" s="126">
        <f t="shared" si="0"/>
        <v>23079.3933</v>
      </c>
      <c r="G18" s="126">
        <v>8350</v>
      </c>
      <c r="H18" s="126">
        <v>224.1</v>
      </c>
      <c r="I18" s="126">
        <f t="shared" si="1"/>
        <v>31205.293300000001</v>
      </c>
      <c r="J18" s="126">
        <v>12580</v>
      </c>
      <c r="K18" s="126">
        <v>1990</v>
      </c>
      <c r="L18" s="126">
        <v>1120</v>
      </c>
      <c r="M18" s="126">
        <f t="shared" si="2"/>
        <v>2.4805479570747218</v>
      </c>
      <c r="N18" s="126">
        <f t="shared" si="3"/>
        <v>15.681051909547739</v>
      </c>
      <c r="O18" s="127">
        <f t="shared" si="4"/>
        <v>20.606601160714288</v>
      </c>
    </row>
    <row r="19" spans="2:15" x14ac:dyDescent="0.3">
      <c r="B19" s="128" t="s">
        <v>305</v>
      </c>
      <c r="C19" s="129" t="s">
        <v>306</v>
      </c>
      <c r="D19" s="130">
        <v>36.119999999999997</v>
      </c>
      <c r="E19" s="130">
        <v>32.81</v>
      </c>
      <c r="F19" s="130">
        <f t="shared" si="0"/>
        <v>1185.0971999999999</v>
      </c>
      <c r="G19" s="130">
        <v>937.1</v>
      </c>
      <c r="H19" s="130">
        <v>36.950000000000003</v>
      </c>
      <c r="I19" s="130">
        <f t="shared" si="1"/>
        <v>2085.2472000000002</v>
      </c>
      <c r="J19" s="130">
        <v>2050</v>
      </c>
      <c r="K19" s="130">
        <v>201.79</v>
      </c>
      <c r="L19" s="130">
        <v>29.57</v>
      </c>
      <c r="M19" s="130">
        <f t="shared" si="2"/>
        <v>1.017193756097561</v>
      </c>
      <c r="N19" s="130">
        <f t="shared" si="3"/>
        <v>10.333748946925022</v>
      </c>
      <c r="O19" s="131">
        <f t="shared" si="4"/>
        <v>40.077686844775108</v>
      </c>
    </row>
    <row r="21" spans="2:15" x14ac:dyDescent="0.3">
      <c r="B21" s="147" t="s">
        <v>329</v>
      </c>
      <c r="C21" s="148" t="s">
        <v>73</v>
      </c>
      <c r="D21" s="149">
        <v>6.25</v>
      </c>
      <c r="E21" s="149">
        <f>Statements!J49/1000</f>
        <v>52.613999999999997</v>
      </c>
      <c r="F21" s="149">
        <f t="shared" ref="F21" si="5">D21*E21</f>
        <v>328.83749999999998</v>
      </c>
      <c r="G21" s="149">
        <f>Statements!J79/1000</f>
        <v>211.3</v>
      </c>
      <c r="H21" s="149">
        <f ca="1">Statements!J55/1000</f>
        <v>2.2655068459356551</v>
      </c>
      <c r="I21" s="149">
        <f ca="1">F21+G21-H21</f>
        <v>537.8719931540644</v>
      </c>
      <c r="J21" s="149">
        <f ca="1">Statements!J21/1000</f>
        <v>454.70226587773493</v>
      </c>
      <c r="K21" s="149">
        <f ca="1">(Statements!J36+Statements!J31)/1000</f>
        <v>70.334464301244793</v>
      </c>
      <c r="L21" s="149">
        <f ca="1">Statements!J41/1000</f>
        <v>30.03567325626835</v>
      </c>
      <c r="M21" s="149">
        <f t="shared" ref="M21" ca="1" si="6">I21/J21</f>
        <v>1.1829102987111417</v>
      </c>
      <c r="N21" s="149">
        <f t="shared" ref="N21" ca="1" si="7">I21/K21</f>
        <v>7.6473461267912866</v>
      </c>
      <c r="O21" s="150">
        <f t="shared" ref="O21" ca="1" si="8">D21/(L21/E21)</f>
        <v>10.948231364561559</v>
      </c>
    </row>
    <row r="22" spans="2:15" x14ac:dyDescent="0.3">
      <c r="L22" s="135" t="s">
        <v>310</v>
      </c>
      <c r="M22" s="136">
        <f>MAX(M14:M19)</f>
        <v>2.4805479570747218</v>
      </c>
      <c r="N22" s="136">
        <f t="shared" ref="N22:O22" si="9">MAX(N14:N19)</f>
        <v>17.818029131767712</v>
      </c>
      <c r="O22" s="137">
        <f t="shared" si="9"/>
        <v>40.077686844775108</v>
      </c>
    </row>
    <row r="23" spans="2:15" x14ac:dyDescent="0.3">
      <c r="L23" s="138" t="s">
        <v>314</v>
      </c>
      <c r="M23" s="139">
        <f>QUARTILE(M14:M19,3)</f>
        <v>2.0850042667143622</v>
      </c>
      <c r="N23" s="139">
        <f t="shared" ref="N23:O23" si="10">QUARTILE(N14:N19,3)</f>
        <v>15.235535818383774</v>
      </c>
      <c r="O23" s="140">
        <f t="shared" si="10"/>
        <v>26.643795470657132</v>
      </c>
    </row>
    <row r="24" spans="2:15" x14ac:dyDescent="0.3">
      <c r="L24" s="144" t="s">
        <v>311</v>
      </c>
      <c r="M24" s="145">
        <f>MEDIAN(M14:M19)</f>
        <v>1.7377253647944242</v>
      </c>
      <c r="N24" s="145">
        <f t="shared" ref="N24:O24" si="11">MEDIAN(N14:N19)</f>
        <v>12.116368245908449</v>
      </c>
      <c r="O24" s="146">
        <f t="shared" si="11"/>
        <v>21.777175580357145</v>
      </c>
    </row>
    <row r="25" spans="2:15" x14ac:dyDescent="0.3">
      <c r="L25" s="138" t="s">
        <v>312</v>
      </c>
      <c r="M25" s="139">
        <f>QUARTILE(M14:M19,1)</f>
        <v>1.1153003038921514</v>
      </c>
      <c r="N25" s="139">
        <f t="shared" ref="N25:O25" si="12">QUARTILE(N14:N19,1)</f>
        <v>10.010963011518266</v>
      </c>
      <c r="O25" s="140">
        <f t="shared" si="12"/>
        <v>15.516774987381829</v>
      </c>
    </row>
    <row r="26" spans="2:15" x14ac:dyDescent="0.3">
      <c r="L26" s="141" t="s">
        <v>313</v>
      </c>
      <c r="M26" s="142">
        <f>MIN(M14:M19)</f>
        <v>0.54135729166666668</v>
      </c>
      <c r="N26" s="142">
        <f t="shared" ref="N26:O26" si="13">MIN(N14:N19)</f>
        <v>9.8603967828418231</v>
      </c>
      <c r="O26" s="143">
        <f t="shared" si="13"/>
        <v>-153.99763092269328</v>
      </c>
    </row>
  </sheetData>
  <hyperlinks>
    <hyperlink ref="B7" location="Dashboard!A1" display="&lt;-Back to dashboard" xr:uid="{8A726ABA-FF8B-4FCE-A982-76721E345442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110-6571-4E63-B74B-852FE0B133C5}">
  <dimension ref="B2:O372"/>
  <sheetViews>
    <sheetView showGridLines="0" zoomScaleNormal="100" workbookViewId="0"/>
  </sheetViews>
  <sheetFormatPr defaultRowHeight="13.8" x14ac:dyDescent="0.3"/>
  <cols>
    <col min="1" max="1" width="1.88671875" style="10" customWidth="1"/>
    <col min="2" max="2" width="31.109375" style="10" customWidth="1"/>
    <col min="3" max="3" width="11" style="10" customWidth="1"/>
    <col min="4" max="4" width="11.44140625" style="10" customWidth="1"/>
    <col min="5" max="5" width="11.109375" style="10" customWidth="1"/>
    <col min="6" max="6" width="11.88671875" style="10" bestFit="1" customWidth="1"/>
    <col min="7" max="7" width="15.109375" style="10" bestFit="1" customWidth="1"/>
    <col min="8" max="11" width="8.88671875" style="10"/>
    <col min="12" max="12" width="9.21875" style="10" bestFit="1" customWidth="1"/>
    <col min="13" max="16384" width="8.88671875" style="10"/>
  </cols>
  <sheetData>
    <row r="2" spans="2:15" s="14" customFormat="1" ht="15.6" x14ac:dyDescent="0.3">
      <c r="B2" s="16" t="str">
        <f>Dashboard!B2</f>
        <v>Denny's Diner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0"/>
      <c r="N2" s="10"/>
      <c r="O2" s="10"/>
    </row>
    <row r="3" spans="2:15" s="14" customFormat="1" ht="14.4" x14ac:dyDescent="0.3">
      <c r="B3" s="49" t="s">
        <v>47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0"/>
      <c r="N3" s="10"/>
      <c r="O3" s="10"/>
    </row>
    <row r="4" spans="2:15" s="14" customFormat="1" ht="14.4" x14ac:dyDescent="0.3">
      <c r="B4" s="64" t="s">
        <v>295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0"/>
      <c r="N4" s="10"/>
      <c r="O4" s="10"/>
    </row>
    <row r="5" spans="2:15" s="14" customFormat="1" ht="14.4" x14ac:dyDescent="0.3">
      <c r="B5" s="7" t="s">
        <v>37</v>
      </c>
      <c r="C5" s="7" t="str">
        <f>Dashboard!G13</f>
        <v>Street</v>
      </c>
      <c r="D5" s="17"/>
      <c r="E5" s="17"/>
      <c r="F5" s="17"/>
      <c r="G5" s="17"/>
      <c r="H5" s="17"/>
      <c r="I5" s="17"/>
      <c r="J5" s="17"/>
      <c r="K5" s="17"/>
      <c r="L5" s="17"/>
      <c r="M5" s="10"/>
      <c r="N5" s="10"/>
      <c r="O5" s="10"/>
    </row>
    <row r="6" spans="2:15" s="14" customFormat="1" ht="14.4" x14ac:dyDescent="0.3"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</row>
    <row r="7" spans="2:15" ht="14.4" x14ac:dyDescent="0.3">
      <c r="B7" s="29" t="s">
        <v>45</v>
      </c>
    </row>
    <row r="8" spans="2:15" ht="14.4" x14ac:dyDescent="0.3">
      <c r="B8" s="29"/>
    </row>
    <row r="9" spans="2:15" x14ac:dyDescent="0.3">
      <c r="B9" s="380" t="s">
        <v>281</v>
      </c>
      <c r="C9" s="381" t="s">
        <v>284</v>
      </c>
      <c r="D9" s="381" t="s">
        <v>285</v>
      </c>
      <c r="E9" s="382" t="s">
        <v>317</v>
      </c>
      <c r="F9" s="383" t="s">
        <v>318</v>
      </c>
      <c r="G9" s="384" t="s">
        <v>319</v>
      </c>
      <c r="H9" s="43"/>
      <c r="I9" s="42"/>
      <c r="J9" s="42"/>
      <c r="L9" s="44"/>
    </row>
    <row r="10" spans="2:15" ht="14.4" x14ac:dyDescent="0.3">
      <c r="B10" s="153"/>
      <c r="C10" s="154"/>
      <c r="D10" s="155"/>
      <c r="E10" s="156"/>
      <c r="F10" s="153"/>
      <c r="G10" s="154"/>
      <c r="H10" s="43"/>
      <c r="I10" s="42"/>
      <c r="J10" s="42"/>
      <c r="L10" s="44"/>
    </row>
    <row r="11" spans="2:15" x14ac:dyDescent="0.3">
      <c r="B11" s="39" t="s">
        <v>329</v>
      </c>
      <c r="C11" s="157">
        <f>Comp_Trad!F21</f>
        <v>328.83749999999998</v>
      </c>
      <c r="D11" s="158">
        <f>Comp_Trad!G21</f>
        <v>211.3</v>
      </c>
      <c r="E11" s="159">
        <v>0.25</v>
      </c>
      <c r="F11" s="160">
        <v>1.37</v>
      </c>
      <c r="G11" s="157">
        <f>F11/(1+(1-E11)*(D11/C11))</f>
        <v>0.92447325894574839</v>
      </c>
      <c r="H11" s="43"/>
      <c r="I11" s="42"/>
      <c r="J11" s="42"/>
      <c r="L11" s="44"/>
    </row>
    <row r="12" spans="2:15" x14ac:dyDescent="0.3">
      <c r="B12" s="39" t="s">
        <v>293</v>
      </c>
      <c r="C12" s="157">
        <f>Comp_Trad!F14</f>
        <v>367.16399999999999</v>
      </c>
      <c r="D12" s="158">
        <f>Comp_Trad!G14</f>
        <v>1600</v>
      </c>
      <c r="E12" s="159">
        <v>0.25</v>
      </c>
      <c r="F12" s="160">
        <v>0.94</v>
      </c>
      <c r="G12" s="157">
        <f t="shared" ref="G12:G17" si="0">F12/(1+(1-E12)*(D12/C12))</f>
        <v>0.22022848916897017</v>
      </c>
      <c r="H12" s="43"/>
      <c r="I12" s="42"/>
      <c r="J12" s="42"/>
      <c r="L12" s="44"/>
    </row>
    <row r="13" spans="2:15" x14ac:dyDescent="0.3">
      <c r="B13" s="39" t="s">
        <v>297</v>
      </c>
      <c r="C13" s="157">
        <f>Comp_Trad!F15</f>
        <v>617.53049999999996</v>
      </c>
      <c r="D13" s="158">
        <f>Comp_Trad!G15</f>
        <v>1210</v>
      </c>
      <c r="E13" s="159">
        <v>0.25</v>
      </c>
      <c r="F13" s="160">
        <v>1.22</v>
      </c>
      <c r="G13" s="157">
        <f t="shared" si="0"/>
        <v>0.49401451970960575</v>
      </c>
      <c r="H13" s="43"/>
      <c r="I13" s="42"/>
      <c r="J13" s="42"/>
      <c r="L13" s="44"/>
    </row>
    <row r="14" spans="2:15" x14ac:dyDescent="0.3">
      <c r="B14" s="39" t="s">
        <v>299</v>
      </c>
      <c r="C14" s="157">
        <f>Comp_Trad!F16</f>
        <v>11305.035000000002</v>
      </c>
      <c r="D14" s="158">
        <f>Comp_Trad!G16</f>
        <v>976.76</v>
      </c>
      <c r="E14" s="159">
        <v>0.25</v>
      </c>
      <c r="F14" s="160">
        <v>0.87</v>
      </c>
      <c r="G14" s="157">
        <f t="shared" si="0"/>
        <v>0.81705459267021974</v>
      </c>
      <c r="H14" s="43"/>
      <c r="I14" s="42"/>
      <c r="J14" s="42"/>
      <c r="L14" s="44"/>
    </row>
    <row r="15" spans="2:15" x14ac:dyDescent="0.3">
      <c r="B15" s="39" t="s">
        <v>301</v>
      </c>
      <c r="C15" s="157">
        <f>Comp_Trad!F17</f>
        <v>6275.7375000000002</v>
      </c>
      <c r="D15" s="158">
        <f>Comp_Trad!G17</f>
        <v>1760</v>
      </c>
      <c r="E15" s="159">
        <v>0.25</v>
      </c>
      <c r="F15" s="160">
        <v>1.36</v>
      </c>
      <c r="G15" s="157">
        <f t="shared" si="0"/>
        <v>1.1236569194235584</v>
      </c>
      <c r="H15" s="43"/>
      <c r="I15" s="42"/>
      <c r="J15" s="42"/>
      <c r="L15" s="44"/>
    </row>
    <row r="16" spans="2:15" x14ac:dyDescent="0.3">
      <c r="B16" s="39" t="s">
        <v>303</v>
      </c>
      <c r="C16" s="157">
        <f>Comp_Trad!F18</f>
        <v>23079.3933</v>
      </c>
      <c r="D16" s="158">
        <f>Comp_Trad!G18</f>
        <v>8350</v>
      </c>
      <c r="E16" s="159">
        <v>0.25</v>
      </c>
      <c r="F16" s="160">
        <v>0.6</v>
      </c>
      <c r="G16" s="157">
        <f t="shared" si="0"/>
        <v>0.47194077895443781</v>
      </c>
      <c r="H16" s="43"/>
      <c r="I16" s="42"/>
      <c r="J16" s="42"/>
      <c r="L16" s="44"/>
    </row>
    <row r="17" spans="2:12" x14ac:dyDescent="0.3">
      <c r="B17" s="39" t="s">
        <v>305</v>
      </c>
      <c r="C17" s="157">
        <f>Comp_Trad!F19</f>
        <v>1185.0971999999999</v>
      </c>
      <c r="D17" s="158">
        <f>Comp_Trad!G19</f>
        <v>937.1</v>
      </c>
      <c r="E17" s="159">
        <v>0.25</v>
      </c>
      <c r="F17" s="160">
        <v>1.24</v>
      </c>
      <c r="G17" s="157">
        <f t="shared" si="0"/>
        <v>0.77837981247320465</v>
      </c>
      <c r="H17" s="43"/>
      <c r="I17" s="42"/>
      <c r="J17" s="42"/>
      <c r="L17" s="44"/>
    </row>
    <row r="18" spans="2:12" ht="14.4" x14ac:dyDescent="0.3">
      <c r="B18" s="39"/>
      <c r="C18" s="40"/>
      <c r="D18" s="43"/>
      <c r="E18" s="41"/>
      <c r="F18" s="39"/>
      <c r="G18" s="40"/>
      <c r="H18" s="43"/>
      <c r="I18" s="42"/>
      <c r="J18" s="42"/>
      <c r="L18" s="44"/>
    </row>
    <row r="19" spans="2:12" x14ac:dyDescent="0.3">
      <c r="B19" s="39"/>
      <c r="C19" s="40"/>
      <c r="D19" s="161" t="s">
        <v>320</v>
      </c>
      <c r="E19" s="162">
        <f>AVERAGE(E11:E17)</f>
        <v>0.25</v>
      </c>
      <c r="F19" s="163">
        <f t="shared" ref="F19:G19" si="1">AVERAGE(F11:F17)</f>
        <v>1.0857142857142859</v>
      </c>
      <c r="G19" s="163">
        <f t="shared" si="1"/>
        <v>0.68996405304939212</v>
      </c>
      <c r="H19" s="43"/>
      <c r="I19" s="42"/>
      <c r="J19" s="42"/>
      <c r="L19" s="44"/>
    </row>
    <row r="20" spans="2:12" x14ac:dyDescent="0.3">
      <c r="B20" s="39"/>
      <c r="C20" s="40"/>
      <c r="D20" s="164" t="s">
        <v>311</v>
      </c>
      <c r="E20" s="165">
        <f t="array" ref="E20">MEDIAN(E11:E17)</f>
        <v>0.25</v>
      </c>
      <c r="F20" s="166">
        <f t="array" ref="F20">MEDIAN(F11:F17)</f>
        <v>1.22</v>
      </c>
      <c r="G20" s="166">
        <f t="array" ref="G20">MEDIAN(G11:G17)</f>
        <v>0.77837981247320465</v>
      </c>
      <c r="H20" s="43"/>
      <c r="I20" s="42"/>
      <c r="J20" s="42"/>
      <c r="L20" s="44"/>
    </row>
    <row r="21" spans="2:12" ht="14.4" x14ac:dyDescent="0.3">
      <c r="B21" s="39"/>
      <c r="C21" s="40"/>
      <c r="D21" s="43"/>
      <c r="E21" s="41"/>
      <c r="F21" s="39"/>
      <c r="G21" s="40"/>
      <c r="H21" s="43"/>
      <c r="I21" s="42"/>
      <c r="J21" s="42"/>
      <c r="L21" s="44"/>
    </row>
    <row r="22" spans="2:12" x14ac:dyDescent="0.3">
      <c r="B22" s="167" t="s">
        <v>321</v>
      </c>
      <c r="C22" s="168"/>
      <c r="D22" s="43"/>
      <c r="E22" s="325" t="s">
        <v>463</v>
      </c>
      <c r="F22" s="129"/>
      <c r="G22" s="129"/>
      <c r="H22" s="43"/>
      <c r="I22" s="42"/>
      <c r="J22" s="42"/>
      <c r="L22" s="44"/>
    </row>
    <row r="23" spans="2:12" x14ac:dyDescent="0.3">
      <c r="B23" s="39" t="s">
        <v>322</v>
      </c>
      <c r="C23" s="151">
        <f ca="1">((Statements!J37/1000)/(Statements!J79/1000))</f>
        <v>7.582176999526738E-2</v>
      </c>
      <c r="D23" s="43"/>
      <c r="E23" s="10" t="s">
        <v>464</v>
      </c>
      <c r="G23" s="51">
        <f>C11</f>
        <v>328.83749999999998</v>
      </c>
      <c r="H23" s="43"/>
      <c r="I23" s="42"/>
      <c r="J23" s="42"/>
      <c r="L23" s="44"/>
    </row>
    <row r="24" spans="2:12" x14ac:dyDescent="0.3">
      <c r="B24" s="39" t="s">
        <v>317</v>
      </c>
      <c r="C24" s="151">
        <f>E20</f>
        <v>0.25</v>
      </c>
      <c r="D24" s="43"/>
      <c r="E24" s="10" t="s">
        <v>465</v>
      </c>
      <c r="G24" s="51">
        <f>D11</f>
        <v>211.3</v>
      </c>
      <c r="H24" s="43"/>
      <c r="I24" s="42"/>
      <c r="J24" s="42"/>
      <c r="L24" s="44"/>
    </row>
    <row r="25" spans="2:12" x14ac:dyDescent="0.3">
      <c r="B25" s="373" t="s">
        <v>323</v>
      </c>
      <c r="C25" s="374">
        <f ca="1">C23*(1-C24)</f>
        <v>5.6866327496450535E-2</v>
      </c>
      <c r="D25" s="43"/>
      <c r="E25" s="376" t="s">
        <v>466</v>
      </c>
      <c r="F25" s="377"/>
      <c r="G25" s="378">
        <f>SUM(G23:G24)</f>
        <v>540.13750000000005</v>
      </c>
      <c r="H25" s="43"/>
      <c r="I25" s="42"/>
      <c r="J25" s="42"/>
      <c r="L25" s="44"/>
    </row>
    <row r="26" spans="2:12" x14ac:dyDescent="0.3">
      <c r="B26" s="39"/>
      <c r="C26" s="327"/>
      <c r="D26" s="43"/>
      <c r="F26" s="39"/>
      <c r="G26" s="40"/>
      <c r="H26" s="43"/>
      <c r="I26" s="42"/>
      <c r="J26" s="42"/>
      <c r="L26" s="44"/>
    </row>
    <row r="27" spans="2:12" x14ac:dyDescent="0.3">
      <c r="B27" s="170" t="s">
        <v>324</v>
      </c>
      <c r="C27" s="328"/>
      <c r="D27" s="43"/>
      <c r="E27" s="169" t="s">
        <v>328</v>
      </c>
      <c r="F27" s="171"/>
      <c r="G27" s="168"/>
      <c r="H27" s="43"/>
      <c r="I27" s="42"/>
      <c r="J27" s="42"/>
      <c r="L27" s="44"/>
    </row>
    <row r="28" spans="2:12" x14ac:dyDescent="0.3">
      <c r="B28" s="152" t="s">
        <v>325</v>
      </c>
      <c r="C28" s="329">
        <v>4.2099999999999999E-2</v>
      </c>
      <c r="D28" s="43"/>
      <c r="E28" s="10" t="s">
        <v>321</v>
      </c>
      <c r="F28" s="39"/>
      <c r="G28" s="151">
        <f ca="1">C25*(G24/G25)</f>
        <v>2.2245918863252407E-2</v>
      </c>
      <c r="H28" s="43"/>
      <c r="I28" s="42"/>
      <c r="J28" s="42"/>
      <c r="L28" s="44"/>
    </row>
    <row r="29" spans="2:12" x14ac:dyDescent="0.3">
      <c r="B29" s="152" t="s">
        <v>326</v>
      </c>
      <c r="C29" s="151">
        <v>4.4600000000000001E-2</v>
      </c>
      <c r="D29" s="43"/>
      <c r="E29" s="10" t="s">
        <v>324</v>
      </c>
      <c r="F29" s="39"/>
      <c r="G29" s="151">
        <f>C32*(G23/G25)</f>
        <v>6.015707306010043E-2</v>
      </c>
      <c r="H29" s="43"/>
      <c r="I29" s="42"/>
      <c r="J29" s="42"/>
      <c r="L29" s="44"/>
    </row>
    <row r="30" spans="2:12" x14ac:dyDescent="0.3">
      <c r="B30" s="152" t="s">
        <v>327</v>
      </c>
      <c r="C30" s="151">
        <v>2.3E-3</v>
      </c>
      <c r="D30" s="43"/>
      <c r="E30" s="376" t="s">
        <v>47</v>
      </c>
      <c r="F30" s="379"/>
      <c r="G30" s="374">
        <f ca="1">G28+G29</f>
        <v>8.2402991923352834E-2</v>
      </c>
      <c r="H30" s="43"/>
      <c r="I30" s="42"/>
      <c r="J30" s="42"/>
      <c r="L30" s="44"/>
    </row>
    <row r="31" spans="2:12" ht="14.4" x14ac:dyDescent="0.3">
      <c r="B31" s="152" t="s">
        <v>318</v>
      </c>
      <c r="C31" s="172">
        <f>F20</f>
        <v>1.22</v>
      </c>
      <c r="D31" s="43"/>
      <c r="E31" s="41"/>
      <c r="F31" s="39"/>
      <c r="G31" s="40"/>
      <c r="H31" s="43"/>
      <c r="I31" s="42"/>
      <c r="J31" s="42"/>
      <c r="L31" s="44"/>
    </row>
    <row r="32" spans="2:12" ht="14.4" x14ac:dyDescent="0.3">
      <c r="B32" s="375" t="s">
        <v>324</v>
      </c>
      <c r="C32" s="374">
        <f>C28+(C29*C31)+C30</f>
        <v>9.8811999999999997E-2</v>
      </c>
      <c r="D32" s="43"/>
      <c r="E32" s="41"/>
      <c r="F32" s="39"/>
      <c r="G32" s="40"/>
      <c r="H32" s="43"/>
      <c r="I32" s="42"/>
      <c r="J32" s="42"/>
      <c r="L32" s="44"/>
    </row>
    <row r="33" spans="2:12" ht="14.4" x14ac:dyDescent="0.3">
      <c r="B33" s="39"/>
      <c r="C33" s="40"/>
      <c r="D33" s="43"/>
      <c r="E33" s="41"/>
      <c r="F33" s="39"/>
      <c r="G33" s="40"/>
      <c r="H33" s="43"/>
      <c r="I33" s="42"/>
      <c r="J33" s="42"/>
      <c r="L33" s="44"/>
    </row>
    <row r="34" spans="2:12" ht="14.4" x14ac:dyDescent="0.3">
      <c r="B34" s="39"/>
      <c r="C34" s="40"/>
      <c r="D34" s="43"/>
      <c r="E34" s="41"/>
      <c r="F34" s="39"/>
      <c r="G34" s="40"/>
      <c r="H34" s="43"/>
      <c r="I34" s="42"/>
      <c r="J34" s="42"/>
      <c r="L34" s="44"/>
    </row>
    <row r="35" spans="2:12" ht="14.4" x14ac:dyDescent="0.3">
      <c r="B35" s="39"/>
      <c r="C35" s="40"/>
      <c r="D35" s="43"/>
      <c r="E35" s="41"/>
      <c r="F35" s="39"/>
      <c r="G35" s="40"/>
      <c r="H35" s="43"/>
      <c r="I35" s="42"/>
      <c r="J35" s="42"/>
      <c r="L35" s="44"/>
    </row>
    <row r="36" spans="2:12" ht="14.4" x14ac:dyDescent="0.3">
      <c r="B36" s="39"/>
      <c r="C36" s="40"/>
      <c r="D36" s="43"/>
      <c r="E36" s="41"/>
      <c r="F36" s="39"/>
      <c r="G36" s="40"/>
      <c r="H36" s="43"/>
      <c r="I36" s="42"/>
      <c r="J36" s="42"/>
      <c r="L36" s="44"/>
    </row>
    <row r="37" spans="2:12" ht="14.4" x14ac:dyDescent="0.3">
      <c r="B37" s="39"/>
      <c r="C37" s="40"/>
      <c r="D37" s="43"/>
      <c r="E37" s="41"/>
      <c r="F37" s="39"/>
      <c r="G37" s="40"/>
      <c r="H37" s="43"/>
      <c r="I37" s="42"/>
      <c r="J37" s="42"/>
      <c r="L37" s="44"/>
    </row>
    <row r="38" spans="2:12" ht="14.4" x14ac:dyDescent="0.3">
      <c r="B38" s="39"/>
      <c r="C38" s="40"/>
      <c r="D38" s="43"/>
      <c r="E38" s="41"/>
      <c r="F38" s="39"/>
      <c r="G38" s="40"/>
      <c r="H38" s="43"/>
      <c r="I38" s="42"/>
      <c r="J38" s="42"/>
      <c r="L38" s="44"/>
    </row>
    <row r="39" spans="2:12" ht="14.4" x14ac:dyDescent="0.3">
      <c r="B39" s="39"/>
      <c r="C39" s="40"/>
      <c r="D39" s="43"/>
      <c r="E39" s="41"/>
      <c r="F39" s="39"/>
      <c r="G39" s="40"/>
      <c r="H39" s="43"/>
      <c r="I39" s="42"/>
      <c r="J39" s="42"/>
      <c r="L39" s="44"/>
    </row>
    <row r="40" spans="2:12" ht="14.4" x14ac:dyDescent="0.3">
      <c r="B40" s="39"/>
      <c r="C40" s="40"/>
      <c r="D40" s="43"/>
      <c r="E40" s="41"/>
      <c r="F40" s="39"/>
      <c r="G40" s="40"/>
      <c r="H40" s="43"/>
      <c r="I40" s="42"/>
      <c r="J40" s="42"/>
      <c r="L40" s="44"/>
    </row>
    <row r="41" spans="2:12" ht="14.4" x14ac:dyDescent="0.3">
      <c r="B41" s="39"/>
      <c r="C41" s="40"/>
      <c r="D41" s="43"/>
      <c r="E41" s="41"/>
      <c r="F41" s="39"/>
      <c r="G41" s="40"/>
      <c r="H41" s="43"/>
      <c r="I41" s="42"/>
      <c r="J41" s="42"/>
      <c r="L41" s="44"/>
    </row>
    <row r="42" spans="2:12" ht="14.4" x14ac:dyDescent="0.3">
      <c r="B42" s="39"/>
      <c r="C42" s="40"/>
      <c r="D42" s="43"/>
      <c r="E42" s="41"/>
      <c r="F42" s="39"/>
      <c r="G42" s="40"/>
      <c r="H42" s="43"/>
      <c r="I42" s="42"/>
      <c r="J42" s="42"/>
      <c r="L42" s="44"/>
    </row>
    <row r="43" spans="2:12" ht="14.4" x14ac:dyDescent="0.3">
      <c r="B43" s="39"/>
      <c r="C43" s="40"/>
      <c r="D43" s="43"/>
      <c r="E43" s="41"/>
      <c r="F43" s="39"/>
      <c r="G43" s="40"/>
      <c r="H43" s="43"/>
      <c r="I43" s="42"/>
      <c r="J43" s="42"/>
      <c r="L43" s="44"/>
    </row>
    <row r="44" spans="2:12" ht="14.4" x14ac:dyDescent="0.3">
      <c r="B44" s="39"/>
      <c r="C44" s="40"/>
      <c r="D44" s="43"/>
      <c r="E44" s="41"/>
      <c r="F44" s="39"/>
      <c r="G44" s="40"/>
      <c r="H44" s="43"/>
      <c r="I44" s="42"/>
      <c r="J44" s="42"/>
      <c r="L44" s="44"/>
    </row>
    <row r="45" spans="2:12" ht="14.4" x14ac:dyDescent="0.3">
      <c r="B45" s="39"/>
      <c r="C45" s="40"/>
      <c r="D45" s="43"/>
      <c r="E45" s="41"/>
      <c r="F45" s="39"/>
      <c r="G45" s="40"/>
      <c r="H45" s="43"/>
      <c r="I45" s="42"/>
      <c r="J45" s="42"/>
      <c r="L45" s="44"/>
    </row>
    <row r="46" spans="2:12" ht="14.4" x14ac:dyDescent="0.3">
      <c r="B46" s="39"/>
      <c r="C46" s="40"/>
      <c r="D46" s="43"/>
      <c r="E46" s="41"/>
      <c r="F46" s="39"/>
      <c r="G46" s="40"/>
      <c r="H46" s="43"/>
      <c r="I46" s="42"/>
      <c r="J46" s="42"/>
      <c r="L46" s="44"/>
    </row>
    <row r="47" spans="2:12" ht="14.4" x14ac:dyDescent="0.3">
      <c r="B47" s="39"/>
      <c r="C47" s="40"/>
      <c r="D47" s="43"/>
      <c r="E47" s="41"/>
      <c r="F47" s="39"/>
      <c r="G47" s="40"/>
      <c r="H47" s="43"/>
      <c r="I47" s="42"/>
      <c r="J47" s="42"/>
      <c r="L47" s="44"/>
    </row>
    <row r="48" spans="2:12" ht="14.4" x14ac:dyDescent="0.3">
      <c r="B48" s="39"/>
      <c r="C48" s="40"/>
      <c r="D48" s="43"/>
      <c r="E48" s="41"/>
      <c r="F48" s="39"/>
      <c r="G48" s="40"/>
      <c r="H48" s="43"/>
      <c r="I48" s="42"/>
      <c r="J48" s="42"/>
      <c r="L48" s="44"/>
    </row>
    <row r="49" spans="2:12" ht="14.4" x14ac:dyDescent="0.3">
      <c r="B49" s="39"/>
      <c r="C49" s="40"/>
      <c r="D49" s="43"/>
      <c r="E49" s="41"/>
      <c r="F49" s="39"/>
      <c r="G49" s="40"/>
      <c r="H49" s="43"/>
      <c r="I49" s="42"/>
      <c r="J49" s="42"/>
      <c r="L49" s="44"/>
    </row>
    <row r="50" spans="2:12" ht="14.4" x14ac:dyDescent="0.3">
      <c r="B50" s="39"/>
      <c r="C50" s="40"/>
      <c r="D50" s="43"/>
      <c r="E50" s="41"/>
      <c r="F50" s="39"/>
      <c r="G50" s="40"/>
      <c r="H50" s="43"/>
      <c r="I50" s="42"/>
      <c r="J50" s="42"/>
      <c r="L50" s="44"/>
    </row>
    <row r="51" spans="2:12" ht="14.4" x14ac:dyDescent="0.3">
      <c r="B51" s="39"/>
      <c r="C51" s="40"/>
      <c r="D51" s="43"/>
      <c r="E51" s="41"/>
      <c r="F51" s="39"/>
      <c r="G51" s="40"/>
      <c r="H51" s="43"/>
      <c r="I51" s="42"/>
      <c r="J51" s="42"/>
      <c r="L51" s="44"/>
    </row>
    <row r="52" spans="2:12" ht="14.4" x14ac:dyDescent="0.3">
      <c r="B52" s="39"/>
      <c r="C52" s="40"/>
      <c r="D52" s="43"/>
      <c r="E52" s="41"/>
      <c r="F52" s="39"/>
      <c r="G52" s="40"/>
      <c r="H52" s="43"/>
      <c r="I52" s="42"/>
      <c r="J52" s="42"/>
      <c r="L52" s="44"/>
    </row>
    <row r="53" spans="2:12" ht="14.4" x14ac:dyDescent="0.3">
      <c r="B53" s="39"/>
      <c r="C53" s="40"/>
      <c r="D53" s="43"/>
      <c r="E53" s="41"/>
      <c r="F53" s="39"/>
      <c r="G53" s="40"/>
      <c r="H53" s="43"/>
      <c r="I53" s="42"/>
      <c r="J53" s="42"/>
      <c r="L53" s="44"/>
    </row>
    <row r="54" spans="2:12" ht="14.4" x14ac:dyDescent="0.3">
      <c r="B54" s="39"/>
      <c r="C54" s="40"/>
      <c r="D54" s="43"/>
      <c r="E54" s="41"/>
      <c r="F54" s="39"/>
      <c r="G54" s="40"/>
      <c r="H54" s="43"/>
      <c r="I54" s="42"/>
      <c r="J54" s="42"/>
      <c r="L54" s="44"/>
    </row>
    <row r="55" spans="2:12" ht="14.4" x14ac:dyDescent="0.3">
      <c r="B55" s="39"/>
      <c r="C55" s="40"/>
      <c r="D55" s="43"/>
      <c r="E55" s="41"/>
      <c r="F55" s="39"/>
      <c r="G55" s="40"/>
      <c r="H55" s="43"/>
      <c r="I55" s="42"/>
      <c r="J55" s="42"/>
      <c r="L55" s="44"/>
    </row>
    <row r="56" spans="2:12" ht="14.4" x14ac:dyDescent="0.3">
      <c r="B56" s="39"/>
      <c r="C56" s="40"/>
      <c r="D56" s="43"/>
      <c r="E56" s="41"/>
      <c r="F56" s="39"/>
      <c r="G56" s="40"/>
      <c r="H56" s="43"/>
      <c r="I56" s="42"/>
      <c r="J56" s="42"/>
      <c r="L56" s="44"/>
    </row>
    <row r="57" spans="2:12" ht="14.4" x14ac:dyDescent="0.3">
      <c r="B57" s="39"/>
      <c r="C57" s="40"/>
      <c r="D57" s="43"/>
      <c r="E57" s="41"/>
      <c r="F57" s="39"/>
      <c r="G57" s="40"/>
      <c r="H57" s="43"/>
      <c r="I57" s="42"/>
      <c r="J57" s="42"/>
      <c r="L57" s="44"/>
    </row>
    <row r="58" spans="2:12" ht="14.4" x14ac:dyDescent="0.3">
      <c r="B58" s="39"/>
      <c r="C58" s="40"/>
      <c r="D58" s="43"/>
      <c r="E58" s="41"/>
      <c r="F58" s="39"/>
      <c r="G58" s="40"/>
      <c r="H58" s="43"/>
      <c r="I58" s="42"/>
      <c r="J58" s="42"/>
      <c r="L58" s="44"/>
    </row>
    <row r="59" spans="2:12" ht="14.4" x14ac:dyDescent="0.3">
      <c r="B59" s="39"/>
      <c r="C59" s="40"/>
      <c r="D59" s="43"/>
      <c r="E59" s="41"/>
      <c r="F59" s="39"/>
      <c r="G59" s="40"/>
      <c r="H59" s="43"/>
      <c r="I59" s="42"/>
      <c r="J59" s="42"/>
      <c r="L59" s="44"/>
    </row>
    <row r="60" spans="2:12" ht="14.4" x14ac:dyDescent="0.3">
      <c r="B60" s="39"/>
      <c r="C60" s="40"/>
      <c r="D60" s="43"/>
      <c r="E60" s="41"/>
      <c r="F60" s="39"/>
      <c r="G60" s="40"/>
      <c r="H60" s="43"/>
      <c r="I60" s="42"/>
      <c r="J60" s="42"/>
      <c r="L60" s="44"/>
    </row>
    <row r="61" spans="2:12" ht="14.4" x14ac:dyDescent="0.3">
      <c r="B61" s="39"/>
      <c r="C61" s="40"/>
      <c r="D61" s="43"/>
      <c r="E61" s="41"/>
      <c r="F61" s="39"/>
      <c r="G61" s="40"/>
      <c r="H61" s="43"/>
      <c r="I61" s="42"/>
      <c r="J61" s="42"/>
      <c r="L61" s="44"/>
    </row>
    <row r="62" spans="2:12" ht="14.4" x14ac:dyDescent="0.3">
      <c r="B62" s="39"/>
      <c r="C62" s="40"/>
      <c r="D62" s="43"/>
      <c r="E62" s="41"/>
      <c r="F62" s="39"/>
      <c r="G62" s="40"/>
      <c r="H62" s="43"/>
      <c r="I62" s="42"/>
      <c r="J62" s="42"/>
      <c r="L62" s="44"/>
    </row>
    <row r="63" spans="2:12" ht="14.4" x14ac:dyDescent="0.3">
      <c r="B63" s="39"/>
      <c r="C63" s="40"/>
      <c r="D63" s="43"/>
      <c r="E63" s="41"/>
      <c r="F63" s="39"/>
      <c r="G63" s="40"/>
      <c r="H63" s="43"/>
      <c r="I63" s="42"/>
      <c r="J63" s="42"/>
      <c r="L63" s="44"/>
    </row>
    <row r="64" spans="2:12" ht="14.4" x14ac:dyDescent="0.3">
      <c r="B64" s="39"/>
      <c r="C64" s="45"/>
      <c r="D64" s="43"/>
      <c r="E64" s="46"/>
      <c r="F64" s="39"/>
      <c r="G64" s="40"/>
      <c r="H64" s="43"/>
      <c r="I64" s="42"/>
      <c r="J64" s="42"/>
      <c r="L64" s="44"/>
    </row>
    <row r="65" spans="2:12" ht="14.4" x14ac:dyDescent="0.3">
      <c r="B65" s="39"/>
      <c r="C65" s="45"/>
      <c r="D65" s="43"/>
      <c r="E65" s="46"/>
      <c r="F65" s="39"/>
      <c r="G65" s="40"/>
      <c r="H65" s="43"/>
      <c r="I65" s="42"/>
      <c r="J65" s="42"/>
      <c r="L65" s="44"/>
    </row>
    <row r="66" spans="2:12" ht="14.4" x14ac:dyDescent="0.3">
      <c r="B66" s="39"/>
      <c r="C66" s="45"/>
      <c r="D66" s="43"/>
      <c r="E66" s="46"/>
      <c r="F66" s="39"/>
      <c r="G66" s="40"/>
      <c r="H66" s="43"/>
      <c r="I66" s="42"/>
      <c r="J66" s="42"/>
      <c r="L66" s="44"/>
    </row>
    <row r="67" spans="2:12" ht="14.4" x14ac:dyDescent="0.3">
      <c r="B67" s="39"/>
      <c r="C67" s="45"/>
      <c r="D67" s="43"/>
      <c r="E67" s="46"/>
      <c r="F67" s="39"/>
      <c r="G67" s="40"/>
      <c r="H67" s="43"/>
      <c r="I67" s="42"/>
      <c r="J67" s="42"/>
      <c r="L67" s="44"/>
    </row>
    <row r="68" spans="2:12" ht="14.4" x14ac:dyDescent="0.3">
      <c r="B68" s="39"/>
      <c r="C68" s="45"/>
      <c r="D68" s="43"/>
      <c r="E68" s="46"/>
      <c r="F68" s="39"/>
      <c r="G68" s="40"/>
      <c r="H68" s="43"/>
      <c r="I68" s="42"/>
      <c r="J68" s="42"/>
      <c r="L68" s="44"/>
    </row>
    <row r="69" spans="2:12" ht="14.4" x14ac:dyDescent="0.3">
      <c r="B69" s="39"/>
      <c r="C69" s="45"/>
      <c r="D69" s="43"/>
      <c r="E69" s="46"/>
      <c r="F69" s="39"/>
      <c r="G69" s="40"/>
      <c r="H69" s="43"/>
      <c r="I69" s="42"/>
      <c r="J69" s="42"/>
      <c r="L69" s="44"/>
    </row>
    <row r="70" spans="2:12" ht="14.4" x14ac:dyDescent="0.3">
      <c r="B70" s="39"/>
      <c r="C70" s="45"/>
      <c r="D70" s="43"/>
      <c r="E70" s="46"/>
      <c r="F70" s="39"/>
      <c r="G70" s="40"/>
      <c r="H70" s="43"/>
      <c r="I70" s="42"/>
      <c r="J70" s="42"/>
      <c r="L70" s="44"/>
    </row>
    <row r="71" spans="2:12" ht="14.4" x14ac:dyDescent="0.3">
      <c r="B71" s="39"/>
      <c r="C71" s="45"/>
      <c r="D71" s="43"/>
      <c r="E71" s="46"/>
      <c r="F71" s="39"/>
      <c r="G71" s="40"/>
      <c r="H71" s="43"/>
      <c r="I71" s="42"/>
      <c r="J71" s="42"/>
      <c r="L71" s="44"/>
    </row>
    <row r="72" spans="2:12" ht="14.4" x14ac:dyDescent="0.3">
      <c r="B72" s="39"/>
      <c r="C72" s="45"/>
      <c r="D72" s="43"/>
      <c r="E72" s="46"/>
      <c r="F72" s="39"/>
      <c r="G72" s="40"/>
      <c r="H72" s="43"/>
      <c r="I72" s="42"/>
      <c r="J72" s="42"/>
      <c r="L72" s="44"/>
    </row>
    <row r="73" spans="2:12" ht="14.4" x14ac:dyDescent="0.3">
      <c r="B73" s="39"/>
      <c r="C73" s="45"/>
      <c r="D73" s="43"/>
      <c r="E73" s="46"/>
      <c r="F73" s="39"/>
      <c r="G73" s="40"/>
      <c r="H73" s="43"/>
      <c r="I73" s="42"/>
      <c r="J73" s="42"/>
      <c r="L73" s="44"/>
    </row>
    <row r="74" spans="2:12" ht="14.4" x14ac:dyDescent="0.3">
      <c r="B74" s="39"/>
      <c r="C74" s="45"/>
      <c r="D74" s="43"/>
      <c r="E74" s="46"/>
      <c r="F74" s="39"/>
      <c r="G74" s="40"/>
      <c r="H74" s="43"/>
      <c r="I74" s="42"/>
      <c r="J74" s="42"/>
      <c r="L74" s="44"/>
    </row>
    <row r="75" spans="2:12" ht="14.4" x14ac:dyDescent="0.3">
      <c r="B75" s="39"/>
      <c r="C75" s="45"/>
      <c r="D75" s="43"/>
      <c r="E75" s="46"/>
      <c r="F75" s="39"/>
      <c r="G75" s="40"/>
      <c r="H75" s="43"/>
      <c r="I75" s="42"/>
      <c r="J75" s="42"/>
      <c r="L75" s="44"/>
    </row>
    <row r="76" spans="2:12" ht="14.4" x14ac:dyDescent="0.3">
      <c r="B76" s="39"/>
      <c r="C76" s="45"/>
      <c r="D76" s="43"/>
      <c r="E76" s="46"/>
      <c r="F76" s="39"/>
      <c r="G76" s="40"/>
      <c r="H76" s="43"/>
      <c r="I76" s="42"/>
      <c r="J76" s="42"/>
      <c r="L76" s="44"/>
    </row>
    <row r="77" spans="2:12" ht="14.4" x14ac:dyDescent="0.3">
      <c r="B77" s="39"/>
      <c r="C77" s="45"/>
      <c r="D77" s="43"/>
      <c r="E77" s="46"/>
      <c r="F77" s="39"/>
      <c r="G77" s="40"/>
      <c r="H77" s="43"/>
      <c r="I77" s="42"/>
      <c r="J77" s="42"/>
      <c r="L77" s="44"/>
    </row>
    <row r="78" spans="2:12" ht="14.4" x14ac:dyDescent="0.3">
      <c r="B78" s="39"/>
      <c r="C78" s="45"/>
      <c r="D78" s="43"/>
      <c r="E78" s="46"/>
      <c r="F78" s="39"/>
      <c r="G78" s="40"/>
      <c r="H78" s="43"/>
      <c r="I78" s="42"/>
      <c r="J78" s="42"/>
      <c r="L78" s="44"/>
    </row>
    <row r="79" spans="2:12" ht="14.4" x14ac:dyDescent="0.3">
      <c r="B79" s="39"/>
      <c r="C79" s="45"/>
      <c r="D79" s="43"/>
      <c r="E79" s="46"/>
      <c r="F79" s="39"/>
      <c r="G79" s="40"/>
      <c r="H79" s="43"/>
      <c r="I79" s="42"/>
      <c r="J79" s="42"/>
      <c r="L79" s="44"/>
    </row>
    <row r="80" spans="2:12" ht="14.4" x14ac:dyDescent="0.3">
      <c r="B80" s="39"/>
      <c r="C80" s="45"/>
      <c r="D80" s="43"/>
      <c r="E80" s="46"/>
      <c r="F80" s="39"/>
      <c r="G80" s="40"/>
      <c r="H80" s="43"/>
      <c r="I80" s="42"/>
      <c r="J80" s="42"/>
      <c r="L80" s="44"/>
    </row>
    <row r="81" spans="2:12" ht="14.4" x14ac:dyDescent="0.3">
      <c r="B81" s="39"/>
      <c r="C81" s="45"/>
      <c r="D81" s="43"/>
      <c r="E81" s="46"/>
      <c r="F81" s="39"/>
      <c r="G81" s="40"/>
      <c r="H81" s="43"/>
      <c r="I81" s="42"/>
      <c r="J81" s="42"/>
      <c r="L81" s="44"/>
    </row>
    <row r="82" spans="2:12" ht="14.4" x14ac:dyDescent="0.3">
      <c r="B82" s="39"/>
      <c r="C82" s="45"/>
      <c r="D82" s="43"/>
      <c r="E82" s="46"/>
      <c r="F82" s="39"/>
      <c r="G82" s="40"/>
      <c r="H82" s="43"/>
      <c r="I82" s="42"/>
      <c r="J82" s="42"/>
      <c r="L82" s="44"/>
    </row>
    <row r="83" spans="2:12" ht="14.4" x14ac:dyDescent="0.3">
      <c r="B83" s="39"/>
      <c r="C83" s="45"/>
      <c r="D83" s="43"/>
      <c r="E83" s="46"/>
      <c r="F83" s="39"/>
      <c r="G83" s="40"/>
      <c r="H83" s="43"/>
      <c r="I83" s="42"/>
      <c r="J83" s="42"/>
      <c r="L83" s="44"/>
    </row>
    <row r="84" spans="2:12" ht="14.4" x14ac:dyDescent="0.3">
      <c r="B84" s="39"/>
      <c r="C84" s="45"/>
      <c r="D84" s="43"/>
      <c r="E84" s="46"/>
      <c r="F84" s="39"/>
      <c r="G84" s="40"/>
      <c r="H84" s="43"/>
      <c r="I84" s="42"/>
      <c r="J84" s="42"/>
      <c r="L84" s="44"/>
    </row>
    <row r="85" spans="2:12" ht="14.4" x14ac:dyDescent="0.3">
      <c r="B85" s="39"/>
      <c r="C85" s="45"/>
      <c r="D85" s="43"/>
      <c r="E85" s="46"/>
      <c r="F85" s="39"/>
      <c r="G85" s="40"/>
      <c r="H85" s="43"/>
      <c r="I85" s="42"/>
      <c r="J85" s="42"/>
      <c r="L85" s="44"/>
    </row>
    <row r="86" spans="2:12" ht="14.4" x14ac:dyDescent="0.3">
      <c r="B86" s="39"/>
      <c r="C86" s="45"/>
      <c r="D86" s="43"/>
      <c r="E86" s="46"/>
      <c r="F86" s="39"/>
      <c r="G86" s="40"/>
      <c r="H86" s="43"/>
      <c r="I86" s="42"/>
      <c r="J86" s="42"/>
      <c r="L86" s="44"/>
    </row>
    <row r="87" spans="2:12" ht="14.4" x14ac:dyDescent="0.3">
      <c r="B87" s="39"/>
      <c r="C87" s="45"/>
      <c r="D87" s="43"/>
      <c r="E87" s="46"/>
      <c r="F87" s="39"/>
      <c r="G87" s="40"/>
      <c r="H87" s="43"/>
      <c r="I87" s="42"/>
      <c r="J87" s="42"/>
      <c r="L87" s="44"/>
    </row>
    <row r="88" spans="2:12" ht="14.4" x14ac:dyDescent="0.3">
      <c r="B88" s="39"/>
      <c r="C88" s="45"/>
      <c r="D88" s="43"/>
      <c r="E88" s="46"/>
      <c r="F88" s="39"/>
      <c r="G88" s="40"/>
      <c r="H88" s="43"/>
      <c r="I88" s="42"/>
      <c r="J88" s="42"/>
      <c r="L88" s="44"/>
    </row>
    <row r="89" spans="2:12" ht="14.4" x14ac:dyDescent="0.3">
      <c r="B89" s="39"/>
      <c r="C89" s="45"/>
      <c r="D89" s="43"/>
      <c r="E89" s="46"/>
      <c r="F89" s="39"/>
      <c r="G89" s="40"/>
      <c r="H89" s="43"/>
      <c r="I89" s="42"/>
      <c r="J89" s="42"/>
      <c r="L89" s="44"/>
    </row>
    <row r="90" spans="2:12" ht="14.4" x14ac:dyDescent="0.3">
      <c r="B90" s="39"/>
      <c r="C90" s="45"/>
      <c r="D90" s="43"/>
      <c r="E90" s="46"/>
      <c r="F90" s="39"/>
      <c r="G90" s="40"/>
      <c r="H90" s="43"/>
      <c r="I90" s="42"/>
      <c r="J90" s="42"/>
      <c r="L90" s="44"/>
    </row>
    <row r="91" spans="2:12" ht="14.4" x14ac:dyDescent="0.3">
      <c r="B91" s="39"/>
      <c r="C91" s="45"/>
      <c r="D91" s="43"/>
      <c r="E91" s="46"/>
      <c r="F91" s="39"/>
      <c r="G91" s="40"/>
      <c r="H91" s="43"/>
      <c r="I91" s="42"/>
      <c r="J91" s="42"/>
      <c r="L91" s="44"/>
    </row>
    <row r="92" spans="2:12" ht="14.4" x14ac:dyDescent="0.3">
      <c r="B92" s="39"/>
      <c r="C92" s="45"/>
      <c r="D92" s="43"/>
      <c r="E92" s="46"/>
      <c r="F92" s="39"/>
      <c r="G92" s="40"/>
      <c r="H92" s="43"/>
      <c r="I92" s="42"/>
      <c r="J92" s="42"/>
      <c r="L92" s="44"/>
    </row>
    <row r="93" spans="2:12" ht="14.4" x14ac:dyDescent="0.3">
      <c r="B93" s="39"/>
      <c r="C93" s="45"/>
      <c r="D93" s="43"/>
      <c r="E93" s="46"/>
      <c r="F93" s="39"/>
      <c r="G93" s="40"/>
      <c r="H93" s="43"/>
      <c r="I93" s="42"/>
      <c r="J93" s="42"/>
      <c r="L93" s="44"/>
    </row>
    <row r="94" spans="2:12" ht="14.4" x14ac:dyDescent="0.3">
      <c r="B94" s="39"/>
      <c r="C94" s="45"/>
      <c r="D94" s="43"/>
      <c r="E94" s="46"/>
      <c r="F94" s="39"/>
      <c r="G94" s="40"/>
      <c r="H94" s="43"/>
      <c r="I94" s="42"/>
      <c r="J94" s="42"/>
      <c r="L94" s="44"/>
    </row>
    <row r="95" spans="2:12" ht="14.4" x14ac:dyDescent="0.3">
      <c r="B95" s="39"/>
      <c r="C95" s="45"/>
      <c r="D95" s="43"/>
      <c r="E95" s="46"/>
      <c r="F95" s="39"/>
      <c r="G95" s="40"/>
      <c r="H95" s="43"/>
      <c r="I95" s="42"/>
      <c r="J95" s="42"/>
      <c r="L95" s="44"/>
    </row>
    <row r="96" spans="2:12" ht="14.4" x14ac:dyDescent="0.3">
      <c r="B96" s="39"/>
      <c r="C96" s="45"/>
      <c r="D96" s="43"/>
      <c r="E96" s="46"/>
      <c r="F96" s="39"/>
      <c r="G96" s="40"/>
      <c r="H96" s="43"/>
      <c r="I96" s="42"/>
      <c r="J96" s="42"/>
      <c r="L96" s="44"/>
    </row>
    <row r="97" spans="2:12" ht="14.4" x14ac:dyDescent="0.3">
      <c r="B97" s="39"/>
      <c r="C97" s="45"/>
      <c r="D97" s="43"/>
      <c r="E97" s="46"/>
      <c r="F97" s="39"/>
      <c r="G97" s="40"/>
      <c r="H97" s="43"/>
      <c r="I97" s="42"/>
      <c r="J97" s="42"/>
      <c r="L97" s="44"/>
    </row>
    <row r="98" spans="2:12" ht="14.4" x14ac:dyDescent="0.3">
      <c r="B98" s="39"/>
      <c r="C98" s="45"/>
      <c r="D98" s="43"/>
      <c r="E98" s="46"/>
      <c r="F98" s="39"/>
      <c r="G98" s="40"/>
      <c r="H98" s="43"/>
      <c r="I98" s="42"/>
      <c r="J98" s="42"/>
      <c r="L98" s="44"/>
    </row>
    <row r="99" spans="2:12" ht="14.4" x14ac:dyDescent="0.3">
      <c r="B99" s="39"/>
      <c r="C99" s="45"/>
      <c r="D99" s="43"/>
      <c r="E99" s="46"/>
      <c r="F99" s="39"/>
      <c r="G99" s="40"/>
      <c r="H99" s="43"/>
      <c r="I99" s="42"/>
      <c r="J99" s="42"/>
      <c r="L99" s="44"/>
    </row>
    <row r="100" spans="2:12" ht="14.4" x14ac:dyDescent="0.3">
      <c r="B100" s="39"/>
      <c r="C100" s="45"/>
      <c r="D100" s="43"/>
      <c r="E100" s="46"/>
      <c r="F100" s="39"/>
      <c r="G100" s="40"/>
      <c r="H100" s="43"/>
      <c r="I100" s="42"/>
      <c r="J100" s="42"/>
      <c r="L100" s="44"/>
    </row>
    <row r="101" spans="2:12" ht="14.4" x14ac:dyDescent="0.3">
      <c r="B101" s="39"/>
      <c r="C101" s="45"/>
      <c r="D101" s="43"/>
      <c r="E101" s="46"/>
      <c r="F101" s="39"/>
      <c r="G101" s="40"/>
      <c r="H101" s="43"/>
      <c r="I101" s="42"/>
      <c r="J101" s="42"/>
      <c r="L101" s="44"/>
    </row>
    <row r="102" spans="2:12" ht="14.4" x14ac:dyDescent="0.3">
      <c r="B102" s="39"/>
      <c r="C102" s="45"/>
      <c r="D102" s="43"/>
      <c r="E102" s="46"/>
      <c r="F102" s="39"/>
      <c r="G102" s="40"/>
      <c r="H102" s="43"/>
      <c r="I102" s="42"/>
      <c r="J102" s="42"/>
      <c r="L102" s="44"/>
    </row>
    <row r="103" spans="2:12" ht="14.4" x14ac:dyDescent="0.3">
      <c r="B103" s="39"/>
      <c r="C103" s="45"/>
      <c r="D103" s="43"/>
      <c r="E103" s="46"/>
      <c r="F103" s="39"/>
      <c r="G103" s="40"/>
      <c r="H103" s="43"/>
      <c r="I103" s="42"/>
      <c r="J103" s="42"/>
      <c r="L103" s="44"/>
    </row>
    <row r="104" spans="2:12" ht="14.4" x14ac:dyDescent="0.3">
      <c r="B104" s="39"/>
      <c r="C104" s="45"/>
      <c r="D104" s="43"/>
      <c r="E104" s="46"/>
      <c r="F104" s="39"/>
      <c r="G104" s="40"/>
      <c r="H104" s="43"/>
      <c r="I104" s="42"/>
      <c r="J104" s="42"/>
      <c r="L104" s="44"/>
    </row>
    <row r="105" spans="2:12" ht="14.4" x14ac:dyDescent="0.3">
      <c r="B105" s="39"/>
      <c r="C105" s="45"/>
      <c r="D105" s="43"/>
      <c r="E105" s="46"/>
      <c r="F105" s="39"/>
      <c r="G105" s="40"/>
      <c r="H105" s="43"/>
      <c r="I105" s="42"/>
      <c r="J105" s="42"/>
      <c r="L105" s="44"/>
    </row>
    <row r="106" spans="2:12" ht="14.4" x14ac:dyDescent="0.3">
      <c r="B106" s="39"/>
      <c r="C106" s="45"/>
      <c r="D106" s="43"/>
      <c r="E106" s="46"/>
      <c r="F106" s="39"/>
      <c r="G106" s="40"/>
      <c r="H106" s="43"/>
      <c r="I106" s="42"/>
      <c r="J106" s="42"/>
      <c r="L106" s="44"/>
    </row>
    <row r="107" spans="2:12" ht="14.4" x14ac:dyDescent="0.3">
      <c r="B107" s="39"/>
      <c r="C107" s="45"/>
      <c r="D107" s="43"/>
      <c r="E107" s="46"/>
      <c r="F107" s="39"/>
      <c r="G107" s="40"/>
      <c r="H107" s="43"/>
      <c r="I107" s="42"/>
      <c r="J107" s="42"/>
      <c r="L107" s="44"/>
    </row>
    <row r="108" spans="2:12" ht="14.4" x14ac:dyDescent="0.3">
      <c r="B108" s="39"/>
      <c r="C108" s="45"/>
      <c r="D108" s="43"/>
      <c r="E108" s="46"/>
      <c r="F108" s="39"/>
      <c r="G108" s="40"/>
      <c r="H108" s="43"/>
      <c r="I108" s="42"/>
      <c r="J108" s="42"/>
      <c r="L108" s="44"/>
    </row>
    <row r="109" spans="2:12" ht="14.4" x14ac:dyDescent="0.3">
      <c r="B109" s="39"/>
      <c r="C109" s="45"/>
      <c r="D109" s="43"/>
      <c r="E109" s="46"/>
      <c r="F109" s="39"/>
      <c r="G109" s="40"/>
      <c r="H109" s="43"/>
      <c r="I109" s="42"/>
      <c r="J109" s="42"/>
      <c r="L109" s="44"/>
    </row>
    <row r="110" spans="2:12" ht="14.4" x14ac:dyDescent="0.3">
      <c r="B110" s="39"/>
      <c r="C110" s="45"/>
      <c r="D110" s="43"/>
      <c r="E110" s="46"/>
      <c r="F110" s="39"/>
      <c r="G110" s="40"/>
      <c r="H110" s="43"/>
      <c r="I110" s="42"/>
      <c r="J110" s="42"/>
      <c r="L110" s="44"/>
    </row>
    <row r="111" spans="2:12" ht="14.4" x14ac:dyDescent="0.3">
      <c r="B111" s="39"/>
      <c r="C111" s="45"/>
      <c r="D111" s="43"/>
      <c r="E111" s="46"/>
      <c r="F111" s="39"/>
      <c r="G111" s="40"/>
      <c r="H111" s="43"/>
      <c r="I111" s="42"/>
      <c r="J111" s="42"/>
      <c r="L111" s="44"/>
    </row>
    <row r="112" spans="2:12" ht="14.4" x14ac:dyDescent="0.3">
      <c r="B112" s="39"/>
      <c r="C112" s="45"/>
      <c r="D112" s="43"/>
      <c r="E112" s="46"/>
      <c r="F112" s="39"/>
      <c r="G112" s="40"/>
      <c r="H112" s="43"/>
      <c r="I112" s="42"/>
      <c r="J112" s="42"/>
      <c r="L112" s="44"/>
    </row>
    <row r="113" spans="2:12" ht="14.4" x14ac:dyDescent="0.3">
      <c r="B113" s="39"/>
      <c r="C113" s="45"/>
      <c r="D113" s="43"/>
      <c r="E113" s="46"/>
      <c r="F113" s="39"/>
      <c r="G113" s="40"/>
      <c r="H113" s="43"/>
      <c r="I113" s="42"/>
      <c r="J113" s="42"/>
      <c r="L113" s="44"/>
    </row>
    <row r="114" spans="2:12" ht="14.4" x14ac:dyDescent="0.3">
      <c r="B114" s="39"/>
      <c r="C114" s="45"/>
      <c r="D114" s="43"/>
      <c r="E114" s="46"/>
      <c r="F114" s="39"/>
      <c r="G114" s="40"/>
      <c r="H114" s="43"/>
      <c r="I114" s="42"/>
      <c r="J114" s="42"/>
      <c r="L114" s="44"/>
    </row>
    <row r="115" spans="2:12" ht="14.4" x14ac:dyDescent="0.3">
      <c r="B115" s="39"/>
      <c r="C115" s="45"/>
      <c r="D115" s="43"/>
      <c r="E115" s="46"/>
      <c r="F115" s="39"/>
      <c r="G115" s="40"/>
      <c r="H115" s="43"/>
      <c r="I115" s="42"/>
      <c r="J115" s="42"/>
      <c r="L115" s="44"/>
    </row>
    <row r="116" spans="2:12" ht="14.4" x14ac:dyDescent="0.3">
      <c r="B116" s="39"/>
      <c r="C116" s="45"/>
      <c r="D116" s="43"/>
      <c r="E116" s="46"/>
      <c r="F116" s="39"/>
      <c r="G116" s="40"/>
      <c r="H116" s="43"/>
      <c r="I116" s="42"/>
      <c r="J116" s="42"/>
      <c r="L116" s="44"/>
    </row>
    <row r="117" spans="2:12" ht="14.4" x14ac:dyDescent="0.3">
      <c r="B117" s="39"/>
      <c r="C117" s="45"/>
      <c r="D117" s="43"/>
      <c r="E117" s="46"/>
      <c r="F117" s="39"/>
      <c r="G117" s="40"/>
      <c r="H117" s="43"/>
      <c r="I117" s="42"/>
      <c r="J117" s="42"/>
      <c r="L117" s="44"/>
    </row>
    <row r="118" spans="2:12" ht="14.4" x14ac:dyDescent="0.3">
      <c r="B118" s="39"/>
      <c r="C118" s="45"/>
      <c r="D118" s="43"/>
      <c r="E118" s="46"/>
      <c r="F118" s="39"/>
      <c r="G118" s="40"/>
      <c r="H118" s="43"/>
      <c r="I118" s="42"/>
      <c r="J118" s="42"/>
      <c r="L118" s="44"/>
    </row>
    <row r="119" spans="2:12" ht="14.4" x14ac:dyDescent="0.3">
      <c r="B119" s="39"/>
      <c r="C119" s="45"/>
      <c r="D119" s="43"/>
      <c r="E119" s="46"/>
      <c r="F119" s="39"/>
      <c r="G119" s="40"/>
      <c r="H119" s="43"/>
      <c r="I119" s="42"/>
      <c r="J119" s="42"/>
      <c r="L119" s="44"/>
    </row>
    <row r="120" spans="2:12" ht="14.4" x14ac:dyDescent="0.3">
      <c r="B120" s="39"/>
      <c r="C120" s="45"/>
      <c r="D120" s="43"/>
      <c r="E120" s="46"/>
      <c r="F120" s="39"/>
      <c r="G120" s="40"/>
      <c r="H120" s="43"/>
      <c r="I120" s="42"/>
      <c r="J120" s="42"/>
      <c r="L120" s="44"/>
    </row>
    <row r="121" spans="2:12" ht="14.4" x14ac:dyDescent="0.3">
      <c r="B121" s="39"/>
      <c r="C121" s="45"/>
      <c r="D121" s="43"/>
      <c r="E121" s="46"/>
      <c r="F121" s="39"/>
      <c r="G121" s="40"/>
      <c r="H121" s="43"/>
      <c r="I121" s="42"/>
      <c r="J121" s="42"/>
      <c r="L121" s="44"/>
    </row>
    <row r="122" spans="2:12" ht="14.4" x14ac:dyDescent="0.3">
      <c r="B122" s="39"/>
      <c r="C122" s="45"/>
      <c r="D122" s="43"/>
      <c r="E122" s="46"/>
      <c r="F122" s="39"/>
      <c r="G122" s="40"/>
      <c r="H122" s="43"/>
      <c r="I122" s="42"/>
      <c r="J122" s="42"/>
      <c r="L122" s="44"/>
    </row>
    <row r="123" spans="2:12" ht="14.4" x14ac:dyDescent="0.3">
      <c r="B123" s="39"/>
      <c r="C123" s="45"/>
      <c r="D123" s="43"/>
      <c r="E123" s="46"/>
      <c r="F123" s="39"/>
      <c r="G123" s="40"/>
      <c r="H123" s="43"/>
      <c r="I123" s="42"/>
      <c r="J123" s="42"/>
      <c r="L123" s="44"/>
    </row>
    <row r="124" spans="2:12" ht="14.4" x14ac:dyDescent="0.3">
      <c r="B124" s="39"/>
      <c r="C124" s="45"/>
      <c r="D124" s="43"/>
      <c r="E124" s="46"/>
      <c r="F124" s="39"/>
      <c r="G124" s="40"/>
      <c r="H124" s="43"/>
      <c r="I124" s="42"/>
      <c r="J124" s="42"/>
      <c r="L124" s="44"/>
    </row>
    <row r="125" spans="2:12" ht="14.4" x14ac:dyDescent="0.3">
      <c r="B125" s="39"/>
      <c r="C125" s="45"/>
      <c r="D125" s="43"/>
      <c r="E125" s="46"/>
      <c r="F125" s="39"/>
      <c r="G125" s="40"/>
      <c r="H125" s="43"/>
      <c r="I125" s="42"/>
      <c r="J125" s="42"/>
      <c r="L125" s="44"/>
    </row>
    <row r="126" spans="2:12" ht="14.4" x14ac:dyDescent="0.3">
      <c r="B126" s="39"/>
      <c r="C126" s="45"/>
      <c r="D126" s="43"/>
      <c r="E126" s="46"/>
      <c r="F126" s="39"/>
      <c r="G126" s="40"/>
      <c r="H126" s="43"/>
      <c r="I126" s="42"/>
      <c r="J126" s="42"/>
      <c r="L126" s="44"/>
    </row>
    <row r="127" spans="2:12" ht="14.4" x14ac:dyDescent="0.3">
      <c r="B127" s="39"/>
      <c r="C127" s="45"/>
      <c r="D127" s="43"/>
      <c r="E127" s="46"/>
      <c r="F127" s="39"/>
      <c r="G127" s="40"/>
      <c r="H127" s="43"/>
      <c r="I127" s="42"/>
      <c r="J127" s="42"/>
      <c r="L127" s="44"/>
    </row>
    <row r="128" spans="2:12" ht="14.4" x14ac:dyDescent="0.3">
      <c r="B128" s="39"/>
      <c r="C128" s="45"/>
      <c r="D128" s="43"/>
      <c r="E128" s="46"/>
      <c r="F128" s="39"/>
      <c r="G128" s="40"/>
      <c r="H128" s="43"/>
      <c r="I128" s="42"/>
      <c r="J128" s="42"/>
      <c r="L128" s="44"/>
    </row>
    <row r="129" spans="2:12" ht="14.4" x14ac:dyDescent="0.3">
      <c r="B129" s="39"/>
      <c r="C129" s="45"/>
      <c r="D129" s="43"/>
      <c r="E129" s="46"/>
      <c r="F129" s="39"/>
      <c r="G129" s="40"/>
      <c r="H129" s="43"/>
      <c r="I129" s="42"/>
      <c r="J129" s="42"/>
      <c r="L129" s="44"/>
    </row>
    <row r="130" spans="2:12" ht="14.4" x14ac:dyDescent="0.3">
      <c r="B130" s="39"/>
      <c r="C130" s="45"/>
      <c r="D130" s="43"/>
      <c r="E130" s="46"/>
      <c r="F130" s="39"/>
      <c r="G130" s="40"/>
      <c r="H130" s="43"/>
      <c r="I130" s="42"/>
      <c r="J130" s="42"/>
      <c r="L130" s="44"/>
    </row>
    <row r="131" spans="2:12" ht="14.4" x14ac:dyDescent="0.3">
      <c r="B131" s="39"/>
      <c r="C131" s="45"/>
      <c r="D131" s="43"/>
      <c r="E131" s="46"/>
      <c r="F131" s="39"/>
      <c r="G131" s="40"/>
      <c r="H131" s="43"/>
      <c r="I131" s="42"/>
      <c r="J131" s="42"/>
      <c r="L131" s="44"/>
    </row>
    <row r="132" spans="2:12" ht="14.4" x14ac:dyDescent="0.3">
      <c r="B132" s="39"/>
      <c r="C132" s="45"/>
      <c r="D132" s="43"/>
      <c r="E132" s="46"/>
      <c r="F132" s="39"/>
      <c r="G132" s="40"/>
      <c r="H132" s="43"/>
      <c r="I132" s="42"/>
      <c r="J132" s="42"/>
      <c r="L132" s="44"/>
    </row>
    <row r="133" spans="2:12" ht="14.4" x14ac:dyDescent="0.3">
      <c r="B133" s="39"/>
      <c r="C133" s="45"/>
      <c r="D133" s="43"/>
      <c r="E133" s="46"/>
      <c r="F133" s="39"/>
      <c r="G133" s="40"/>
      <c r="H133" s="43"/>
      <c r="I133" s="42"/>
      <c r="J133" s="42"/>
      <c r="L133" s="44"/>
    </row>
    <row r="134" spans="2:12" ht="14.4" x14ac:dyDescent="0.3">
      <c r="B134" s="39"/>
      <c r="C134" s="45"/>
      <c r="D134" s="43"/>
      <c r="E134" s="46"/>
      <c r="F134" s="39"/>
      <c r="G134" s="40"/>
      <c r="H134" s="43"/>
      <c r="I134" s="42"/>
      <c r="J134" s="42"/>
      <c r="L134" s="44"/>
    </row>
    <row r="135" spans="2:12" ht="14.4" x14ac:dyDescent="0.3">
      <c r="B135" s="39"/>
      <c r="C135" s="45"/>
      <c r="D135" s="43"/>
      <c r="E135" s="46"/>
      <c r="F135" s="39"/>
      <c r="G135" s="40"/>
      <c r="H135" s="43"/>
      <c r="I135" s="42"/>
      <c r="J135" s="42"/>
      <c r="L135" s="44"/>
    </row>
    <row r="136" spans="2:12" ht="14.4" x14ac:dyDescent="0.3">
      <c r="B136" s="39"/>
      <c r="C136" s="45"/>
      <c r="D136" s="43"/>
      <c r="E136" s="46"/>
      <c r="F136" s="39"/>
      <c r="G136" s="40"/>
      <c r="H136" s="43"/>
      <c r="I136" s="42"/>
      <c r="J136" s="42"/>
      <c r="L136" s="44"/>
    </row>
    <row r="137" spans="2:12" ht="14.4" x14ac:dyDescent="0.3">
      <c r="B137" s="39"/>
      <c r="C137" s="45"/>
      <c r="D137" s="43"/>
      <c r="E137" s="46"/>
      <c r="F137" s="39"/>
      <c r="G137" s="40"/>
      <c r="H137" s="43"/>
      <c r="I137" s="42"/>
      <c r="J137" s="42"/>
      <c r="L137" s="44"/>
    </row>
    <row r="138" spans="2:12" ht="14.4" x14ac:dyDescent="0.3">
      <c r="B138" s="39"/>
      <c r="C138" s="45"/>
      <c r="D138" s="43"/>
      <c r="E138" s="46"/>
      <c r="F138" s="39"/>
      <c r="G138" s="40"/>
      <c r="H138" s="43"/>
      <c r="I138" s="42"/>
      <c r="J138" s="42"/>
      <c r="L138" s="44"/>
    </row>
    <row r="139" spans="2:12" ht="14.4" x14ac:dyDescent="0.3">
      <c r="B139" s="39"/>
      <c r="C139" s="45"/>
      <c r="D139" s="43"/>
      <c r="E139" s="46"/>
      <c r="F139" s="39"/>
      <c r="G139" s="40"/>
      <c r="H139" s="43"/>
      <c r="I139" s="42"/>
      <c r="J139" s="42"/>
      <c r="L139" s="44"/>
    </row>
    <row r="140" spans="2:12" ht="14.4" x14ac:dyDescent="0.3">
      <c r="B140" s="39"/>
      <c r="C140" s="45"/>
      <c r="D140" s="43"/>
      <c r="E140" s="46"/>
      <c r="F140" s="39"/>
      <c r="G140" s="40"/>
      <c r="H140" s="43"/>
      <c r="I140" s="42"/>
      <c r="J140" s="42"/>
      <c r="L140" s="44"/>
    </row>
    <row r="141" spans="2:12" ht="14.4" x14ac:dyDescent="0.3">
      <c r="B141" s="39"/>
      <c r="C141" s="45"/>
      <c r="D141" s="43"/>
      <c r="E141" s="46"/>
      <c r="F141" s="39"/>
      <c r="G141" s="40"/>
      <c r="H141" s="43"/>
      <c r="I141" s="42"/>
      <c r="J141" s="42"/>
      <c r="L141" s="44"/>
    </row>
    <row r="142" spans="2:12" ht="14.4" x14ac:dyDescent="0.3">
      <c r="B142" s="39"/>
      <c r="C142" s="45"/>
      <c r="D142" s="43"/>
      <c r="E142" s="46"/>
      <c r="F142" s="39"/>
      <c r="G142" s="40"/>
      <c r="H142" s="43"/>
      <c r="I142" s="42"/>
      <c r="J142" s="42"/>
      <c r="L142" s="44"/>
    </row>
    <row r="143" spans="2:12" ht="14.4" x14ac:dyDescent="0.3">
      <c r="B143" s="39"/>
      <c r="C143" s="45"/>
      <c r="D143" s="43"/>
      <c r="E143" s="46"/>
      <c r="F143" s="39"/>
      <c r="G143" s="40"/>
      <c r="H143" s="43"/>
      <c r="I143" s="42"/>
      <c r="J143" s="42"/>
      <c r="L143" s="44"/>
    </row>
    <row r="144" spans="2:12" ht="14.4" x14ac:dyDescent="0.3">
      <c r="B144" s="39"/>
      <c r="C144" s="45"/>
      <c r="D144" s="43"/>
      <c r="E144" s="46"/>
      <c r="F144" s="39"/>
      <c r="G144" s="40"/>
      <c r="H144" s="43"/>
      <c r="I144" s="42"/>
      <c r="J144" s="42"/>
      <c r="L144" s="44"/>
    </row>
    <row r="145" spans="2:12" ht="14.4" x14ac:dyDescent="0.3">
      <c r="B145" s="39"/>
      <c r="C145" s="45"/>
      <c r="D145" s="43"/>
      <c r="E145" s="46"/>
      <c r="F145" s="39"/>
      <c r="G145" s="40"/>
      <c r="H145" s="43"/>
      <c r="I145" s="42"/>
      <c r="J145" s="42"/>
      <c r="L145" s="44"/>
    </row>
    <row r="146" spans="2:12" ht="14.4" x14ac:dyDescent="0.3">
      <c r="B146" s="39"/>
      <c r="C146" s="45"/>
      <c r="D146" s="43"/>
      <c r="E146" s="46"/>
      <c r="F146" s="39"/>
      <c r="G146" s="40"/>
      <c r="H146" s="43"/>
      <c r="I146" s="42"/>
      <c r="J146" s="42"/>
      <c r="L146" s="44"/>
    </row>
    <row r="147" spans="2:12" ht="14.4" x14ac:dyDescent="0.3">
      <c r="B147" s="39"/>
      <c r="C147" s="45"/>
      <c r="D147" s="43"/>
      <c r="E147" s="46"/>
      <c r="F147" s="39"/>
      <c r="G147" s="40"/>
      <c r="H147" s="43"/>
      <c r="I147" s="42"/>
      <c r="J147" s="42"/>
      <c r="L147" s="44"/>
    </row>
    <row r="148" spans="2:12" ht="14.4" x14ac:dyDescent="0.3">
      <c r="B148" s="39"/>
      <c r="C148" s="45"/>
      <c r="D148" s="43"/>
      <c r="E148" s="46"/>
      <c r="F148" s="39"/>
      <c r="G148" s="40"/>
      <c r="H148" s="43"/>
      <c r="I148" s="42"/>
      <c r="J148" s="42"/>
      <c r="L148" s="44"/>
    </row>
    <row r="149" spans="2:12" ht="14.4" x14ac:dyDescent="0.3">
      <c r="B149" s="39"/>
      <c r="C149" s="45"/>
      <c r="D149" s="43"/>
      <c r="E149" s="46"/>
      <c r="F149" s="39"/>
      <c r="G149" s="40"/>
      <c r="H149" s="43"/>
      <c r="I149" s="42"/>
      <c r="J149" s="42"/>
      <c r="L149" s="44"/>
    </row>
    <row r="150" spans="2:12" ht="14.4" x14ac:dyDescent="0.3">
      <c r="B150" s="39"/>
      <c r="C150" s="45"/>
      <c r="D150" s="43"/>
      <c r="E150" s="46"/>
      <c r="F150" s="39"/>
      <c r="G150" s="40"/>
      <c r="H150" s="43"/>
      <c r="I150" s="42"/>
      <c r="J150" s="42"/>
      <c r="L150" s="44"/>
    </row>
    <row r="151" spans="2:12" ht="14.4" x14ac:dyDescent="0.3">
      <c r="B151" s="39"/>
      <c r="C151" s="45"/>
      <c r="D151" s="43"/>
      <c r="E151" s="46"/>
      <c r="F151" s="39"/>
      <c r="G151" s="40"/>
      <c r="H151" s="43"/>
      <c r="I151" s="42"/>
      <c r="J151" s="42"/>
      <c r="L151" s="44"/>
    </row>
    <row r="152" spans="2:12" ht="14.4" x14ac:dyDescent="0.3">
      <c r="B152" s="39"/>
      <c r="C152" s="45"/>
      <c r="D152" s="43"/>
      <c r="E152" s="46"/>
      <c r="F152" s="39"/>
      <c r="G152" s="40"/>
      <c r="H152" s="43"/>
      <c r="I152" s="42"/>
      <c r="J152" s="42"/>
      <c r="L152" s="44"/>
    </row>
    <row r="153" spans="2:12" ht="14.4" x14ac:dyDescent="0.3">
      <c r="B153" s="39"/>
      <c r="C153" s="45"/>
      <c r="D153" s="43"/>
      <c r="E153" s="46"/>
      <c r="F153" s="39"/>
      <c r="G153" s="40"/>
      <c r="H153" s="43"/>
      <c r="I153" s="42"/>
      <c r="J153" s="42"/>
      <c r="L153" s="44"/>
    </row>
    <row r="154" spans="2:12" ht="14.4" x14ac:dyDescent="0.3">
      <c r="B154" s="39"/>
      <c r="C154" s="45"/>
      <c r="D154" s="43"/>
      <c r="E154" s="46"/>
      <c r="F154" s="39"/>
      <c r="G154" s="40"/>
      <c r="H154" s="43"/>
      <c r="I154" s="42"/>
      <c r="J154" s="42"/>
      <c r="L154" s="44"/>
    </row>
    <row r="155" spans="2:12" ht="14.4" x14ac:dyDescent="0.3">
      <c r="B155" s="39"/>
      <c r="C155" s="45"/>
      <c r="D155" s="43"/>
      <c r="E155" s="46"/>
      <c r="F155" s="39"/>
      <c r="G155" s="40"/>
      <c r="H155" s="43"/>
      <c r="I155" s="42"/>
      <c r="J155" s="42"/>
      <c r="L155" s="44"/>
    </row>
    <row r="156" spans="2:12" ht="14.4" x14ac:dyDescent="0.3">
      <c r="B156" s="39"/>
      <c r="C156" s="45"/>
      <c r="D156" s="43"/>
      <c r="E156" s="46"/>
      <c r="F156" s="39"/>
      <c r="G156" s="40"/>
      <c r="H156" s="43"/>
      <c r="I156" s="42"/>
      <c r="J156" s="42"/>
      <c r="L156" s="44"/>
    </row>
    <row r="157" spans="2:12" ht="14.4" x14ac:dyDescent="0.3">
      <c r="B157" s="39"/>
      <c r="C157" s="45"/>
      <c r="D157" s="43"/>
      <c r="E157" s="46"/>
      <c r="F157" s="39"/>
      <c r="G157" s="40"/>
      <c r="H157" s="43"/>
      <c r="I157" s="42"/>
      <c r="J157" s="42"/>
      <c r="L157" s="44"/>
    </row>
    <row r="158" spans="2:12" ht="14.4" x14ac:dyDescent="0.3">
      <c r="B158" s="39"/>
      <c r="C158" s="45"/>
      <c r="D158" s="43"/>
      <c r="E158" s="46"/>
      <c r="F158" s="39"/>
      <c r="G158" s="40"/>
      <c r="H158" s="43"/>
      <c r="I158" s="42"/>
      <c r="J158" s="42"/>
      <c r="L158" s="44"/>
    </row>
    <row r="159" spans="2:12" ht="14.4" x14ac:dyDescent="0.3">
      <c r="B159" s="39"/>
      <c r="C159" s="45"/>
      <c r="D159" s="43"/>
      <c r="E159" s="46"/>
      <c r="F159" s="39"/>
      <c r="G159" s="40"/>
      <c r="H159" s="43"/>
      <c r="I159" s="42"/>
      <c r="J159" s="42"/>
      <c r="L159" s="44"/>
    </row>
    <row r="160" spans="2:12" ht="14.4" x14ac:dyDescent="0.3">
      <c r="B160" s="39"/>
      <c r="C160" s="45"/>
      <c r="D160" s="43"/>
      <c r="E160" s="46"/>
      <c r="F160" s="39"/>
      <c r="G160" s="40"/>
      <c r="H160" s="43"/>
      <c r="I160" s="42"/>
      <c r="J160" s="42"/>
      <c r="L160" s="44"/>
    </row>
    <row r="161" spans="2:12" ht="14.4" x14ac:dyDescent="0.3">
      <c r="B161" s="39"/>
      <c r="C161" s="45"/>
      <c r="D161" s="43"/>
      <c r="E161" s="46"/>
      <c r="F161" s="39"/>
      <c r="G161" s="40"/>
      <c r="H161" s="43"/>
      <c r="I161" s="42"/>
      <c r="J161" s="42"/>
      <c r="L161" s="44"/>
    </row>
    <row r="162" spans="2:12" ht="14.4" x14ac:dyDescent="0.3">
      <c r="B162" s="39"/>
      <c r="C162" s="45"/>
      <c r="D162" s="43"/>
      <c r="E162" s="46"/>
      <c r="F162" s="39"/>
      <c r="G162" s="40"/>
      <c r="H162" s="43"/>
      <c r="I162" s="42"/>
      <c r="J162" s="42"/>
      <c r="L162" s="44"/>
    </row>
    <row r="163" spans="2:12" ht="14.4" x14ac:dyDescent="0.3">
      <c r="B163" s="39"/>
      <c r="C163" s="45"/>
      <c r="D163" s="43"/>
      <c r="E163" s="46"/>
      <c r="F163" s="39"/>
      <c r="G163" s="40"/>
      <c r="H163" s="43"/>
      <c r="I163" s="42"/>
      <c r="J163" s="42"/>
      <c r="L163" s="44"/>
    </row>
    <row r="164" spans="2:12" ht="14.4" x14ac:dyDescent="0.3">
      <c r="B164" s="39"/>
      <c r="C164" s="45"/>
      <c r="D164" s="43"/>
      <c r="E164" s="46"/>
      <c r="F164" s="39"/>
      <c r="G164" s="40"/>
      <c r="H164" s="43"/>
      <c r="I164" s="42"/>
      <c r="J164" s="42"/>
      <c r="L164" s="44"/>
    </row>
    <row r="165" spans="2:12" ht="14.4" x14ac:dyDescent="0.3">
      <c r="B165" s="39"/>
      <c r="C165" s="45"/>
      <c r="D165" s="43"/>
      <c r="E165" s="46"/>
      <c r="F165" s="39"/>
      <c r="G165" s="40"/>
      <c r="H165" s="43"/>
      <c r="I165" s="42"/>
      <c r="J165" s="42"/>
      <c r="L165" s="44"/>
    </row>
    <row r="166" spans="2:12" ht="14.4" x14ac:dyDescent="0.3">
      <c r="B166" s="39"/>
      <c r="C166" s="45"/>
      <c r="D166" s="43"/>
      <c r="E166" s="46"/>
      <c r="F166" s="39"/>
      <c r="G166" s="40"/>
      <c r="H166" s="43"/>
      <c r="I166" s="42"/>
      <c r="J166" s="42"/>
      <c r="L166" s="44"/>
    </row>
    <row r="167" spans="2:12" ht="14.4" x14ac:dyDescent="0.3">
      <c r="B167" s="39"/>
      <c r="C167" s="45"/>
      <c r="D167" s="43"/>
      <c r="E167" s="46"/>
      <c r="F167" s="39"/>
      <c r="G167" s="40"/>
      <c r="H167" s="43"/>
      <c r="I167" s="42"/>
      <c r="J167" s="42"/>
      <c r="L167" s="44"/>
    </row>
    <row r="168" spans="2:12" ht="14.4" x14ac:dyDescent="0.3">
      <c r="B168" s="39"/>
      <c r="C168" s="45"/>
      <c r="D168" s="43"/>
      <c r="E168" s="46"/>
      <c r="F168" s="39"/>
      <c r="G168" s="40"/>
      <c r="H168" s="43"/>
      <c r="I168" s="42"/>
      <c r="J168" s="42"/>
      <c r="L168" s="44"/>
    </row>
    <row r="169" spans="2:12" ht="14.4" x14ac:dyDescent="0.3">
      <c r="B169" s="39"/>
      <c r="C169" s="45"/>
      <c r="D169" s="43"/>
      <c r="E169" s="46"/>
      <c r="F169" s="39"/>
      <c r="G169" s="40"/>
      <c r="H169" s="43"/>
      <c r="I169" s="42"/>
      <c r="J169" s="42"/>
      <c r="L169" s="44"/>
    </row>
    <row r="170" spans="2:12" ht="14.4" x14ac:dyDescent="0.3">
      <c r="B170" s="39"/>
      <c r="C170" s="45"/>
      <c r="D170" s="43"/>
      <c r="E170" s="46"/>
      <c r="F170" s="39"/>
      <c r="G170" s="40"/>
      <c r="H170" s="43"/>
      <c r="I170" s="42"/>
      <c r="J170" s="42"/>
      <c r="L170" s="44"/>
    </row>
    <row r="171" spans="2:12" ht="14.4" x14ac:dyDescent="0.3">
      <c r="B171" s="39"/>
      <c r="C171" s="45"/>
      <c r="D171" s="43"/>
      <c r="E171" s="46"/>
      <c r="F171" s="39"/>
      <c r="G171" s="40"/>
      <c r="H171" s="43"/>
      <c r="I171" s="42"/>
      <c r="J171" s="42"/>
      <c r="L171" s="44"/>
    </row>
    <row r="172" spans="2:12" ht="14.4" x14ac:dyDescent="0.3">
      <c r="B172" s="39"/>
      <c r="C172" s="45"/>
      <c r="D172" s="43"/>
      <c r="E172" s="46"/>
      <c r="F172" s="39"/>
      <c r="G172" s="40"/>
      <c r="H172" s="43"/>
      <c r="I172" s="42"/>
      <c r="J172" s="42"/>
      <c r="L172" s="44"/>
    </row>
    <row r="173" spans="2:12" ht="14.4" x14ac:dyDescent="0.3">
      <c r="B173" s="39"/>
      <c r="C173" s="45"/>
      <c r="D173" s="43"/>
      <c r="E173" s="46"/>
      <c r="F173" s="39"/>
      <c r="G173" s="40"/>
      <c r="H173" s="43"/>
      <c r="I173" s="42"/>
      <c r="J173" s="42"/>
      <c r="L173" s="44"/>
    </row>
    <row r="174" spans="2:12" ht="14.4" x14ac:dyDescent="0.3">
      <c r="B174" s="39"/>
      <c r="C174" s="45"/>
      <c r="D174" s="43"/>
      <c r="E174" s="46"/>
      <c r="F174" s="39"/>
      <c r="G174" s="40"/>
      <c r="H174" s="43"/>
      <c r="I174" s="42"/>
      <c r="J174" s="42"/>
      <c r="L174" s="44"/>
    </row>
    <row r="175" spans="2:12" ht="14.4" x14ac:dyDescent="0.3">
      <c r="B175" s="39"/>
      <c r="C175" s="45"/>
      <c r="D175" s="43"/>
      <c r="E175" s="46"/>
      <c r="F175" s="39"/>
      <c r="G175" s="40"/>
      <c r="H175" s="43"/>
      <c r="I175" s="42"/>
      <c r="J175" s="42"/>
      <c r="L175" s="44"/>
    </row>
    <row r="176" spans="2:12" ht="14.4" x14ac:dyDescent="0.3">
      <c r="B176" s="39"/>
      <c r="C176" s="45"/>
      <c r="D176" s="43"/>
      <c r="E176" s="46"/>
      <c r="F176" s="39"/>
      <c r="G176" s="40"/>
      <c r="H176" s="43"/>
      <c r="I176" s="42"/>
      <c r="J176" s="42"/>
      <c r="L176" s="44"/>
    </row>
    <row r="177" spans="2:12" ht="14.4" x14ac:dyDescent="0.3">
      <c r="B177" s="39"/>
      <c r="C177" s="45"/>
      <c r="D177" s="43"/>
      <c r="E177" s="46"/>
      <c r="F177" s="39"/>
      <c r="G177" s="40"/>
      <c r="H177" s="43"/>
      <c r="I177" s="42"/>
      <c r="J177" s="42"/>
      <c r="L177" s="44"/>
    </row>
    <row r="178" spans="2:12" ht="14.4" x14ac:dyDescent="0.3">
      <c r="B178" s="39"/>
      <c r="C178" s="45"/>
      <c r="D178" s="43"/>
      <c r="E178" s="46"/>
      <c r="F178" s="39"/>
      <c r="G178" s="40"/>
      <c r="H178" s="43"/>
      <c r="I178" s="42"/>
      <c r="J178" s="42"/>
      <c r="L178" s="44"/>
    </row>
    <row r="179" spans="2:12" ht="14.4" x14ac:dyDescent="0.3">
      <c r="B179" s="39"/>
      <c r="C179" s="45"/>
      <c r="D179" s="43"/>
      <c r="E179" s="46"/>
      <c r="F179" s="39"/>
      <c r="G179" s="40"/>
      <c r="H179" s="43"/>
      <c r="I179" s="42"/>
      <c r="J179" s="42"/>
      <c r="L179" s="44"/>
    </row>
    <row r="180" spans="2:12" ht="14.4" x14ac:dyDescent="0.3">
      <c r="B180" s="39"/>
      <c r="C180" s="45"/>
      <c r="D180" s="43"/>
      <c r="E180" s="46"/>
      <c r="F180" s="39"/>
      <c r="G180" s="40"/>
      <c r="H180" s="43"/>
      <c r="I180" s="42"/>
      <c r="J180" s="42"/>
      <c r="L180" s="44"/>
    </row>
    <row r="181" spans="2:12" ht="14.4" x14ac:dyDescent="0.3">
      <c r="B181" s="39"/>
      <c r="C181" s="45"/>
      <c r="D181" s="43"/>
      <c r="E181" s="46"/>
      <c r="F181" s="39"/>
      <c r="G181" s="40"/>
      <c r="H181" s="43"/>
      <c r="I181" s="42"/>
      <c r="J181" s="42"/>
      <c r="L181" s="44"/>
    </row>
    <row r="182" spans="2:12" ht="14.4" x14ac:dyDescent="0.3">
      <c r="B182" s="39"/>
      <c r="C182" s="45"/>
      <c r="D182" s="43"/>
      <c r="E182" s="46"/>
      <c r="F182" s="39"/>
      <c r="G182" s="40"/>
      <c r="H182" s="43"/>
      <c r="I182" s="42"/>
      <c r="J182" s="42"/>
      <c r="L182" s="44"/>
    </row>
    <row r="183" spans="2:12" ht="14.4" x14ac:dyDescent="0.3">
      <c r="B183" s="39"/>
      <c r="C183" s="45"/>
      <c r="D183" s="43"/>
      <c r="E183" s="46"/>
      <c r="F183" s="39"/>
      <c r="G183" s="40"/>
      <c r="H183" s="43"/>
      <c r="I183" s="42"/>
      <c r="J183" s="42"/>
      <c r="L183" s="44"/>
    </row>
    <row r="184" spans="2:12" ht="14.4" x14ac:dyDescent="0.3">
      <c r="B184" s="39"/>
      <c r="C184" s="45"/>
      <c r="D184" s="43"/>
      <c r="E184" s="46"/>
      <c r="F184" s="39"/>
      <c r="G184" s="40"/>
      <c r="H184" s="43"/>
      <c r="I184" s="42"/>
      <c r="J184" s="42"/>
      <c r="L184" s="44"/>
    </row>
    <row r="185" spans="2:12" ht="14.4" x14ac:dyDescent="0.3">
      <c r="B185" s="39"/>
      <c r="C185" s="45"/>
      <c r="D185" s="43"/>
      <c r="E185" s="46"/>
      <c r="F185" s="39"/>
      <c r="G185" s="40"/>
      <c r="H185" s="43"/>
      <c r="I185" s="42"/>
      <c r="J185" s="42"/>
      <c r="L185" s="44"/>
    </row>
    <row r="186" spans="2:12" ht="14.4" x14ac:dyDescent="0.3">
      <c r="B186" s="39"/>
      <c r="C186" s="45"/>
      <c r="D186" s="43"/>
      <c r="E186" s="46"/>
      <c r="F186" s="39"/>
      <c r="G186" s="40"/>
      <c r="H186" s="43"/>
      <c r="I186" s="42"/>
      <c r="J186" s="42"/>
      <c r="L186" s="44"/>
    </row>
    <row r="187" spans="2:12" ht="14.4" x14ac:dyDescent="0.3">
      <c r="B187" s="39"/>
      <c r="C187" s="45"/>
      <c r="D187" s="43"/>
      <c r="E187" s="46"/>
      <c r="F187" s="39"/>
      <c r="G187" s="40"/>
      <c r="H187" s="43"/>
      <c r="I187" s="42"/>
      <c r="J187" s="42"/>
      <c r="L187" s="44"/>
    </row>
    <row r="188" spans="2:12" ht="14.4" x14ac:dyDescent="0.3">
      <c r="B188" s="39"/>
      <c r="C188" s="45"/>
      <c r="D188" s="43"/>
      <c r="E188" s="46"/>
      <c r="F188" s="39"/>
      <c r="G188" s="40"/>
      <c r="H188" s="43"/>
      <c r="I188" s="42"/>
      <c r="J188" s="42"/>
      <c r="L188" s="44"/>
    </row>
    <row r="189" spans="2:12" ht="14.4" x14ac:dyDescent="0.3">
      <c r="B189" s="39"/>
      <c r="C189" s="45"/>
      <c r="D189" s="43"/>
      <c r="E189" s="46"/>
      <c r="F189" s="39"/>
      <c r="G189" s="40"/>
      <c r="H189" s="43"/>
      <c r="I189" s="42"/>
      <c r="J189" s="42"/>
      <c r="L189" s="44"/>
    </row>
    <row r="190" spans="2:12" ht="14.4" x14ac:dyDescent="0.3">
      <c r="B190" s="39"/>
      <c r="C190" s="45"/>
      <c r="D190" s="43"/>
      <c r="E190" s="46"/>
      <c r="F190" s="39"/>
      <c r="G190" s="40"/>
      <c r="H190" s="43"/>
      <c r="I190" s="42"/>
      <c r="J190" s="42"/>
      <c r="L190" s="44"/>
    </row>
    <row r="191" spans="2:12" ht="14.4" x14ac:dyDescent="0.3">
      <c r="B191" s="39"/>
      <c r="C191" s="45"/>
      <c r="D191" s="43"/>
      <c r="E191" s="46"/>
      <c r="F191" s="39"/>
      <c r="G191" s="40"/>
      <c r="H191" s="43"/>
      <c r="I191" s="42"/>
      <c r="J191" s="42"/>
      <c r="L191" s="44"/>
    </row>
    <row r="192" spans="2:12" ht="14.4" x14ac:dyDescent="0.3">
      <c r="B192" s="39"/>
      <c r="C192" s="45"/>
      <c r="D192" s="43"/>
      <c r="E192" s="46"/>
      <c r="F192" s="39"/>
      <c r="G192" s="40"/>
      <c r="H192" s="43"/>
      <c r="I192" s="42"/>
      <c r="J192" s="42"/>
      <c r="L192" s="44"/>
    </row>
    <row r="193" spans="2:12" ht="14.4" x14ac:dyDescent="0.3">
      <c r="B193" s="39"/>
      <c r="C193" s="45"/>
      <c r="D193" s="43"/>
      <c r="E193" s="46"/>
      <c r="F193" s="39"/>
      <c r="G193" s="40"/>
      <c r="H193" s="43"/>
      <c r="I193" s="42"/>
      <c r="J193" s="42"/>
      <c r="L193" s="44"/>
    </row>
    <row r="194" spans="2:12" ht="14.4" x14ac:dyDescent="0.3">
      <c r="B194" s="39"/>
      <c r="C194" s="45"/>
      <c r="D194" s="43"/>
      <c r="E194" s="46"/>
      <c r="F194" s="39"/>
      <c r="G194" s="40"/>
      <c r="H194" s="43"/>
      <c r="I194" s="42"/>
      <c r="J194" s="42"/>
      <c r="L194" s="44"/>
    </row>
    <row r="195" spans="2:12" ht="14.4" x14ac:dyDescent="0.3">
      <c r="B195" s="39"/>
      <c r="C195" s="45"/>
      <c r="D195" s="43"/>
      <c r="E195" s="46"/>
      <c r="F195" s="39"/>
      <c r="G195" s="40"/>
      <c r="H195" s="43"/>
      <c r="I195" s="42"/>
      <c r="J195" s="42"/>
      <c r="L195" s="44"/>
    </row>
    <row r="196" spans="2:12" ht="14.4" x14ac:dyDescent="0.3">
      <c r="B196" s="39"/>
      <c r="C196" s="45"/>
      <c r="D196" s="43"/>
      <c r="E196" s="46"/>
      <c r="F196" s="39"/>
      <c r="G196" s="40"/>
      <c r="H196" s="43"/>
      <c r="I196" s="42"/>
      <c r="J196" s="42"/>
      <c r="L196" s="44"/>
    </row>
    <row r="197" spans="2:12" ht="14.4" x14ac:dyDescent="0.3">
      <c r="B197" s="39"/>
      <c r="C197" s="45"/>
      <c r="D197" s="43"/>
      <c r="E197" s="46"/>
      <c r="F197" s="39"/>
      <c r="G197" s="40"/>
      <c r="H197" s="43"/>
      <c r="I197" s="42"/>
      <c r="J197" s="42"/>
      <c r="L197" s="44"/>
    </row>
    <row r="198" spans="2:12" ht="14.4" x14ac:dyDescent="0.3">
      <c r="B198" s="39"/>
      <c r="C198" s="45"/>
      <c r="D198" s="43"/>
      <c r="E198" s="46"/>
      <c r="F198" s="39"/>
      <c r="G198" s="40"/>
      <c r="H198" s="43"/>
      <c r="I198" s="42"/>
      <c r="J198" s="42"/>
      <c r="L198" s="44"/>
    </row>
    <row r="199" spans="2:12" ht="14.4" x14ac:dyDescent="0.3">
      <c r="B199" s="39"/>
      <c r="C199" s="45"/>
      <c r="D199" s="43"/>
      <c r="E199" s="46"/>
      <c r="F199" s="39"/>
      <c r="G199" s="40"/>
      <c r="H199" s="43"/>
      <c r="I199" s="42"/>
      <c r="J199" s="42"/>
      <c r="L199" s="44"/>
    </row>
    <row r="200" spans="2:12" ht="14.4" x14ac:dyDescent="0.3">
      <c r="B200" s="39"/>
      <c r="C200" s="45"/>
      <c r="D200" s="43"/>
      <c r="E200" s="46"/>
      <c r="F200" s="39"/>
      <c r="G200" s="40"/>
      <c r="H200" s="43"/>
      <c r="I200" s="42"/>
      <c r="J200" s="42"/>
      <c r="L200" s="44"/>
    </row>
    <row r="201" spans="2:12" ht="14.4" x14ac:dyDescent="0.3">
      <c r="B201" s="39"/>
      <c r="C201" s="45"/>
      <c r="D201" s="43"/>
      <c r="E201" s="46"/>
      <c r="F201" s="39"/>
      <c r="G201" s="40"/>
      <c r="H201" s="43"/>
      <c r="I201" s="42"/>
      <c r="J201" s="42"/>
      <c r="L201" s="44"/>
    </row>
    <row r="202" spans="2:12" ht="14.4" x14ac:dyDescent="0.3">
      <c r="B202" s="39"/>
      <c r="C202" s="45"/>
      <c r="D202" s="43"/>
      <c r="E202" s="46"/>
      <c r="F202" s="39"/>
      <c r="G202" s="40"/>
      <c r="H202" s="43"/>
      <c r="I202" s="42"/>
      <c r="J202" s="42"/>
      <c r="L202" s="44"/>
    </row>
    <row r="203" spans="2:12" ht="14.4" x14ac:dyDescent="0.3">
      <c r="B203" s="39"/>
      <c r="C203" s="45"/>
      <c r="D203" s="43"/>
      <c r="E203" s="46"/>
      <c r="F203" s="39"/>
      <c r="G203" s="40"/>
      <c r="H203" s="43"/>
      <c r="I203" s="42"/>
      <c r="J203" s="42"/>
      <c r="L203" s="44"/>
    </row>
    <row r="204" spans="2:12" ht="14.4" x14ac:dyDescent="0.3">
      <c r="B204" s="39"/>
      <c r="C204" s="45"/>
      <c r="D204" s="43"/>
      <c r="E204" s="46"/>
      <c r="F204" s="39"/>
      <c r="G204" s="40"/>
      <c r="H204" s="43"/>
      <c r="I204" s="42"/>
      <c r="J204" s="42"/>
      <c r="L204" s="44"/>
    </row>
    <row r="205" spans="2:12" ht="14.4" x14ac:dyDescent="0.3">
      <c r="B205" s="39"/>
      <c r="C205" s="45"/>
      <c r="D205" s="43"/>
      <c r="E205" s="46"/>
      <c r="F205" s="39"/>
      <c r="G205" s="40"/>
      <c r="H205" s="43"/>
      <c r="I205" s="42"/>
      <c r="J205" s="42"/>
      <c r="L205" s="44"/>
    </row>
    <row r="206" spans="2:12" ht="14.4" x14ac:dyDescent="0.3">
      <c r="B206" s="39"/>
      <c r="C206" s="45"/>
      <c r="D206" s="43"/>
      <c r="E206" s="46"/>
      <c r="F206" s="39"/>
      <c r="G206" s="40"/>
      <c r="H206" s="43"/>
      <c r="I206" s="42"/>
      <c r="J206" s="42"/>
      <c r="L206" s="44"/>
    </row>
    <row r="207" spans="2:12" ht="14.4" x14ac:dyDescent="0.3">
      <c r="B207" s="39"/>
      <c r="C207" s="45"/>
      <c r="D207" s="43"/>
      <c r="E207" s="46"/>
      <c r="F207" s="39"/>
      <c r="G207" s="40"/>
      <c r="H207" s="43"/>
      <c r="I207" s="42"/>
      <c r="J207" s="42"/>
      <c r="L207" s="44"/>
    </row>
    <row r="208" spans="2:12" ht="14.4" x14ac:dyDescent="0.3">
      <c r="B208" s="39"/>
      <c r="C208" s="45"/>
      <c r="D208" s="43"/>
      <c r="E208" s="46"/>
      <c r="F208" s="39"/>
      <c r="G208" s="40"/>
      <c r="H208" s="43"/>
      <c r="I208" s="42"/>
      <c r="J208" s="42"/>
      <c r="L208" s="44"/>
    </row>
    <row r="209" spans="2:12" ht="14.4" x14ac:dyDescent="0.3">
      <c r="B209" s="39"/>
      <c r="C209" s="45"/>
      <c r="D209" s="43"/>
      <c r="E209" s="46"/>
      <c r="F209" s="39"/>
      <c r="G209" s="40"/>
      <c r="H209" s="43"/>
      <c r="I209" s="42"/>
      <c r="J209" s="42"/>
      <c r="L209" s="44"/>
    </row>
    <row r="210" spans="2:12" ht="14.4" x14ac:dyDescent="0.3">
      <c r="B210" s="39"/>
      <c r="C210" s="45"/>
      <c r="D210" s="43"/>
      <c r="E210" s="46"/>
      <c r="F210" s="39"/>
      <c r="G210" s="40"/>
      <c r="H210" s="43"/>
      <c r="I210" s="42"/>
      <c r="J210" s="42"/>
      <c r="L210" s="44"/>
    </row>
    <row r="211" spans="2:12" ht="14.4" x14ac:dyDescent="0.3">
      <c r="B211" s="39"/>
      <c r="C211" s="45"/>
      <c r="D211" s="43"/>
      <c r="E211" s="46"/>
      <c r="F211" s="39"/>
      <c r="G211" s="40"/>
      <c r="H211" s="43"/>
      <c r="I211" s="42"/>
      <c r="J211" s="42"/>
      <c r="L211" s="44"/>
    </row>
    <row r="212" spans="2:12" ht="14.4" x14ac:dyDescent="0.3">
      <c r="B212" s="39"/>
      <c r="C212" s="45"/>
      <c r="D212" s="43"/>
      <c r="E212" s="46"/>
      <c r="F212" s="39"/>
      <c r="G212" s="40"/>
      <c r="H212" s="43"/>
      <c r="I212" s="42"/>
      <c r="J212" s="42"/>
      <c r="L212" s="44"/>
    </row>
    <row r="213" spans="2:12" ht="14.4" x14ac:dyDescent="0.3">
      <c r="B213" s="39"/>
      <c r="C213" s="45"/>
      <c r="D213" s="43"/>
      <c r="E213" s="46"/>
      <c r="F213" s="39"/>
      <c r="G213" s="40"/>
      <c r="H213" s="43"/>
      <c r="I213" s="42"/>
      <c r="J213" s="42"/>
      <c r="L213" s="44"/>
    </row>
    <row r="214" spans="2:12" ht="14.4" x14ac:dyDescent="0.3">
      <c r="B214" s="39"/>
      <c r="C214" s="45"/>
      <c r="D214" s="43"/>
      <c r="E214" s="46"/>
      <c r="F214" s="39"/>
      <c r="G214" s="40"/>
      <c r="H214" s="43"/>
      <c r="I214" s="42"/>
      <c r="J214" s="42"/>
      <c r="L214" s="44"/>
    </row>
    <row r="215" spans="2:12" ht="14.4" x14ac:dyDescent="0.3">
      <c r="B215" s="39"/>
      <c r="C215" s="45"/>
      <c r="D215" s="43"/>
      <c r="E215" s="46"/>
      <c r="F215" s="39"/>
      <c r="G215" s="40"/>
      <c r="H215" s="43"/>
      <c r="I215" s="42"/>
      <c r="J215" s="42"/>
      <c r="L215" s="44"/>
    </row>
    <row r="216" spans="2:12" ht="14.4" x14ac:dyDescent="0.3">
      <c r="B216" s="39"/>
      <c r="C216" s="45"/>
      <c r="D216" s="43"/>
      <c r="E216" s="46"/>
      <c r="F216" s="39"/>
      <c r="G216" s="40"/>
      <c r="H216" s="43"/>
      <c r="I216" s="42"/>
      <c r="J216" s="42"/>
      <c r="L216" s="44"/>
    </row>
    <row r="217" spans="2:12" ht="14.4" x14ac:dyDescent="0.3">
      <c r="B217" s="39"/>
      <c r="C217" s="45"/>
      <c r="D217" s="43"/>
      <c r="E217" s="46"/>
      <c r="F217" s="39"/>
      <c r="G217" s="40"/>
      <c r="H217" s="43"/>
      <c r="I217" s="42"/>
      <c r="J217" s="42"/>
      <c r="L217" s="44"/>
    </row>
    <row r="218" spans="2:12" ht="14.4" x14ac:dyDescent="0.3">
      <c r="B218" s="39"/>
      <c r="C218" s="45"/>
      <c r="D218" s="43"/>
      <c r="E218" s="46"/>
      <c r="F218" s="39"/>
      <c r="G218" s="40"/>
      <c r="H218" s="43"/>
      <c r="I218" s="42"/>
      <c r="J218" s="42"/>
      <c r="L218" s="44"/>
    </row>
    <row r="219" spans="2:12" ht="14.4" x14ac:dyDescent="0.3">
      <c r="B219" s="39"/>
      <c r="C219" s="45"/>
      <c r="D219" s="43"/>
      <c r="E219" s="46"/>
      <c r="F219" s="39"/>
      <c r="G219" s="40"/>
      <c r="H219" s="43"/>
      <c r="I219" s="42"/>
      <c r="J219" s="42"/>
      <c r="L219" s="44"/>
    </row>
    <row r="220" spans="2:12" ht="14.4" x14ac:dyDescent="0.3">
      <c r="B220" s="39"/>
      <c r="C220" s="45"/>
      <c r="D220" s="43"/>
      <c r="E220" s="46"/>
      <c r="F220" s="39"/>
      <c r="G220" s="40"/>
      <c r="H220" s="43"/>
      <c r="I220" s="42"/>
      <c r="J220" s="42"/>
      <c r="L220" s="44"/>
    </row>
    <row r="221" spans="2:12" ht="14.4" x14ac:dyDescent="0.3">
      <c r="B221" s="39"/>
      <c r="C221" s="45"/>
      <c r="D221" s="43"/>
      <c r="E221" s="46"/>
      <c r="F221" s="39"/>
      <c r="G221" s="40"/>
      <c r="H221" s="43"/>
      <c r="I221" s="42"/>
      <c r="J221" s="42"/>
      <c r="L221" s="44"/>
    </row>
    <row r="222" spans="2:12" ht="14.4" x14ac:dyDescent="0.3">
      <c r="B222" s="39"/>
      <c r="C222" s="45"/>
      <c r="D222" s="43"/>
      <c r="E222" s="46"/>
      <c r="F222" s="39"/>
      <c r="G222" s="40"/>
      <c r="H222" s="43"/>
      <c r="I222" s="42"/>
      <c r="J222" s="42"/>
      <c r="L222" s="44"/>
    </row>
    <row r="223" spans="2:12" ht="14.4" x14ac:dyDescent="0.3">
      <c r="B223" s="39"/>
      <c r="C223" s="45"/>
      <c r="D223" s="43"/>
      <c r="E223" s="46"/>
      <c r="F223" s="39"/>
      <c r="G223" s="40"/>
      <c r="H223" s="43"/>
      <c r="I223" s="42"/>
      <c r="J223" s="42"/>
      <c r="L223" s="44"/>
    </row>
    <row r="224" spans="2:12" ht="14.4" x14ac:dyDescent="0.3">
      <c r="B224" s="39"/>
      <c r="C224" s="45"/>
      <c r="D224" s="43"/>
      <c r="E224" s="46"/>
      <c r="F224" s="39"/>
      <c r="G224" s="40"/>
      <c r="H224" s="43"/>
      <c r="I224" s="42"/>
      <c r="J224" s="42"/>
      <c r="L224" s="44"/>
    </row>
    <row r="225" spans="2:12" ht="14.4" x14ac:dyDescent="0.3">
      <c r="B225" s="39"/>
      <c r="C225" s="45"/>
      <c r="D225" s="43"/>
      <c r="E225" s="46"/>
      <c r="F225" s="39"/>
      <c r="G225" s="40"/>
      <c r="H225" s="43"/>
      <c r="I225" s="42"/>
      <c r="J225" s="42"/>
      <c r="L225" s="44"/>
    </row>
    <row r="226" spans="2:12" ht="14.4" x14ac:dyDescent="0.3">
      <c r="B226" s="39"/>
      <c r="C226" s="45"/>
      <c r="D226" s="43"/>
      <c r="E226" s="46"/>
      <c r="F226" s="39"/>
      <c r="G226" s="40"/>
      <c r="H226" s="43"/>
      <c r="I226" s="42"/>
      <c r="J226" s="42"/>
      <c r="L226" s="44"/>
    </row>
    <row r="227" spans="2:12" ht="14.4" x14ac:dyDescent="0.3">
      <c r="B227" s="39"/>
      <c r="C227" s="45"/>
      <c r="D227" s="43"/>
      <c r="E227" s="46"/>
      <c r="F227" s="39"/>
      <c r="G227" s="40"/>
      <c r="H227" s="43"/>
      <c r="I227" s="42"/>
      <c r="J227" s="42"/>
      <c r="L227" s="44"/>
    </row>
    <row r="228" spans="2:12" ht="14.4" x14ac:dyDescent="0.3">
      <c r="B228" s="39"/>
      <c r="C228" s="45"/>
      <c r="D228" s="43"/>
      <c r="E228" s="46"/>
      <c r="F228" s="39"/>
      <c r="G228" s="40"/>
      <c r="H228" s="43"/>
      <c r="I228" s="42"/>
      <c r="J228" s="42"/>
      <c r="L228" s="44"/>
    </row>
    <row r="229" spans="2:12" ht="14.4" x14ac:dyDescent="0.3">
      <c r="B229" s="39"/>
      <c r="C229" s="45"/>
      <c r="D229" s="43"/>
      <c r="E229" s="46"/>
      <c r="F229" s="39"/>
      <c r="G229" s="40"/>
      <c r="H229" s="43"/>
      <c r="I229" s="42"/>
      <c r="J229" s="42"/>
      <c r="L229" s="44"/>
    </row>
    <row r="230" spans="2:12" ht="14.4" x14ac:dyDescent="0.3">
      <c r="B230" s="39"/>
      <c r="C230" s="45"/>
      <c r="D230" s="43"/>
      <c r="E230" s="46"/>
      <c r="F230" s="39"/>
      <c r="G230" s="40"/>
      <c r="H230" s="43"/>
      <c r="I230" s="42"/>
      <c r="J230" s="42"/>
      <c r="L230" s="44"/>
    </row>
    <row r="231" spans="2:12" ht="14.4" x14ac:dyDescent="0.3">
      <c r="B231" s="39"/>
      <c r="C231" s="45"/>
      <c r="D231" s="43"/>
      <c r="E231" s="46"/>
      <c r="F231" s="39"/>
      <c r="G231" s="40"/>
      <c r="H231" s="43"/>
      <c r="I231" s="42"/>
      <c r="J231" s="42"/>
      <c r="L231" s="44"/>
    </row>
    <row r="232" spans="2:12" ht="14.4" x14ac:dyDescent="0.3">
      <c r="B232" s="39"/>
      <c r="C232" s="45"/>
      <c r="D232" s="43"/>
      <c r="E232" s="46"/>
      <c r="F232" s="39"/>
      <c r="G232" s="40"/>
      <c r="H232" s="43"/>
      <c r="I232" s="42"/>
      <c r="J232" s="42"/>
      <c r="L232" s="44"/>
    </row>
    <row r="233" spans="2:12" ht="14.4" x14ac:dyDescent="0.3">
      <c r="B233" s="39"/>
      <c r="C233" s="45"/>
      <c r="D233" s="43"/>
      <c r="E233" s="46"/>
      <c r="F233" s="39"/>
      <c r="G233" s="40"/>
      <c r="H233" s="43"/>
      <c r="I233" s="42"/>
      <c r="J233" s="42"/>
      <c r="L233" s="44"/>
    </row>
    <row r="234" spans="2:12" ht="14.4" x14ac:dyDescent="0.3">
      <c r="B234" s="39"/>
      <c r="C234" s="45"/>
      <c r="D234" s="43"/>
      <c r="E234" s="46"/>
      <c r="F234" s="39"/>
      <c r="G234" s="40"/>
      <c r="H234" s="43"/>
      <c r="I234" s="42"/>
      <c r="J234" s="42"/>
      <c r="L234" s="44"/>
    </row>
    <row r="235" spans="2:12" ht="14.4" x14ac:dyDescent="0.3">
      <c r="B235" s="39"/>
      <c r="C235" s="45"/>
      <c r="D235" s="43"/>
      <c r="E235" s="46"/>
      <c r="F235" s="39"/>
      <c r="G235" s="40"/>
      <c r="H235" s="43"/>
      <c r="I235" s="42"/>
      <c r="J235" s="42"/>
      <c r="L235" s="44"/>
    </row>
    <row r="236" spans="2:12" ht="14.4" x14ac:dyDescent="0.3">
      <c r="B236" s="39"/>
      <c r="C236" s="45"/>
      <c r="D236" s="43"/>
      <c r="E236" s="46"/>
      <c r="F236" s="39"/>
      <c r="G236" s="40"/>
      <c r="H236" s="43"/>
      <c r="I236" s="42"/>
      <c r="J236" s="42"/>
      <c r="L236" s="44"/>
    </row>
    <row r="237" spans="2:12" ht="14.4" x14ac:dyDescent="0.3">
      <c r="B237" s="39"/>
      <c r="C237" s="45"/>
      <c r="D237" s="43"/>
      <c r="E237" s="46"/>
      <c r="F237" s="39"/>
      <c r="G237" s="40"/>
      <c r="H237" s="43"/>
      <c r="I237" s="42"/>
      <c r="J237" s="42"/>
      <c r="L237" s="44"/>
    </row>
    <row r="238" spans="2:12" ht="14.4" x14ac:dyDescent="0.3">
      <c r="B238" s="39"/>
      <c r="C238" s="45"/>
      <c r="D238" s="43"/>
      <c r="E238" s="46"/>
      <c r="F238" s="39"/>
      <c r="G238" s="40"/>
      <c r="H238" s="43"/>
      <c r="I238" s="42"/>
      <c r="J238" s="42"/>
      <c r="L238" s="44"/>
    </row>
    <row r="239" spans="2:12" ht="14.4" x14ac:dyDescent="0.3">
      <c r="B239" s="39"/>
      <c r="C239" s="45"/>
      <c r="D239" s="43"/>
      <c r="E239" s="46"/>
      <c r="F239" s="39"/>
      <c r="G239" s="40"/>
      <c r="H239" s="43"/>
      <c r="I239" s="42"/>
      <c r="J239" s="42"/>
      <c r="L239" s="44"/>
    </row>
    <row r="240" spans="2:12" ht="14.4" x14ac:dyDescent="0.3">
      <c r="B240" s="39"/>
      <c r="C240" s="45"/>
      <c r="D240" s="43"/>
      <c r="E240" s="46"/>
      <c r="F240" s="39"/>
      <c r="G240" s="40"/>
      <c r="H240" s="43"/>
      <c r="I240" s="42"/>
      <c r="J240" s="42"/>
      <c r="L240" s="44"/>
    </row>
    <row r="241" spans="2:12" ht="14.4" x14ac:dyDescent="0.3">
      <c r="B241" s="39"/>
      <c r="C241" s="45"/>
      <c r="D241" s="43"/>
      <c r="E241" s="46"/>
      <c r="F241" s="39"/>
      <c r="G241" s="40"/>
      <c r="H241" s="43"/>
      <c r="I241" s="42"/>
      <c r="J241" s="42"/>
      <c r="L241" s="44"/>
    </row>
    <row r="242" spans="2:12" ht="14.4" x14ac:dyDescent="0.3">
      <c r="B242" s="39"/>
      <c r="C242" s="45"/>
      <c r="D242" s="43"/>
      <c r="E242" s="46"/>
      <c r="F242" s="39"/>
      <c r="G242" s="40"/>
      <c r="H242" s="43"/>
      <c r="I242" s="42"/>
      <c r="J242" s="42"/>
      <c r="L242" s="44"/>
    </row>
    <row r="243" spans="2:12" ht="14.4" x14ac:dyDescent="0.3">
      <c r="B243" s="39"/>
      <c r="C243" s="45"/>
      <c r="D243" s="43"/>
      <c r="E243" s="46"/>
      <c r="F243" s="39"/>
      <c r="G243" s="40"/>
      <c r="H243" s="43"/>
      <c r="I243" s="42"/>
      <c r="J243" s="42"/>
      <c r="L243" s="44"/>
    </row>
    <row r="244" spans="2:12" ht="14.4" x14ac:dyDescent="0.3">
      <c r="B244" s="39"/>
      <c r="C244" s="45"/>
      <c r="D244" s="43"/>
      <c r="E244" s="46"/>
      <c r="F244" s="39"/>
      <c r="G244" s="40"/>
      <c r="H244" s="43"/>
      <c r="I244" s="42"/>
      <c r="J244" s="42"/>
      <c r="L244" s="44"/>
    </row>
    <row r="245" spans="2:12" ht="14.4" x14ac:dyDescent="0.3">
      <c r="B245" s="39"/>
      <c r="C245" s="45"/>
      <c r="D245" s="43"/>
      <c r="E245" s="46"/>
      <c r="F245" s="39"/>
      <c r="G245" s="40"/>
      <c r="H245" s="43"/>
      <c r="I245" s="42"/>
      <c r="J245" s="42"/>
      <c r="L245" s="44"/>
    </row>
    <row r="246" spans="2:12" ht="14.4" x14ac:dyDescent="0.3">
      <c r="B246" s="39"/>
      <c r="C246" s="45"/>
      <c r="D246" s="43"/>
      <c r="E246" s="46"/>
      <c r="F246" s="39"/>
      <c r="G246" s="40"/>
      <c r="H246" s="43"/>
      <c r="I246" s="42"/>
      <c r="J246" s="42"/>
      <c r="L246" s="44"/>
    </row>
    <row r="247" spans="2:12" ht="14.4" x14ac:dyDescent="0.3">
      <c r="B247" s="39"/>
      <c r="C247" s="45"/>
      <c r="D247" s="43"/>
      <c r="E247" s="46"/>
      <c r="F247" s="39"/>
      <c r="G247" s="40"/>
      <c r="H247" s="43"/>
      <c r="I247" s="42"/>
      <c r="J247" s="42"/>
      <c r="L247" s="44"/>
    </row>
    <row r="248" spans="2:12" ht="14.4" x14ac:dyDescent="0.3">
      <c r="B248" s="39"/>
      <c r="C248" s="45"/>
      <c r="D248" s="43"/>
      <c r="E248" s="46"/>
      <c r="F248" s="39"/>
      <c r="G248" s="40"/>
      <c r="H248" s="43"/>
      <c r="I248" s="42"/>
      <c r="J248" s="42"/>
      <c r="L248" s="44"/>
    </row>
    <row r="249" spans="2:12" ht="14.4" x14ac:dyDescent="0.3">
      <c r="B249" s="39"/>
      <c r="C249" s="45"/>
      <c r="D249" s="43"/>
      <c r="E249" s="46"/>
      <c r="F249" s="39"/>
      <c r="G249" s="40"/>
      <c r="H249" s="43"/>
      <c r="I249" s="42"/>
      <c r="J249" s="42"/>
      <c r="L249" s="44"/>
    </row>
    <row r="250" spans="2:12" ht="14.4" x14ac:dyDescent="0.3">
      <c r="B250" s="39"/>
      <c r="C250" s="45"/>
      <c r="D250" s="43"/>
      <c r="E250" s="46"/>
      <c r="F250" s="39"/>
      <c r="G250" s="40"/>
      <c r="H250" s="43"/>
      <c r="I250" s="42"/>
      <c r="J250" s="42"/>
      <c r="L250" s="44"/>
    </row>
    <row r="251" spans="2:12" ht="14.4" x14ac:dyDescent="0.3">
      <c r="B251" s="39"/>
      <c r="C251" s="45"/>
      <c r="D251" s="43"/>
      <c r="E251" s="46"/>
      <c r="F251" s="39"/>
      <c r="G251" s="40"/>
      <c r="H251" s="43"/>
      <c r="I251" s="42"/>
      <c r="J251" s="42"/>
      <c r="L251" s="44"/>
    </row>
    <row r="252" spans="2:12" ht="14.4" x14ac:dyDescent="0.3">
      <c r="B252" s="39"/>
      <c r="C252" s="45"/>
      <c r="D252" s="43"/>
      <c r="E252" s="46"/>
      <c r="F252" s="39"/>
      <c r="G252" s="40"/>
      <c r="H252" s="43"/>
      <c r="I252" s="42"/>
      <c r="J252" s="42"/>
      <c r="L252" s="44"/>
    </row>
    <row r="253" spans="2:12" ht="14.4" x14ac:dyDescent="0.3">
      <c r="B253" s="39"/>
      <c r="C253" s="45"/>
      <c r="D253" s="43"/>
      <c r="E253" s="46"/>
      <c r="F253" s="39"/>
      <c r="G253" s="40"/>
      <c r="H253" s="43"/>
      <c r="I253" s="42"/>
      <c r="J253" s="42"/>
      <c r="L253" s="44"/>
    </row>
    <row r="254" spans="2:12" ht="14.4" x14ac:dyDescent="0.3">
      <c r="B254" s="39"/>
      <c r="C254" s="45"/>
      <c r="D254" s="43"/>
      <c r="E254" s="46"/>
      <c r="F254" s="39"/>
      <c r="G254" s="40"/>
      <c r="H254" s="43"/>
      <c r="I254" s="42"/>
      <c r="J254" s="42"/>
      <c r="L254" s="44"/>
    </row>
    <row r="255" spans="2:12" ht="14.4" x14ac:dyDescent="0.3">
      <c r="B255" s="39"/>
      <c r="C255" s="45"/>
      <c r="D255" s="43"/>
      <c r="E255" s="46"/>
      <c r="F255" s="39"/>
      <c r="G255" s="40"/>
      <c r="H255" s="43"/>
      <c r="I255" s="42"/>
      <c r="J255" s="42"/>
      <c r="L255" s="44"/>
    </row>
    <row r="256" spans="2:12" ht="14.4" x14ac:dyDescent="0.3">
      <c r="B256" s="39"/>
      <c r="C256" s="45"/>
      <c r="D256" s="43"/>
      <c r="E256" s="46"/>
      <c r="F256" s="39"/>
      <c r="G256" s="40"/>
      <c r="H256" s="43"/>
      <c r="I256" s="42"/>
      <c r="J256" s="42"/>
      <c r="L256" s="44"/>
    </row>
    <row r="257" spans="2:12" ht="14.4" x14ac:dyDescent="0.3">
      <c r="B257" s="39"/>
      <c r="C257" s="45"/>
      <c r="D257" s="43"/>
      <c r="E257" s="46"/>
      <c r="F257" s="39"/>
      <c r="G257" s="40"/>
      <c r="H257" s="43"/>
      <c r="I257" s="42"/>
      <c r="J257" s="42"/>
      <c r="L257" s="44"/>
    </row>
    <row r="258" spans="2:12" ht="14.4" x14ac:dyDescent="0.3">
      <c r="B258" s="39"/>
      <c r="C258" s="45"/>
      <c r="D258" s="43"/>
      <c r="E258" s="46"/>
      <c r="F258" s="39"/>
      <c r="G258" s="40"/>
      <c r="H258" s="43"/>
      <c r="I258" s="42"/>
      <c r="J258" s="42"/>
      <c r="L258" s="44"/>
    </row>
    <row r="259" spans="2:12" ht="14.4" x14ac:dyDescent="0.3">
      <c r="B259" s="39"/>
      <c r="C259" s="45"/>
      <c r="D259" s="43"/>
      <c r="E259" s="46"/>
      <c r="F259" s="39"/>
      <c r="G259" s="40"/>
      <c r="H259" s="43"/>
      <c r="I259" s="42"/>
      <c r="J259" s="42"/>
      <c r="L259" s="44"/>
    </row>
    <row r="260" spans="2:12" ht="14.4" x14ac:dyDescent="0.3">
      <c r="B260" s="39"/>
      <c r="C260" s="45"/>
      <c r="D260" s="43"/>
      <c r="E260" s="46"/>
      <c r="F260" s="39"/>
      <c r="G260" s="40"/>
      <c r="H260" s="43"/>
      <c r="I260" s="42"/>
      <c r="J260" s="42"/>
      <c r="L260" s="44"/>
    </row>
    <row r="261" spans="2:12" ht="14.4" x14ac:dyDescent="0.3">
      <c r="B261" s="39"/>
      <c r="C261" s="45"/>
      <c r="D261" s="43"/>
      <c r="E261" s="46"/>
      <c r="F261" s="39"/>
      <c r="G261" s="40"/>
      <c r="H261" s="43"/>
      <c r="I261" s="42"/>
      <c r="J261" s="42"/>
      <c r="L261" s="44"/>
    </row>
    <row r="262" spans="2:12" ht="14.4" x14ac:dyDescent="0.3">
      <c r="B262" s="39"/>
      <c r="C262" s="45"/>
      <c r="D262" s="43"/>
      <c r="E262" s="46"/>
      <c r="F262" s="39"/>
      <c r="G262" s="40"/>
      <c r="H262" s="43"/>
      <c r="I262" s="42"/>
      <c r="J262" s="42"/>
      <c r="L262" s="44"/>
    </row>
    <row r="263" spans="2:12" ht="14.4" x14ac:dyDescent="0.3">
      <c r="B263" s="39"/>
      <c r="C263" s="45"/>
      <c r="D263" s="43"/>
      <c r="E263" s="46"/>
      <c r="F263" s="39"/>
      <c r="G263" s="40"/>
      <c r="H263" s="43"/>
      <c r="I263" s="42"/>
      <c r="J263" s="42"/>
      <c r="L263" s="44"/>
    </row>
    <row r="264" spans="2:12" ht="14.4" x14ac:dyDescent="0.3">
      <c r="B264" s="39"/>
      <c r="C264" s="45"/>
      <c r="D264" s="43"/>
      <c r="E264" s="46"/>
      <c r="F264" s="39"/>
      <c r="G264" s="40"/>
      <c r="H264" s="43"/>
      <c r="I264" s="42"/>
      <c r="J264" s="42"/>
      <c r="L264" s="44"/>
    </row>
    <row r="265" spans="2:12" ht="14.4" x14ac:dyDescent="0.3">
      <c r="B265" s="39"/>
      <c r="C265" s="45"/>
      <c r="D265" s="43"/>
      <c r="E265" s="46"/>
      <c r="F265" s="39"/>
      <c r="G265" s="40"/>
      <c r="H265" s="43"/>
      <c r="I265" s="42"/>
      <c r="J265" s="42"/>
      <c r="L265" s="44"/>
    </row>
    <row r="266" spans="2:12" ht="14.4" x14ac:dyDescent="0.3">
      <c r="B266" s="39"/>
      <c r="C266" s="45"/>
      <c r="D266" s="43"/>
      <c r="E266" s="46"/>
      <c r="F266" s="39"/>
      <c r="G266" s="40"/>
      <c r="H266" s="43"/>
      <c r="I266" s="42"/>
      <c r="J266" s="42"/>
      <c r="L266" s="44"/>
    </row>
    <row r="267" spans="2:12" ht="14.4" x14ac:dyDescent="0.3">
      <c r="B267" s="39"/>
      <c r="C267" s="45"/>
      <c r="D267" s="43"/>
      <c r="E267" s="46"/>
      <c r="F267" s="39"/>
      <c r="G267" s="40"/>
      <c r="H267" s="43"/>
      <c r="I267" s="42"/>
      <c r="J267" s="42"/>
      <c r="L267" s="44"/>
    </row>
    <row r="268" spans="2:12" ht="14.4" x14ac:dyDescent="0.3">
      <c r="B268" s="39"/>
      <c r="C268" s="45"/>
      <c r="D268" s="43"/>
      <c r="E268" s="46"/>
      <c r="F268" s="39"/>
      <c r="G268" s="40"/>
      <c r="H268" s="43"/>
      <c r="I268" s="42"/>
      <c r="J268" s="42"/>
      <c r="L268" s="44"/>
    </row>
    <row r="269" spans="2:12" ht="14.4" x14ac:dyDescent="0.3">
      <c r="B269" s="39"/>
      <c r="C269" s="45"/>
      <c r="D269" s="43"/>
      <c r="E269" s="46"/>
      <c r="F269" s="39"/>
      <c r="G269" s="40"/>
      <c r="H269" s="43"/>
      <c r="I269" s="42"/>
      <c r="J269" s="42"/>
      <c r="L269" s="44"/>
    </row>
    <row r="270" spans="2:12" ht="14.4" x14ac:dyDescent="0.3">
      <c r="B270" s="39"/>
      <c r="C270" s="45"/>
      <c r="D270" s="43"/>
      <c r="E270" s="46"/>
      <c r="F270" s="39"/>
      <c r="G270" s="40"/>
      <c r="H270" s="43"/>
      <c r="I270" s="42"/>
      <c r="J270" s="42"/>
      <c r="L270" s="44"/>
    </row>
    <row r="271" spans="2:12" ht="14.4" x14ac:dyDescent="0.3">
      <c r="B271" s="39"/>
      <c r="C271" s="45"/>
      <c r="D271" s="43"/>
      <c r="E271" s="46"/>
      <c r="F271" s="39"/>
      <c r="G271" s="40"/>
      <c r="H271" s="43"/>
      <c r="I271" s="42"/>
      <c r="L271" s="44"/>
    </row>
    <row r="272" spans="2:12" ht="14.4" x14ac:dyDescent="0.3">
      <c r="B272" s="39"/>
      <c r="C272" s="45"/>
      <c r="D272" s="43"/>
      <c r="E272" s="46"/>
      <c r="F272" s="39"/>
      <c r="G272" s="40"/>
      <c r="H272" s="43"/>
      <c r="I272" s="42"/>
      <c r="L272" s="44"/>
    </row>
    <row r="273" spans="2:12" ht="14.4" x14ac:dyDescent="0.3">
      <c r="B273" s="39"/>
      <c r="C273" s="45"/>
      <c r="D273" s="43"/>
      <c r="E273" s="46"/>
      <c r="F273" s="39"/>
      <c r="G273" s="40"/>
      <c r="H273" s="43"/>
      <c r="I273" s="42"/>
      <c r="L273" s="44"/>
    </row>
    <row r="274" spans="2:12" ht="14.4" x14ac:dyDescent="0.3">
      <c r="B274" s="39"/>
      <c r="C274" s="45"/>
      <c r="D274" s="43"/>
      <c r="E274" s="46"/>
      <c r="F274" s="39"/>
      <c r="G274" s="40"/>
      <c r="H274" s="43"/>
      <c r="I274" s="42"/>
      <c r="J274" s="42"/>
      <c r="L274" s="44"/>
    </row>
    <row r="275" spans="2:12" ht="14.4" x14ac:dyDescent="0.3">
      <c r="B275" s="39"/>
      <c r="C275" s="45"/>
      <c r="D275" s="43"/>
      <c r="E275" s="46"/>
      <c r="F275" s="39"/>
      <c r="G275" s="40"/>
      <c r="H275" s="43"/>
      <c r="I275" s="42"/>
      <c r="J275" s="42"/>
      <c r="L275" s="44"/>
    </row>
    <row r="276" spans="2:12" ht="14.4" x14ac:dyDescent="0.3">
      <c r="B276" s="39"/>
      <c r="C276" s="45"/>
      <c r="D276" s="43"/>
      <c r="E276" s="46"/>
      <c r="F276" s="39"/>
      <c r="G276" s="40"/>
      <c r="H276" s="43"/>
      <c r="I276" s="42"/>
      <c r="J276" s="42"/>
      <c r="L276" s="44"/>
    </row>
    <row r="277" spans="2:12" ht="14.4" x14ac:dyDescent="0.3">
      <c r="B277" s="39"/>
      <c r="C277" s="45"/>
      <c r="D277" s="43"/>
      <c r="E277" s="46"/>
      <c r="F277" s="39"/>
      <c r="G277" s="40"/>
      <c r="H277" s="43"/>
      <c r="I277" s="42"/>
      <c r="L277" s="44"/>
    </row>
    <row r="278" spans="2:12" ht="14.4" x14ac:dyDescent="0.3">
      <c r="B278" s="39"/>
      <c r="C278" s="45"/>
      <c r="D278" s="43"/>
      <c r="E278" s="46"/>
      <c r="F278" s="39"/>
      <c r="G278" s="40"/>
      <c r="H278" s="43"/>
      <c r="L278" s="44"/>
    </row>
    <row r="279" spans="2:12" ht="14.4" x14ac:dyDescent="0.3">
      <c r="B279" s="39"/>
      <c r="C279" s="45"/>
      <c r="D279" s="43"/>
      <c r="E279" s="46"/>
      <c r="F279" s="39"/>
      <c r="G279" s="40"/>
      <c r="H279" s="43"/>
      <c r="I279" s="42"/>
      <c r="L279" s="44"/>
    </row>
    <row r="280" spans="2:12" ht="14.4" x14ac:dyDescent="0.3">
      <c r="B280" s="39"/>
      <c r="C280" s="45"/>
      <c r="D280" s="43"/>
      <c r="E280" s="46"/>
      <c r="F280" s="39"/>
      <c r="G280" s="40"/>
      <c r="H280" s="43"/>
      <c r="I280" s="42"/>
      <c r="L280" s="44"/>
    </row>
    <row r="281" spans="2:12" ht="14.4" x14ac:dyDescent="0.3">
      <c r="B281" s="39"/>
      <c r="C281" s="45"/>
      <c r="D281" s="43"/>
      <c r="E281" s="46"/>
      <c r="F281" s="39"/>
      <c r="G281" s="40"/>
      <c r="H281" s="43"/>
      <c r="I281" s="42"/>
      <c r="L281" s="44"/>
    </row>
    <row r="282" spans="2:12" ht="14.4" x14ac:dyDescent="0.3">
      <c r="B282" s="39"/>
      <c r="C282" s="45"/>
      <c r="D282" s="43"/>
      <c r="E282" s="46"/>
      <c r="F282" s="39"/>
      <c r="G282" s="40"/>
      <c r="H282" s="43"/>
      <c r="I282" s="42"/>
      <c r="J282" s="42"/>
      <c r="L282" s="44"/>
    </row>
    <row r="283" spans="2:12" ht="14.4" x14ac:dyDescent="0.3">
      <c r="B283" s="39"/>
      <c r="C283" s="45"/>
      <c r="D283" s="43"/>
      <c r="E283" s="46"/>
      <c r="F283" s="39"/>
      <c r="G283" s="40"/>
      <c r="H283" s="43"/>
      <c r="I283" s="42"/>
      <c r="J283" s="42"/>
      <c r="L283" s="44"/>
    </row>
    <row r="284" spans="2:12" ht="14.4" x14ac:dyDescent="0.3">
      <c r="B284" s="39"/>
      <c r="C284" s="45"/>
      <c r="D284" s="43"/>
      <c r="E284" s="46"/>
      <c r="F284" s="39"/>
      <c r="G284" s="40"/>
      <c r="H284" s="43"/>
      <c r="I284" s="42"/>
      <c r="J284" s="42"/>
      <c r="L284" s="44"/>
    </row>
    <row r="285" spans="2:12" ht="14.4" x14ac:dyDescent="0.3">
      <c r="B285" s="39"/>
      <c r="C285" s="45"/>
      <c r="D285" s="43"/>
      <c r="E285" s="46"/>
      <c r="F285" s="39"/>
      <c r="G285" s="40"/>
      <c r="H285" s="43"/>
      <c r="I285" s="42"/>
      <c r="J285" s="42"/>
      <c r="L285" s="44"/>
    </row>
    <row r="286" spans="2:12" ht="14.4" x14ac:dyDescent="0.3">
      <c r="B286" s="39"/>
      <c r="C286" s="45"/>
      <c r="D286" s="43"/>
      <c r="E286" s="46"/>
      <c r="F286" s="39"/>
      <c r="G286" s="40"/>
      <c r="H286" s="43"/>
      <c r="I286" s="42"/>
      <c r="J286" s="42"/>
      <c r="L286" s="44"/>
    </row>
    <row r="287" spans="2:12" ht="14.4" x14ac:dyDescent="0.3">
      <c r="B287" s="39"/>
      <c r="C287" s="45"/>
      <c r="D287" s="43"/>
      <c r="E287" s="46"/>
      <c r="F287" s="39"/>
      <c r="G287" s="40"/>
      <c r="H287" s="43"/>
      <c r="I287" s="42"/>
      <c r="J287" s="42"/>
      <c r="L287" s="44"/>
    </row>
    <row r="288" spans="2:12" ht="14.4" x14ac:dyDescent="0.3">
      <c r="B288" s="39"/>
      <c r="C288" s="45"/>
      <c r="D288" s="43"/>
      <c r="E288" s="46"/>
      <c r="F288" s="39"/>
      <c r="G288" s="40"/>
      <c r="H288" s="43"/>
      <c r="I288" s="42"/>
      <c r="J288" s="42"/>
      <c r="L288" s="44"/>
    </row>
    <row r="289" spans="2:12" ht="14.4" x14ac:dyDescent="0.3">
      <c r="B289" s="39"/>
      <c r="C289" s="45"/>
      <c r="D289" s="43"/>
      <c r="E289" s="46"/>
      <c r="F289" s="39"/>
      <c r="G289" s="40"/>
      <c r="H289" s="43"/>
      <c r="I289" s="42"/>
      <c r="L289" s="44"/>
    </row>
    <row r="290" spans="2:12" ht="14.4" x14ac:dyDescent="0.3">
      <c r="B290" s="39"/>
      <c r="C290" s="45"/>
      <c r="D290" s="43"/>
      <c r="E290" s="46"/>
      <c r="F290" s="39"/>
      <c r="G290" s="40"/>
      <c r="H290" s="43"/>
      <c r="I290" s="42"/>
      <c r="L290" s="44"/>
    </row>
    <row r="291" spans="2:12" ht="14.4" x14ac:dyDescent="0.3">
      <c r="B291" s="39"/>
      <c r="C291" s="45"/>
      <c r="D291" s="43"/>
      <c r="E291" s="46"/>
      <c r="F291" s="39"/>
      <c r="G291" s="40"/>
      <c r="H291" s="43"/>
      <c r="I291" s="42"/>
      <c r="L291" s="44"/>
    </row>
    <row r="292" spans="2:12" ht="14.4" x14ac:dyDescent="0.3">
      <c r="B292" s="39"/>
      <c r="C292" s="45"/>
      <c r="D292" s="43"/>
      <c r="E292" s="46"/>
      <c r="F292" s="39"/>
      <c r="G292" s="40"/>
      <c r="H292" s="43"/>
      <c r="I292" s="42"/>
      <c r="J292" s="42"/>
      <c r="L292" s="44"/>
    </row>
    <row r="293" spans="2:12" ht="14.4" x14ac:dyDescent="0.3">
      <c r="B293" s="39"/>
      <c r="C293" s="45"/>
      <c r="D293" s="43"/>
      <c r="E293" s="46"/>
      <c r="F293" s="39"/>
      <c r="G293" s="40"/>
      <c r="H293" s="43"/>
      <c r="I293" s="42"/>
      <c r="J293" s="42"/>
      <c r="L293" s="44"/>
    </row>
    <row r="294" spans="2:12" ht="14.4" x14ac:dyDescent="0.3">
      <c r="B294" s="39"/>
      <c r="C294" s="45"/>
      <c r="D294" s="43"/>
      <c r="E294" s="46"/>
      <c r="F294" s="39"/>
      <c r="G294" s="40"/>
      <c r="H294" s="43"/>
      <c r="I294" s="42"/>
      <c r="J294" s="42"/>
      <c r="L294" s="44"/>
    </row>
    <row r="295" spans="2:12" ht="14.4" x14ac:dyDescent="0.3">
      <c r="B295" s="39"/>
      <c r="C295" s="45"/>
      <c r="D295" s="43"/>
      <c r="E295" s="46"/>
      <c r="F295" s="39"/>
      <c r="G295" s="40"/>
      <c r="H295" s="43"/>
      <c r="I295" s="42"/>
      <c r="J295" s="42"/>
      <c r="L295" s="44"/>
    </row>
    <row r="296" spans="2:12" ht="14.4" x14ac:dyDescent="0.3">
      <c r="B296" s="39"/>
      <c r="C296" s="45"/>
      <c r="D296" s="43"/>
      <c r="E296" s="46"/>
      <c r="F296" s="39"/>
      <c r="G296" s="40"/>
      <c r="H296" s="43"/>
      <c r="I296" s="42"/>
      <c r="J296" s="42"/>
      <c r="L296" s="44"/>
    </row>
    <row r="297" spans="2:12" ht="14.4" x14ac:dyDescent="0.3">
      <c r="B297" s="39"/>
      <c r="C297" s="45"/>
      <c r="D297" s="43"/>
      <c r="E297" s="46"/>
      <c r="F297" s="39"/>
      <c r="G297" s="40"/>
      <c r="H297" s="43"/>
      <c r="I297" s="42"/>
      <c r="J297" s="42"/>
      <c r="L297" s="44"/>
    </row>
    <row r="298" spans="2:12" ht="14.4" x14ac:dyDescent="0.3">
      <c r="B298" s="39"/>
      <c r="C298" s="45"/>
      <c r="D298" s="43"/>
      <c r="E298" s="46"/>
      <c r="F298" s="39"/>
      <c r="G298" s="40"/>
      <c r="H298" s="43"/>
      <c r="I298" s="42"/>
      <c r="J298" s="42"/>
      <c r="L298" s="44"/>
    </row>
    <row r="299" spans="2:12" ht="14.4" x14ac:dyDescent="0.3">
      <c r="B299" s="39"/>
      <c r="C299" s="45"/>
      <c r="D299" s="43"/>
      <c r="E299" s="46"/>
      <c r="F299" s="39"/>
      <c r="G299" s="40"/>
      <c r="H299" s="43"/>
      <c r="I299" s="42"/>
      <c r="J299" s="42"/>
      <c r="L299" s="44"/>
    </row>
    <row r="300" spans="2:12" ht="14.4" x14ac:dyDescent="0.3">
      <c r="B300" s="39"/>
      <c r="C300" s="45"/>
      <c r="D300" s="43"/>
      <c r="E300" s="46"/>
      <c r="F300" s="39"/>
      <c r="G300" s="40"/>
      <c r="H300" s="43"/>
      <c r="I300" s="42"/>
      <c r="J300" s="42"/>
      <c r="L300" s="44"/>
    </row>
    <row r="301" spans="2:12" ht="14.4" x14ac:dyDescent="0.3">
      <c r="B301" s="39"/>
      <c r="C301" s="45"/>
      <c r="D301" s="43"/>
      <c r="E301" s="46"/>
      <c r="F301" s="39"/>
      <c r="G301" s="40"/>
      <c r="H301" s="43"/>
      <c r="I301" s="42"/>
      <c r="J301" s="42"/>
      <c r="L301" s="44"/>
    </row>
    <row r="302" spans="2:12" ht="14.4" x14ac:dyDescent="0.3">
      <c r="B302" s="39"/>
      <c r="C302" s="45"/>
      <c r="D302" s="43"/>
      <c r="E302" s="46"/>
      <c r="F302" s="39"/>
      <c r="G302" s="40"/>
      <c r="H302" s="43"/>
      <c r="I302" s="42"/>
      <c r="J302" s="42"/>
      <c r="L302" s="44"/>
    </row>
    <row r="303" spans="2:12" ht="14.4" x14ac:dyDescent="0.3">
      <c r="B303" s="39"/>
      <c r="C303" s="45"/>
      <c r="D303" s="43"/>
      <c r="E303" s="46"/>
      <c r="F303" s="39"/>
      <c r="G303" s="40"/>
      <c r="H303" s="43"/>
      <c r="I303" s="42"/>
      <c r="J303" s="42"/>
      <c r="L303" s="44"/>
    </row>
    <row r="304" spans="2:12" ht="14.4" x14ac:dyDescent="0.3">
      <c r="B304" s="39"/>
      <c r="C304" s="45"/>
      <c r="D304" s="43"/>
      <c r="E304" s="46"/>
      <c r="F304" s="39"/>
      <c r="G304" s="40"/>
      <c r="H304" s="43"/>
      <c r="I304" s="42"/>
      <c r="J304" s="42"/>
      <c r="L304" s="44"/>
    </row>
    <row r="305" spans="2:12" ht="14.4" x14ac:dyDescent="0.3">
      <c r="B305" s="39"/>
      <c r="C305" s="45"/>
      <c r="D305" s="43"/>
      <c r="E305" s="46"/>
      <c r="F305" s="39"/>
      <c r="G305" s="40"/>
      <c r="H305" s="43"/>
      <c r="I305" s="42"/>
      <c r="J305" s="42"/>
      <c r="L305" s="44"/>
    </row>
    <row r="306" spans="2:12" ht="14.4" x14ac:dyDescent="0.3">
      <c r="B306" s="39"/>
      <c r="C306" s="45"/>
      <c r="D306" s="43"/>
      <c r="E306" s="46"/>
      <c r="F306" s="39"/>
      <c r="G306" s="40"/>
      <c r="H306" s="43"/>
      <c r="I306" s="42"/>
      <c r="J306" s="42"/>
      <c r="L306" s="44"/>
    </row>
    <row r="307" spans="2:12" ht="14.4" x14ac:dyDescent="0.3">
      <c r="B307" s="39"/>
      <c r="C307" s="45"/>
      <c r="D307" s="43"/>
      <c r="E307" s="46"/>
      <c r="F307" s="39"/>
      <c r="G307" s="40"/>
      <c r="H307" s="43"/>
      <c r="I307" s="42"/>
      <c r="J307" s="42"/>
      <c r="L307" s="44"/>
    </row>
    <row r="308" spans="2:12" ht="14.4" x14ac:dyDescent="0.3">
      <c r="B308" s="39"/>
      <c r="C308" s="45"/>
      <c r="D308" s="43"/>
      <c r="E308" s="46"/>
      <c r="F308" s="39"/>
      <c r="G308" s="40"/>
      <c r="H308" s="43"/>
      <c r="I308" s="42"/>
      <c r="J308" s="42"/>
      <c r="L308" s="44"/>
    </row>
    <row r="309" spans="2:12" ht="14.4" x14ac:dyDescent="0.3">
      <c r="B309" s="39"/>
      <c r="C309" s="45"/>
      <c r="D309" s="43"/>
      <c r="E309" s="46"/>
      <c r="F309" s="39"/>
      <c r="G309" s="40"/>
      <c r="H309" s="43"/>
      <c r="I309" s="42"/>
      <c r="J309" s="42"/>
      <c r="L309" s="44"/>
    </row>
    <row r="310" spans="2:12" ht="14.4" x14ac:dyDescent="0.3">
      <c r="B310" s="39"/>
      <c r="C310" s="45"/>
      <c r="D310" s="43"/>
      <c r="E310" s="46"/>
      <c r="F310" s="39"/>
      <c r="G310" s="40"/>
      <c r="H310" s="43"/>
      <c r="I310" s="42"/>
      <c r="J310" s="42"/>
      <c r="L310" s="44"/>
    </row>
    <row r="311" spans="2:12" ht="14.4" x14ac:dyDescent="0.3">
      <c r="B311" s="39"/>
      <c r="C311" s="45"/>
      <c r="D311" s="43"/>
      <c r="E311" s="46"/>
      <c r="F311" s="39"/>
      <c r="G311" s="40"/>
      <c r="H311" s="43"/>
      <c r="I311" s="42"/>
      <c r="J311" s="42"/>
      <c r="L311" s="44"/>
    </row>
    <row r="312" spans="2:12" ht="14.4" x14ac:dyDescent="0.3">
      <c r="B312" s="39"/>
      <c r="C312" s="45"/>
      <c r="D312" s="43"/>
      <c r="E312" s="46"/>
      <c r="F312" s="39"/>
      <c r="G312" s="40"/>
      <c r="H312" s="43"/>
      <c r="I312" s="42"/>
      <c r="J312" s="42"/>
      <c r="L312" s="44"/>
    </row>
    <row r="313" spans="2:12" ht="14.4" x14ac:dyDescent="0.3">
      <c r="B313" s="39"/>
      <c r="C313" s="45"/>
      <c r="D313" s="43"/>
      <c r="E313" s="46"/>
      <c r="F313" s="39"/>
      <c r="G313" s="40"/>
      <c r="H313" s="43"/>
      <c r="I313" s="42"/>
      <c r="J313" s="42"/>
      <c r="L313" s="44"/>
    </row>
    <row r="314" spans="2:12" ht="14.4" x14ac:dyDescent="0.3">
      <c r="B314" s="39"/>
      <c r="C314" s="45"/>
      <c r="D314" s="43"/>
      <c r="E314" s="46"/>
      <c r="F314" s="39"/>
      <c r="G314" s="40"/>
      <c r="H314" s="43"/>
      <c r="I314" s="42"/>
      <c r="J314" s="42"/>
      <c r="L314" s="44"/>
    </row>
    <row r="315" spans="2:12" ht="14.4" x14ac:dyDescent="0.3">
      <c r="B315" s="39"/>
      <c r="C315" s="45"/>
      <c r="D315" s="43"/>
      <c r="E315" s="46"/>
      <c r="F315" s="39"/>
      <c r="G315" s="40"/>
      <c r="H315" s="43"/>
      <c r="I315" s="42"/>
      <c r="J315" s="42"/>
      <c r="L315" s="44"/>
    </row>
    <row r="316" spans="2:12" ht="14.4" x14ac:dyDescent="0.3">
      <c r="B316" s="39"/>
      <c r="C316" s="45"/>
      <c r="D316" s="43"/>
      <c r="E316" s="46"/>
      <c r="F316" s="39"/>
      <c r="G316" s="40"/>
      <c r="H316" s="43"/>
      <c r="I316" s="42"/>
      <c r="J316" s="42"/>
      <c r="L316" s="44"/>
    </row>
    <row r="317" spans="2:12" ht="14.4" x14ac:dyDescent="0.3">
      <c r="B317" s="39"/>
      <c r="C317" s="45"/>
      <c r="D317" s="43"/>
      <c r="E317" s="46"/>
      <c r="F317" s="39"/>
      <c r="G317" s="40"/>
      <c r="H317" s="43"/>
      <c r="I317" s="42"/>
      <c r="J317" s="42"/>
      <c r="L317" s="44"/>
    </row>
    <row r="318" spans="2:12" ht="14.4" x14ac:dyDescent="0.3">
      <c r="B318" s="39"/>
      <c r="C318" s="45"/>
      <c r="D318" s="43"/>
      <c r="E318" s="46"/>
      <c r="F318" s="39"/>
      <c r="G318" s="40"/>
      <c r="H318" s="43"/>
      <c r="I318" s="42"/>
      <c r="J318" s="42"/>
      <c r="L318" s="44"/>
    </row>
    <row r="319" spans="2:12" ht="14.4" x14ac:dyDescent="0.3">
      <c r="B319" s="39"/>
      <c r="C319" s="45"/>
      <c r="D319" s="43"/>
      <c r="E319" s="46"/>
      <c r="F319" s="39"/>
      <c r="G319" s="40"/>
      <c r="H319" s="43"/>
      <c r="I319" s="42"/>
      <c r="L319" s="44"/>
    </row>
    <row r="320" spans="2:12" ht="14.4" x14ac:dyDescent="0.3">
      <c r="B320" s="39"/>
      <c r="C320" s="45"/>
      <c r="D320" s="43"/>
      <c r="E320" s="46"/>
      <c r="F320" s="39"/>
      <c r="G320" s="40"/>
      <c r="H320" s="43"/>
      <c r="I320" s="42"/>
      <c r="L320" s="44"/>
    </row>
    <row r="321" spans="2:12" ht="14.4" x14ac:dyDescent="0.3">
      <c r="B321" s="39"/>
      <c r="C321" s="45"/>
      <c r="D321" s="43"/>
      <c r="E321" s="46"/>
      <c r="F321" s="39"/>
      <c r="G321" s="40"/>
      <c r="H321" s="43"/>
      <c r="I321" s="42"/>
      <c r="L321" s="44"/>
    </row>
    <row r="322" spans="2:12" ht="14.4" x14ac:dyDescent="0.3">
      <c r="B322" s="39"/>
      <c r="C322" s="45"/>
      <c r="D322" s="43"/>
      <c r="E322" s="46"/>
      <c r="F322" s="39"/>
      <c r="G322" s="40"/>
      <c r="H322" s="43"/>
      <c r="L322" s="44"/>
    </row>
    <row r="323" spans="2:12" ht="14.4" x14ac:dyDescent="0.3">
      <c r="B323" s="39"/>
      <c r="C323" s="45"/>
      <c r="D323" s="43"/>
      <c r="E323" s="46"/>
      <c r="F323" s="39"/>
      <c r="G323" s="40"/>
      <c r="H323" s="43"/>
      <c r="I323" s="42"/>
      <c r="L323" s="44"/>
    </row>
    <row r="324" spans="2:12" ht="14.4" x14ac:dyDescent="0.3">
      <c r="B324" s="39"/>
      <c r="C324" s="45"/>
      <c r="D324" s="43"/>
      <c r="E324" s="46"/>
      <c r="F324" s="39"/>
      <c r="G324" s="40"/>
      <c r="H324" s="43"/>
      <c r="L324" s="44"/>
    </row>
    <row r="325" spans="2:12" ht="14.4" x14ac:dyDescent="0.3">
      <c r="B325" s="39"/>
      <c r="C325" s="45"/>
      <c r="D325" s="43"/>
      <c r="E325" s="46"/>
      <c r="F325" s="39"/>
      <c r="G325" s="40"/>
      <c r="H325" s="43"/>
      <c r="L325" s="44"/>
    </row>
    <row r="326" spans="2:12" ht="14.4" x14ac:dyDescent="0.3">
      <c r="B326" s="39"/>
      <c r="C326" s="45"/>
      <c r="D326" s="43"/>
      <c r="E326" s="46"/>
      <c r="F326" s="39"/>
      <c r="G326" s="40"/>
      <c r="H326" s="43"/>
      <c r="L326" s="44"/>
    </row>
    <row r="327" spans="2:12" ht="14.4" x14ac:dyDescent="0.3">
      <c r="B327" s="39"/>
      <c r="C327" s="45"/>
      <c r="D327" s="43"/>
      <c r="E327" s="46"/>
      <c r="F327" s="39"/>
      <c r="G327" s="40"/>
      <c r="H327" s="43"/>
      <c r="L327" s="44"/>
    </row>
    <row r="328" spans="2:12" ht="14.4" x14ac:dyDescent="0.3">
      <c r="B328" s="39"/>
      <c r="C328" s="45"/>
      <c r="D328" s="43"/>
      <c r="E328" s="46"/>
      <c r="F328" s="39"/>
      <c r="G328" s="40"/>
      <c r="H328" s="43"/>
      <c r="L328" s="44"/>
    </row>
    <row r="329" spans="2:12" ht="14.4" x14ac:dyDescent="0.3">
      <c r="B329" s="39"/>
      <c r="C329" s="45"/>
      <c r="D329" s="43"/>
      <c r="E329" s="46"/>
      <c r="F329" s="39"/>
      <c r="G329" s="40"/>
      <c r="H329" s="43"/>
      <c r="I329" s="42"/>
      <c r="L329" s="44"/>
    </row>
    <row r="330" spans="2:12" ht="14.4" x14ac:dyDescent="0.3">
      <c r="B330" s="39"/>
      <c r="C330" s="45"/>
      <c r="D330" s="43"/>
      <c r="E330" s="46"/>
      <c r="F330" s="39"/>
      <c r="G330" s="40"/>
      <c r="H330" s="43"/>
      <c r="I330" s="42"/>
      <c r="L330" s="44"/>
    </row>
    <row r="331" spans="2:12" ht="14.4" x14ac:dyDescent="0.3">
      <c r="B331" s="39"/>
      <c r="C331" s="45"/>
      <c r="D331" s="43"/>
      <c r="E331" s="46"/>
      <c r="F331" s="39"/>
      <c r="G331" s="40"/>
      <c r="H331" s="43"/>
      <c r="I331" s="42"/>
      <c r="J331" s="42"/>
      <c r="L331" s="44"/>
    </row>
    <row r="332" spans="2:12" ht="14.4" x14ac:dyDescent="0.3">
      <c r="B332" s="39"/>
      <c r="C332" s="45"/>
      <c r="D332" s="43"/>
      <c r="E332" s="46"/>
      <c r="F332" s="39"/>
      <c r="G332" s="40"/>
      <c r="H332" s="43"/>
      <c r="I332" s="42"/>
      <c r="J332" s="42"/>
      <c r="L332" s="44"/>
    </row>
    <row r="333" spans="2:12" ht="14.4" x14ac:dyDescent="0.3">
      <c r="B333" s="39"/>
      <c r="C333" s="45"/>
      <c r="D333" s="43"/>
      <c r="E333" s="46"/>
      <c r="F333" s="39"/>
      <c r="G333" s="40"/>
      <c r="H333" s="43"/>
      <c r="I333" s="42"/>
      <c r="J333" s="42"/>
      <c r="L333" s="44"/>
    </row>
    <row r="334" spans="2:12" ht="14.4" x14ac:dyDescent="0.3">
      <c r="B334" s="39"/>
      <c r="C334" s="45"/>
      <c r="D334" s="43"/>
      <c r="E334" s="46"/>
      <c r="F334" s="39"/>
      <c r="G334" s="40"/>
      <c r="H334" s="43"/>
      <c r="I334" s="42"/>
      <c r="L334" s="44"/>
    </row>
    <row r="335" spans="2:12" ht="14.4" x14ac:dyDescent="0.3">
      <c r="B335" s="39"/>
      <c r="C335" s="45"/>
      <c r="D335" s="43"/>
      <c r="E335" s="46"/>
      <c r="F335" s="39"/>
      <c r="G335" s="40"/>
      <c r="H335" s="43"/>
      <c r="I335" s="42"/>
      <c r="L335" s="44"/>
    </row>
    <row r="336" spans="2:12" ht="14.4" x14ac:dyDescent="0.3">
      <c r="B336" s="39"/>
      <c r="C336" s="45"/>
      <c r="D336" s="43"/>
      <c r="E336" s="46"/>
      <c r="F336" s="39"/>
      <c r="G336" s="40"/>
      <c r="H336" s="43"/>
      <c r="I336" s="42"/>
      <c r="L336" s="44"/>
    </row>
    <row r="337" spans="2:12" ht="14.4" x14ac:dyDescent="0.3">
      <c r="B337" s="39"/>
      <c r="C337" s="45"/>
      <c r="D337" s="43"/>
      <c r="E337" s="46"/>
      <c r="F337" s="39"/>
      <c r="G337" s="40"/>
      <c r="H337" s="43"/>
      <c r="I337" s="42"/>
      <c r="L337" s="44"/>
    </row>
    <row r="338" spans="2:12" ht="14.4" x14ac:dyDescent="0.3">
      <c r="B338" s="39"/>
      <c r="C338" s="45"/>
      <c r="D338" s="43"/>
      <c r="E338" s="46"/>
      <c r="F338" s="39"/>
      <c r="G338" s="40"/>
      <c r="H338" s="43"/>
      <c r="I338" s="42"/>
      <c r="J338" s="42"/>
      <c r="L338" s="44"/>
    </row>
    <row r="339" spans="2:12" ht="14.4" x14ac:dyDescent="0.3">
      <c r="B339" s="39"/>
      <c r="C339" s="45"/>
      <c r="D339" s="43"/>
      <c r="E339" s="46"/>
      <c r="F339" s="39"/>
      <c r="G339" s="40"/>
      <c r="H339" s="43"/>
      <c r="I339" s="42"/>
      <c r="J339" s="42"/>
      <c r="L339" s="44"/>
    </row>
    <row r="340" spans="2:12" ht="14.4" x14ac:dyDescent="0.3">
      <c r="B340" s="39"/>
      <c r="C340" s="45"/>
      <c r="D340" s="43"/>
      <c r="E340" s="46"/>
      <c r="F340" s="39"/>
      <c r="G340" s="40"/>
      <c r="H340" s="43"/>
      <c r="I340" s="42"/>
      <c r="J340" s="42"/>
      <c r="L340" s="44"/>
    </row>
    <row r="341" spans="2:12" ht="14.4" x14ac:dyDescent="0.3">
      <c r="B341" s="39"/>
      <c r="C341" s="45"/>
      <c r="D341" s="43"/>
      <c r="E341" s="46"/>
      <c r="F341" s="39"/>
      <c r="G341" s="40"/>
      <c r="H341" s="43"/>
      <c r="I341" s="42"/>
      <c r="J341" s="42"/>
      <c r="L341" s="44"/>
    </row>
    <row r="342" spans="2:12" ht="14.4" x14ac:dyDescent="0.3">
      <c r="B342" s="39"/>
      <c r="C342" s="45"/>
      <c r="D342" s="43"/>
      <c r="E342" s="46"/>
      <c r="F342" s="39"/>
      <c r="G342" s="40"/>
      <c r="H342" s="43"/>
      <c r="I342" s="42"/>
      <c r="J342" s="42"/>
      <c r="L342" s="44"/>
    </row>
    <row r="343" spans="2:12" ht="14.4" x14ac:dyDescent="0.3">
      <c r="B343" s="39"/>
      <c r="C343" s="45"/>
      <c r="D343" s="43"/>
      <c r="E343" s="46"/>
      <c r="F343" s="39"/>
      <c r="G343" s="40"/>
      <c r="H343" s="43"/>
      <c r="I343" s="42"/>
      <c r="J343" s="42"/>
      <c r="L343" s="44"/>
    </row>
    <row r="344" spans="2:12" ht="14.4" x14ac:dyDescent="0.3">
      <c r="B344" s="39"/>
      <c r="C344" s="45"/>
      <c r="D344" s="43"/>
      <c r="E344" s="46"/>
      <c r="F344" s="39"/>
      <c r="G344" s="40"/>
      <c r="H344" s="43"/>
      <c r="I344" s="42"/>
      <c r="L344" s="44"/>
    </row>
    <row r="345" spans="2:12" ht="14.4" x14ac:dyDescent="0.3">
      <c r="B345" s="39"/>
      <c r="C345" s="45"/>
      <c r="D345" s="43"/>
      <c r="E345" s="46"/>
      <c r="F345" s="39"/>
      <c r="G345" s="40"/>
      <c r="H345" s="43"/>
      <c r="I345" s="42"/>
      <c r="L345" s="44"/>
    </row>
    <row r="346" spans="2:12" ht="14.4" x14ac:dyDescent="0.3">
      <c r="B346" s="39"/>
      <c r="C346" s="45"/>
      <c r="D346" s="43"/>
      <c r="E346" s="46"/>
      <c r="F346" s="39"/>
      <c r="G346" s="40"/>
      <c r="H346" s="43"/>
      <c r="I346" s="42"/>
      <c r="L346" s="44"/>
    </row>
    <row r="347" spans="2:12" ht="14.4" x14ac:dyDescent="0.3">
      <c r="B347" s="39"/>
      <c r="C347" s="45"/>
      <c r="D347" s="43"/>
      <c r="E347" s="46"/>
      <c r="F347" s="39"/>
      <c r="G347" s="40"/>
      <c r="H347" s="43"/>
      <c r="I347" s="42"/>
      <c r="L347" s="44"/>
    </row>
    <row r="348" spans="2:12" ht="14.4" x14ac:dyDescent="0.3">
      <c r="B348" s="39"/>
      <c r="C348" s="45"/>
      <c r="D348" s="43"/>
      <c r="E348" s="46"/>
      <c r="F348" s="39"/>
      <c r="G348" s="40"/>
      <c r="H348" s="43"/>
      <c r="L348" s="44"/>
    </row>
    <row r="349" spans="2:12" ht="14.4" x14ac:dyDescent="0.3">
      <c r="B349" s="39"/>
      <c r="C349" s="45"/>
      <c r="D349" s="43"/>
      <c r="E349" s="46"/>
      <c r="F349" s="39"/>
      <c r="G349" s="40"/>
      <c r="H349" s="43"/>
      <c r="L349" s="44"/>
    </row>
    <row r="350" spans="2:12" ht="14.4" x14ac:dyDescent="0.3">
      <c r="B350" s="39"/>
      <c r="C350" s="45"/>
      <c r="D350" s="43"/>
      <c r="E350" s="46"/>
      <c r="F350" s="39"/>
      <c r="G350" s="40"/>
      <c r="H350" s="43"/>
      <c r="L350" s="44"/>
    </row>
    <row r="351" spans="2:12" ht="14.4" x14ac:dyDescent="0.3">
      <c r="B351" s="39"/>
      <c r="C351" s="45"/>
      <c r="D351" s="43"/>
      <c r="E351" s="46"/>
      <c r="F351" s="39"/>
      <c r="G351" s="40"/>
      <c r="H351" s="43"/>
      <c r="I351" s="42"/>
      <c r="L351" s="44"/>
    </row>
    <row r="352" spans="2:12" ht="14.4" x14ac:dyDescent="0.3">
      <c r="B352" s="39"/>
      <c r="C352" s="45"/>
      <c r="D352" s="43"/>
      <c r="E352" s="46"/>
      <c r="F352" s="39"/>
      <c r="G352" s="40"/>
      <c r="H352" s="43"/>
      <c r="I352" s="42"/>
      <c r="L352" s="44"/>
    </row>
    <row r="353" spans="2:12" ht="14.4" x14ac:dyDescent="0.3">
      <c r="B353" s="39"/>
      <c r="C353" s="45"/>
      <c r="D353" s="43"/>
      <c r="E353" s="46"/>
      <c r="F353" s="39"/>
      <c r="G353" s="40"/>
      <c r="H353" s="43"/>
      <c r="I353" s="42"/>
      <c r="L353" s="44"/>
    </row>
    <row r="354" spans="2:12" ht="14.4" x14ac:dyDescent="0.3">
      <c r="B354" s="39"/>
      <c r="C354" s="45"/>
      <c r="D354" s="43"/>
      <c r="E354" s="46"/>
      <c r="F354" s="39"/>
      <c r="G354" s="40"/>
      <c r="H354" s="43"/>
      <c r="I354" s="42"/>
      <c r="J354" s="42"/>
      <c r="L354" s="44"/>
    </row>
    <row r="355" spans="2:12" ht="14.4" x14ac:dyDescent="0.3">
      <c r="B355" s="39"/>
      <c r="C355" s="45"/>
      <c r="D355" s="43"/>
      <c r="E355" s="46"/>
      <c r="F355" s="39"/>
      <c r="G355" s="40"/>
      <c r="H355" s="43"/>
      <c r="I355" s="42"/>
      <c r="J355" s="42"/>
      <c r="L355" s="44"/>
    </row>
    <row r="356" spans="2:12" ht="14.4" x14ac:dyDescent="0.3">
      <c r="B356" s="39"/>
      <c r="C356" s="45"/>
      <c r="D356" s="43"/>
      <c r="E356" s="46"/>
      <c r="F356" s="39"/>
      <c r="G356" s="40"/>
      <c r="H356" s="43"/>
      <c r="I356" s="42"/>
      <c r="L356" s="44"/>
    </row>
    <row r="357" spans="2:12" ht="14.4" x14ac:dyDescent="0.3">
      <c r="B357" s="39"/>
      <c r="C357" s="45"/>
      <c r="D357" s="43"/>
      <c r="E357" s="46"/>
      <c r="F357" s="39"/>
      <c r="G357" s="40"/>
      <c r="H357" s="43"/>
      <c r="I357" s="42"/>
      <c r="L357" s="44"/>
    </row>
    <row r="358" spans="2:12" ht="14.4" x14ac:dyDescent="0.3">
      <c r="B358" s="39"/>
      <c r="C358" s="45"/>
      <c r="D358" s="43"/>
      <c r="E358" s="46"/>
      <c r="F358" s="39"/>
      <c r="G358" s="40"/>
      <c r="H358" s="43"/>
      <c r="I358" s="42"/>
      <c r="L358" s="44"/>
    </row>
    <row r="359" spans="2:12" ht="14.4" x14ac:dyDescent="0.3">
      <c r="B359" s="39"/>
      <c r="C359" s="45"/>
      <c r="D359" s="43"/>
      <c r="E359" s="46"/>
      <c r="F359" s="39"/>
      <c r="G359" s="40"/>
      <c r="H359" s="43"/>
      <c r="L359" s="44"/>
    </row>
    <row r="360" spans="2:12" ht="14.4" x14ac:dyDescent="0.3">
      <c r="B360" s="39"/>
      <c r="C360" s="45"/>
      <c r="D360" s="43"/>
      <c r="E360" s="46"/>
      <c r="F360" s="39"/>
      <c r="G360" s="40"/>
      <c r="H360" s="43"/>
      <c r="L360" s="44"/>
    </row>
    <row r="361" spans="2:12" ht="14.4" x14ac:dyDescent="0.3">
      <c r="B361" s="39"/>
      <c r="C361" s="45"/>
      <c r="D361" s="43"/>
      <c r="E361" s="46"/>
      <c r="F361" s="46"/>
      <c r="G361" s="46"/>
      <c r="H361" s="47"/>
    </row>
    <row r="362" spans="2:12" ht="14.4" x14ac:dyDescent="0.3">
      <c r="B362" s="39"/>
      <c r="C362" s="45"/>
      <c r="D362" s="43"/>
      <c r="E362" s="46"/>
      <c r="F362" s="46"/>
      <c r="G362" s="46"/>
      <c r="H362" s="47"/>
    </row>
    <row r="363" spans="2:12" ht="14.4" x14ac:dyDescent="0.3">
      <c r="B363" s="39"/>
      <c r="C363" s="45"/>
      <c r="D363" s="43"/>
      <c r="E363" s="46"/>
      <c r="F363" s="46"/>
      <c r="G363" s="46"/>
      <c r="H363" s="47"/>
    </row>
    <row r="364" spans="2:12" ht="14.4" x14ac:dyDescent="0.3">
      <c r="B364" s="39"/>
      <c r="C364" s="45"/>
      <c r="D364" s="43"/>
      <c r="E364" s="46"/>
      <c r="F364" s="46"/>
      <c r="G364" s="46"/>
      <c r="H364" s="48"/>
    </row>
    <row r="365" spans="2:12" ht="14.4" x14ac:dyDescent="0.3">
      <c r="B365" s="39"/>
      <c r="C365" s="45"/>
      <c r="D365" s="43"/>
      <c r="E365" s="46"/>
      <c r="F365" s="46"/>
      <c r="G365" s="46"/>
      <c r="H365" s="47"/>
    </row>
    <row r="366" spans="2:12" ht="14.4" x14ac:dyDescent="0.3">
      <c r="B366" s="39"/>
      <c r="C366" s="45"/>
      <c r="D366" s="43"/>
      <c r="E366" s="46"/>
      <c r="F366" s="46"/>
      <c r="G366" s="46"/>
      <c r="H366" s="47"/>
    </row>
    <row r="367" spans="2:12" ht="14.4" x14ac:dyDescent="0.3">
      <c r="B367" s="39"/>
      <c r="C367" s="45"/>
      <c r="D367" s="43"/>
      <c r="E367" s="46"/>
      <c r="F367" s="46"/>
      <c r="G367" s="46"/>
      <c r="H367" s="48"/>
    </row>
    <row r="368" spans="2:12" ht="14.4" x14ac:dyDescent="0.3">
      <c r="B368" s="39"/>
      <c r="C368" s="45"/>
      <c r="D368" s="43"/>
      <c r="E368" s="46"/>
      <c r="F368" s="46"/>
      <c r="G368" s="46"/>
      <c r="H368" s="47"/>
    </row>
    <row r="369" spans="2:8" ht="14.4" x14ac:dyDescent="0.3">
      <c r="B369" s="39"/>
      <c r="C369" s="45"/>
      <c r="D369" s="43"/>
      <c r="E369" s="46"/>
      <c r="F369" s="46"/>
      <c r="G369" s="46"/>
      <c r="H369" s="48"/>
    </row>
    <row r="370" spans="2:8" ht="14.4" x14ac:dyDescent="0.3">
      <c r="B370" s="39"/>
      <c r="C370" s="45"/>
      <c r="D370" s="43"/>
      <c r="E370" s="46"/>
      <c r="F370" s="46"/>
      <c r="G370" s="46"/>
      <c r="H370" s="48"/>
    </row>
    <row r="371" spans="2:8" ht="14.4" x14ac:dyDescent="0.3">
      <c r="B371" s="39"/>
      <c r="C371" s="45"/>
      <c r="D371" s="43"/>
      <c r="E371" s="46"/>
      <c r="F371" s="46"/>
      <c r="G371" s="46"/>
      <c r="H371" s="47"/>
    </row>
    <row r="372" spans="2:8" ht="14.4" x14ac:dyDescent="0.3">
      <c r="B372" s="39"/>
      <c r="C372" s="45"/>
      <c r="D372" s="43"/>
      <c r="E372" s="46"/>
      <c r="F372" s="46"/>
      <c r="G372" s="46"/>
      <c r="H372" s="47"/>
    </row>
  </sheetData>
  <hyperlinks>
    <hyperlink ref="B7" location="Dashboard!A1" display="&lt;-Back to dashboard" xr:uid="{B4CAAB1B-CA15-40FD-B4A5-1531F055AD2A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DE337-656A-46C9-8BDE-DC1FB398E8E9}">
  <dimension ref="B2:O39"/>
  <sheetViews>
    <sheetView showGridLines="0" zoomScaleNormal="100" workbookViewId="0">
      <selection activeCell="G7" sqref="G7"/>
    </sheetView>
  </sheetViews>
  <sheetFormatPr defaultRowHeight="13.8" x14ac:dyDescent="0.3"/>
  <cols>
    <col min="1" max="1" width="1.88671875" style="10" customWidth="1"/>
    <col min="2" max="4" width="8.88671875" style="10"/>
    <col min="5" max="5" width="12.33203125" style="10" customWidth="1"/>
    <col min="6" max="6" width="4" style="10" customWidth="1"/>
    <col min="7" max="11" width="11.109375" style="10" customWidth="1"/>
    <col min="12" max="16384" width="8.88671875" style="10"/>
  </cols>
  <sheetData>
    <row r="2" spans="2:15" x14ac:dyDescent="0.3">
      <c r="B2" s="7" t="str">
        <f>Dashboard!B2</f>
        <v>Denny's Diner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</row>
    <row r="3" spans="2:15" x14ac:dyDescent="0.3">
      <c r="B3" s="7" t="s">
        <v>476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</row>
    <row r="4" spans="2:15" x14ac:dyDescent="0.3">
      <c r="B4" s="64" t="str">
        <f>Dashboard!B4</f>
        <v>(In $ thousands, except per share amounts)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</row>
    <row r="5" spans="2:15" x14ac:dyDescent="0.3">
      <c r="B5" s="7" t="s">
        <v>37</v>
      </c>
      <c r="C5" s="19"/>
      <c r="D5" s="7" t="str">
        <f>Dashboard!G13</f>
        <v>Street</v>
      </c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</row>
    <row r="7" spans="2:15" x14ac:dyDescent="0.3">
      <c r="B7" s="65" t="s">
        <v>45</v>
      </c>
    </row>
    <row r="8" spans="2:15" x14ac:dyDescent="0.3">
      <c r="B8" s="65"/>
    </row>
    <row r="9" spans="2:15" x14ac:dyDescent="0.3">
      <c r="B9" s="13" t="s">
        <v>56</v>
      </c>
    </row>
    <row r="10" spans="2:15" ht="7.2" customHeight="1" x14ac:dyDescent="0.3">
      <c r="B10" s="13"/>
    </row>
    <row r="11" spans="2:15" x14ac:dyDescent="0.3">
      <c r="B11" s="360" t="s">
        <v>57</v>
      </c>
      <c r="C11" s="361"/>
      <c r="D11" s="362"/>
      <c r="E11" s="57">
        <v>46016</v>
      </c>
      <c r="G11" s="10" t="s">
        <v>475</v>
      </c>
      <c r="I11" s="333">
        <f ca="1">G39</f>
        <v>8.7223596857049337</v>
      </c>
    </row>
    <row r="12" spans="2:15" x14ac:dyDescent="0.3">
      <c r="B12" s="360" t="s">
        <v>58</v>
      </c>
      <c r="C12" s="361"/>
      <c r="D12" s="362"/>
      <c r="E12" s="57">
        <v>46022</v>
      </c>
      <c r="G12" s="10" t="s">
        <v>473</v>
      </c>
      <c r="I12" s="333">
        <f>Comp_Trad!D21</f>
        <v>6.25</v>
      </c>
    </row>
    <row r="13" spans="2:15" x14ac:dyDescent="0.3">
      <c r="B13" s="54" t="s">
        <v>70</v>
      </c>
      <c r="C13" s="55"/>
      <c r="D13" s="56"/>
      <c r="E13" s="58">
        <f>WACC!E20</f>
        <v>0.25</v>
      </c>
      <c r="G13" s="10" t="s">
        <v>474</v>
      </c>
      <c r="I13" s="99">
        <f ca="1">I12/I11-1</f>
        <v>-0.28345078336506591</v>
      </c>
    </row>
    <row r="14" spans="2:15" x14ac:dyDescent="0.3">
      <c r="B14" s="360" t="s">
        <v>71</v>
      </c>
      <c r="C14" s="361"/>
      <c r="D14" s="362"/>
      <c r="E14" s="58">
        <f ca="1">WACC!G30</f>
        <v>8.2402991923352834E-2</v>
      </c>
    </row>
    <row r="15" spans="2:15" x14ac:dyDescent="0.3">
      <c r="B15" s="360" t="s">
        <v>72</v>
      </c>
      <c r="C15" s="361"/>
      <c r="D15" s="362"/>
      <c r="E15" s="58">
        <v>0.02</v>
      </c>
    </row>
    <row r="17" spans="2:14" x14ac:dyDescent="0.3">
      <c r="B17" s="59" t="s">
        <v>55</v>
      </c>
      <c r="C17" s="59"/>
      <c r="D17" s="59"/>
      <c r="E17" s="59"/>
      <c r="F17" s="59"/>
      <c r="G17" s="330">
        <f>Statements!J7</f>
        <v>46016</v>
      </c>
      <c r="H17" s="330">
        <f t="shared" ref="H17:K17" si="0">EDATE(G17,12)</f>
        <v>46381</v>
      </c>
      <c r="I17" s="330">
        <f t="shared" si="0"/>
        <v>46746</v>
      </c>
      <c r="J17" s="330">
        <f t="shared" si="0"/>
        <v>47112</v>
      </c>
      <c r="K17" s="330">
        <f t="shared" si="0"/>
        <v>47477</v>
      </c>
    </row>
    <row r="18" spans="2:14" ht="5.4" customHeight="1" x14ac:dyDescent="0.3"/>
    <row r="19" spans="2:14" x14ac:dyDescent="0.3">
      <c r="B19" s="111" t="s">
        <v>49</v>
      </c>
      <c r="G19" s="38">
        <f ca="1">Statements!J36</f>
        <v>56609.887643605878</v>
      </c>
      <c r="H19" s="38">
        <f ca="1">Statements!K36</f>
        <v>54749.777189851797</v>
      </c>
      <c r="I19" s="38">
        <f ca="1">Statements!L36</f>
        <v>50837.643427786184</v>
      </c>
      <c r="J19" s="38">
        <f ca="1">Statements!M36</f>
        <v>50578.488253976975</v>
      </c>
      <c r="K19" s="38">
        <f ca="1">Statements!N36</f>
        <v>47530.660455846111</v>
      </c>
    </row>
    <row r="20" spans="2:14" x14ac:dyDescent="0.3">
      <c r="B20" s="111" t="s">
        <v>69</v>
      </c>
      <c r="G20" s="60">
        <f>$E$13</f>
        <v>0.25</v>
      </c>
      <c r="H20" s="60">
        <f t="shared" ref="H20:K20" si="1">$E$13</f>
        <v>0.25</v>
      </c>
      <c r="I20" s="60">
        <f t="shared" si="1"/>
        <v>0.25</v>
      </c>
      <c r="J20" s="60">
        <f t="shared" si="1"/>
        <v>0.25</v>
      </c>
      <c r="K20" s="60">
        <f t="shared" si="1"/>
        <v>0.25</v>
      </c>
    </row>
    <row r="21" spans="2:14" x14ac:dyDescent="0.3">
      <c r="B21" s="111" t="s">
        <v>50</v>
      </c>
      <c r="G21" s="38">
        <f ca="1">G19*G20</f>
        <v>14152.47191090147</v>
      </c>
      <c r="H21" s="38">
        <f t="shared" ref="H21:K21" ca="1" si="2">H19*H20</f>
        <v>13687.444297462949</v>
      </c>
      <c r="I21" s="38">
        <f t="shared" ca="1" si="2"/>
        <v>12709.410856946546</v>
      </c>
      <c r="J21" s="38">
        <f t="shared" ca="1" si="2"/>
        <v>12644.622063494244</v>
      </c>
      <c r="K21" s="38">
        <f t="shared" ca="1" si="2"/>
        <v>11882.665113961528</v>
      </c>
    </row>
    <row r="22" spans="2:14" x14ac:dyDescent="0.3">
      <c r="B22" s="93" t="s">
        <v>51</v>
      </c>
      <c r="G22" s="122">
        <f ca="1">G19-G21</f>
        <v>42457.415732704409</v>
      </c>
      <c r="H22" s="122">
        <f t="shared" ref="H22:K22" ca="1" si="3">H19-H21</f>
        <v>41062.332892388848</v>
      </c>
      <c r="I22" s="122">
        <f t="shared" ca="1" si="3"/>
        <v>38128.232570839638</v>
      </c>
      <c r="J22" s="122">
        <f t="shared" ca="1" si="3"/>
        <v>37933.866190482731</v>
      </c>
      <c r="K22" s="122">
        <f t="shared" ca="1" si="3"/>
        <v>35647.995341884583</v>
      </c>
    </row>
    <row r="23" spans="2:14" x14ac:dyDescent="0.3">
      <c r="B23" s="31"/>
      <c r="G23" s="62"/>
      <c r="H23" s="62"/>
      <c r="I23" s="62"/>
      <c r="J23" s="62"/>
      <c r="K23" s="62"/>
    </row>
    <row r="24" spans="2:14" x14ac:dyDescent="0.3">
      <c r="B24" s="10" t="s">
        <v>52</v>
      </c>
      <c r="G24" s="38">
        <f ca="1">Statements!J103</f>
        <v>13724.576657638916</v>
      </c>
      <c r="H24" s="38">
        <f ca="1">Statements!K103</f>
        <v>13914.684419788182</v>
      </c>
      <c r="I24" s="38">
        <f ca="1">Statements!L103</f>
        <v>14602.521047936578</v>
      </c>
      <c r="J24" s="38">
        <f ca="1">Statements!M103</f>
        <v>15365.381207057684</v>
      </c>
      <c r="K24" s="38">
        <f ca="1">Statements!N103</f>
        <v>16163.077366366026</v>
      </c>
    </row>
    <row r="25" spans="2:14" x14ac:dyDescent="0.3">
      <c r="B25" s="10" t="s">
        <v>330</v>
      </c>
      <c r="G25" s="38">
        <f ca="1">Statements!J104</f>
        <v>7699.8803616067371</v>
      </c>
      <c r="H25" s="38">
        <f ca="1">Statements!K104</f>
        <v>9677.7861783957069</v>
      </c>
      <c r="I25" s="38">
        <f ca="1">Statements!L104</f>
        <v>9816.0015309019054</v>
      </c>
      <c r="J25" s="38">
        <f ca="1">Statements!M104</f>
        <v>9548.1705196975872</v>
      </c>
      <c r="K25" s="38">
        <f ca="1">Statements!N104</f>
        <v>9903.2566338306951</v>
      </c>
      <c r="N25" s="10" t="s">
        <v>478</v>
      </c>
    </row>
    <row r="26" spans="2:14" x14ac:dyDescent="0.3">
      <c r="B26" s="10" t="s">
        <v>53</v>
      </c>
      <c r="G26" s="38">
        <f ca="1">SUM(Statements!J107,Statements!J108,Statements!J110)</f>
        <v>-340.66133519551545</v>
      </c>
      <c r="H26" s="38">
        <f ca="1">SUM(Statements!K107,Statements!K108,Statements!K110)</f>
        <v>129.63285156335996</v>
      </c>
      <c r="I26" s="38">
        <f ca="1">SUM(Statements!L107,Statements!L108,Statements!L110)</f>
        <v>225.44901842352351</v>
      </c>
      <c r="J26" s="38">
        <f ca="1">SUM(Statements!M107,Statements!M108,Statements!M110)</f>
        <v>85.482171006407043</v>
      </c>
      <c r="K26" s="38">
        <f ca="1">SUM(Statements!N107,Statements!N108,Statements!N110)</f>
        <v>251.29206165019195</v>
      </c>
    </row>
    <row r="27" spans="2:14" x14ac:dyDescent="0.3">
      <c r="B27" s="10" t="s">
        <v>54</v>
      </c>
      <c r="G27" s="38">
        <f ca="1">(Statements!J115+Statements!J117+Statements!J118)</f>
        <v>-5483.868542010332</v>
      </c>
      <c r="H27" s="38">
        <f ca="1">(Statements!K115+Statements!K117+Statements!K118)</f>
        <v>-12291.533444561122</v>
      </c>
      <c r="I27" s="38">
        <f ca="1">(Statements!L115+Statements!L117+Statements!L118)</f>
        <v>-17627.567635210347</v>
      </c>
      <c r="J27" s="38">
        <f ca="1">(Statements!M115+Statements!M117+Statements!M118)</f>
        <v>-15755.101468561941</v>
      </c>
      <c r="K27" s="38">
        <f ca="1">(Statements!N115+Statements!N117+Statements!N118)</f>
        <v>-19470.125889216637</v>
      </c>
    </row>
    <row r="28" spans="2:14" x14ac:dyDescent="0.3">
      <c r="B28" s="93" t="s">
        <v>477</v>
      </c>
      <c r="G28" s="122">
        <f ca="1">SUM(G22:G27)</f>
        <v>58057.342874744209</v>
      </c>
      <c r="H28" s="122">
        <f ca="1">SUM(H22:H27)</f>
        <v>52492.902897574968</v>
      </c>
      <c r="I28" s="122">
        <f ca="1">SUM(I22:I27)</f>
        <v>45144.636532891302</v>
      </c>
      <c r="J28" s="122">
        <f ca="1">SUM(J22:J27)</f>
        <v>47177.798619682464</v>
      </c>
      <c r="K28" s="122">
        <f ca="1">SUM(K22:K27)</f>
        <v>42495.495514514856</v>
      </c>
    </row>
    <row r="30" spans="2:14" x14ac:dyDescent="0.3">
      <c r="B30" s="10" t="s">
        <v>467</v>
      </c>
      <c r="G30" s="326">
        <f>(E12-E11)/(365/2)</f>
        <v>3.287671232876712E-2</v>
      </c>
      <c r="H30" s="326">
        <f>G30+1</f>
        <v>1.0328767123287672</v>
      </c>
      <c r="I30" s="326">
        <f t="shared" ref="I30:K30" si="4">H30+1</f>
        <v>2.0328767123287674</v>
      </c>
      <c r="J30" s="326">
        <f t="shared" si="4"/>
        <v>3.0328767123287674</v>
      </c>
      <c r="K30" s="326">
        <f t="shared" si="4"/>
        <v>4.0328767123287674</v>
      </c>
    </row>
    <row r="31" spans="2:14" x14ac:dyDescent="0.3">
      <c r="B31" s="10" t="s">
        <v>468</v>
      </c>
      <c r="K31" s="38">
        <f ca="1">K28*(1+terminal_growth)/(wacc-terminal_growth)</f>
        <v>694604.60290180694</v>
      </c>
    </row>
    <row r="32" spans="2:14" x14ac:dyDescent="0.3">
      <c r="B32" s="10" t="s">
        <v>469</v>
      </c>
      <c r="G32" s="331">
        <f ca="1">G28/(1+wacc)^G30</f>
        <v>57906.399034231814</v>
      </c>
      <c r="H32" s="331">
        <f ca="1">H28/(1+wacc)^H30</f>
        <v>48370.548204691404</v>
      </c>
      <c r="I32" s="331">
        <f ca="1">I28/(1+wacc)^I30</f>
        <v>38432.407976300514</v>
      </c>
      <c r="J32" s="331">
        <f ca="1">J28/(1+wacc)^J30</f>
        <v>37105.656801871206</v>
      </c>
      <c r="K32" s="331">
        <f ca="1">(K28+K31)/(1+wacc)^K30</f>
        <v>535599.22048658435</v>
      </c>
    </row>
    <row r="33" spans="2:7" x14ac:dyDescent="0.3">
      <c r="B33" s="31" t="s">
        <v>287</v>
      </c>
      <c r="C33" s="31"/>
      <c r="D33" s="31"/>
      <c r="E33" s="31"/>
      <c r="F33" s="31"/>
      <c r="G33" s="62">
        <f ca="1">SUM(G32:K32)</f>
        <v>717414.23250367935</v>
      </c>
    </row>
    <row r="34" spans="2:7" x14ac:dyDescent="0.3">
      <c r="B34" s="10" t="s">
        <v>61</v>
      </c>
      <c r="G34" s="38">
        <f>Statements!I55</f>
        <v>1698</v>
      </c>
    </row>
    <row r="35" spans="2:7" ht="14.4" customHeight="1" x14ac:dyDescent="0.3">
      <c r="B35" s="10" t="s">
        <v>470</v>
      </c>
      <c r="G35" s="38">
        <f>Statements!I56</f>
        <v>1106</v>
      </c>
    </row>
    <row r="36" spans="2:7" x14ac:dyDescent="0.3">
      <c r="B36" s="10" t="s">
        <v>60</v>
      </c>
      <c r="G36" s="38">
        <f>-Statements!I79</f>
        <v>-261300</v>
      </c>
    </row>
    <row r="37" spans="2:7" x14ac:dyDescent="0.3">
      <c r="B37" s="31" t="s">
        <v>284</v>
      </c>
      <c r="C37" s="31"/>
      <c r="D37" s="31"/>
      <c r="E37" s="31"/>
      <c r="F37" s="31"/>
      <c r="G37" s="122">
        <f ca="1">SUM(G33:G36)</f>
        <v>458918.23250367935</v>
      </c>
    </row>
    <row r="38" spans="2:7" x14ac:dyDescent="0.3">
      <c r="B38" s="10" t="s">
        <v>471</v>
      </c>
      <c r="G38" s="334">
        <f>Statements!I49</f>
        <v>52614</v>
      </c>
    </row>
    <row r="39" spans="2:7" x14ac:dyDescent="0.3">
      <c r="B39" s="31" t="s">
        <v>472</v>
      </c>
      <c r="C39" s="31"/>
      <c r="D39" s="31"/>
      <c r="E39" s="31"/>
      <c r="F39" s="31"/>
      <c r="G39" s="332">
        <f ca="1">G37/G38</f>
        <v>8.7223596857049337</v>
      </c>
    </row>
  </sheetData>
  <mergeCells count="4">
    <mergeCell ref="B11:D11"/>
    <mergeCell ref="B12:D12"/>
    <mergeCell ref="B14:D14"/>
    <mergeCell ref="B15:D15"/>
  </mergeCells>
  <hyperlinks>
    <hyperlink ref="B7" location="Dashboard!A1" display="&lt;-Back to dashboard" xr:uid="{F062D85C-EB45-4F30-96FC-9A66AA255C6E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7A9B7-66C3-42AF-9350-0FEF495C7C06}">
  <dimension ref="A2:AG179"/>
  <sheetViews>
    <sheetView showGridLines="0" zoomScale="85" zoomScaleNormal="85" workbookViewId="0">
      <selection activeCell="O5" sqref="O5"/>
    </sheetView>
  </sheetViews>
  <sheetFormatPr defaultRowHeight="14.4" x14ac:dyDescent="0.3"/>
  <cols>
    <col min="1" max="1" width="1.88671875" customWidth="1"/>
    <col min="6" max="6" width="11" customWidth="1"/>
    <col min="8" max="8" width="11.109375" bestFit="1" customWidth="1"/>
    <col min="12" max="12" width="11.109375" bestFit="1" customWidth="1"/>
    <col min="22" max="32" width="12.109375" customWidth="1"/>
  </cols>
  <sheetData>
    <row r="2" spans="2:32" ht="15.6" x14ac:dyDescent="0.3">
      <c r="B2" s="16" t="str">
        <f>Dashboard!B2</f>
        <v>Denny's Diner</v>
      </c>
      <c r="C2" s="17"/>
      <c r="D2" s="17"/>
      <c r="E2" s="17"/>
      <c r="F2" s="17"/>
      <c r="G2" s="17"/>
      <c r="H2" s="17"/>
      <c r="I2" s="17"/>
      <c r="J2" s="17"/>
      <c r="K2" s="17"/>
      <c r="L2" s="17"/>
      <c r="Q2" s="173"/>
      <c r="T2" s="175"/>
    </row>
    <row r="3" spans="2:32" x14ac:dyDescent="0.3">
      <c r="B3" s="49" t="s">
        <v>332</v>
      </c>
      <c r="C3" s="17"/>
      <c r="D3" s="17"/>
      <c r="E3" s="17"/>
      <c r="F3" s="17"/>
      <c r="G3" s="17"/>
      <c r="H3" s="17"/>
      <c r="I3" s="17"/>
      <c r="J3" s="17"/>
      <c r="K3" s="17"/>
      <c r="L3" s="17"/>
      <c r="Q3" s="173"/>
      <c r="T3" s="175"/>
    </row>
    <row r="4" spans="2:32" x14ac:dyDescent="0.3">
      <c r="B4" s="64" t="str">
        <f>Dashboard!B4</f>
        <v>(In $ thousands, except per share amounts)</v>
      </c>
      <c r="C4" s="17"/>
      <c r="D4" s="17"/>
      <c r="E4" s="17"/>
      <c r="F4" s="17"/>
      <c r="G4" s="17"/>
      <c r="H4" s="17"/>
      <c r="I4" s="17"/>
      <c r="J4" s="17"/>
      <c r="K4" s="17"/>
      <c r="L4" s="17"/>
    </row>
    <row r="5" spans="2:32" x14ac:dyDescent="0.3">
      <c r="Q5" s="173" t="s">
        <v>392</v>
      </c>
      <c r="T5" s="265">
        <f ca="1">Y38</f>
        <v>2265.5068459356553</v>
      </c>
    </row>
    <row r="6" spans="2:32" x14ac:dyDescent="0.3">
      <c r="B6" s="198" t="s">
        <v>418</v>
      </c>
      <c r="Q6" s="173" t="s">
        <v>391</v>
      </c>
      <c r="T6" s="265">
        <v>-2000</v>
      </c>
    </row>
    <row r="8" spans="2:32" x14ac:dyDescent="0.3">
      <c r="B8" s="177" t="s">
        <v>333</v>
      </c>
      <c r="C8" s="178"/>
      <c r="D8" s="178"/>
      <c r="E8" s="178"/>
      <c r="F8" s="178"/>
      <c r="G8" s="178"/>
      <c r="H8" s="178"/>
      <c r="I8" s="178"/>
      <c r="J8" s="178"/>
      <c r="K8" s="178"/>
      <c r="L8" s="179"/>
      <c r="Q8" s="366" t="s">
        <v>415</v>
      </c>
      <c r="R8" s="367"/>
      <c r="S8" s="367"/>
      <c r="T8" s="186"/>
      <c r="U8" s="187"/>
      <c r="V8" s="370" t="s">
        <v>389</v>
      </c>
      <c r="W8" s="370"/>
      <c r="X8" s="370"/>
      <c r="Y8" s="371"/>
      <c r="Z8" s="370" t="s">
        <v>390</v>
      </c>
      <c r="AA8" s="370"/>
      <c r="AB8" s="370"/>
      <c r="AC8" s="372" t="s">
        <v>2</v>
      </c>
      <c r="AD8" s="363"/>
      <c r="AE8" s="363"/>
      <c r="AF8" s="363"/>
    </row>
    <row r="9" spans="2:32" x14ac:dyDescent="0.3">
      <c r="Q9" s="368"/>
      <c r="R9" s="369"/>
      <c r="S9" s="369"/>
      <c r="T9" s="188"/>
      <c r="U9" s="189"/>
      <c r="V9" s="182">
        <v>44920</v>
      </c>
      <c r="W9" s="182">
        <v>45285</v>
      </c>
      <c r="X9" s="182">
        <v>45651</v>
      </c>
      <c r="Y9" s="191">
        <v>46016</v>
      </c>
      <c r="Z9" s="182" t="s">
        <v>385</v>
      </c>
      <c r="AA9" s="182" t="s">
        <v>386</v>
      </c>
      <c r="AB9" s="182">
        <v>46016</v>
      </c>
      <c r="AC9" s="192">
        <v>46381</v>
      </c>
      <c r="AD9" s="183">
        <v>46746</v>
      </c>
      <c r="AE9" s="183">
        <v>47112</v>
      </c>
      <c r="AF9" s="183">
        <v>47477</v>
      </c>
    </row>
    <row r="10" spans="2:32" x14ac:dyDescent="0.3">
      <c r="B10" s="173" t="s">
        <v>334</v>
      </c>
      <c r="C10" s="173"/>
      <c r="D10" s="173"/>
      <c r="E10" s="173"/>
      <c r="F10" s="266">
        <v>4.1100000000000003</v>
      </c>
      <c r="H10" t="s">
        <v>338</v>
      </c>
      <c r="L10" s="174">
        <f>F23</f>
        <v>328690.18080000003</v>
      </c>
      <c r="Z10" s="193"/>
      <c r="AB10" s="194"/>
    </row>
    <row r="11" spans="2:32" x14ac:dyDescent="0.3">
      <c r="B11" t="s">
        <v>335</v>
      </c>
      <c r="F11" s="267">
        <v>0.52</v>
      </c>
      <c r="H11" t="s">
        <v>339</v>
      </c>
      <c r="L11" s="174">
        <f ca="1">F29</f>
        <v>617931.21036988636</v>
      </c>
      <c r="Q11" s="75" t="s">
        <v>387</v>
      </c>
      <c r="R11" s="173"/>
      <c r="S11" s="173"/>
      <c r="T11" s="173"/>
      <c r="U11" s="173"/>
      <c r="V11" s="290">
        <f>Statements!G21</f>
        <v>456429</v>
      </c>
      <c r="W11" s="290">
        <f>Statements!H21</f>
        <v>463922</v>
      </c>
      <c r="X11" s="290">
        <f>Statements!I21</f>
        <v>452334</v>
      </c>
      <c r="Y11" s="290">
        <f ca="1">Statements!J21</f>
        <v>454702.26587773493</v>
      </c>
      <c r="Z11" s="274"/>
      <c r="AA11" s="273"/>
      <c r="AB11" s="275"/>
      <c r="AC11" s="290">
        <f ca="1">Statements!K21</f>
        <v>464274.23977337551</v>
      </c>
      <c r="AD11" s="290">
        <f ca="1">Statements!L21</f>
        <v>482759.03709719528</v>
      </c>
      <c r="AE11" s="290">
        <f ca="1">Statements!M21</f>
        <v>503402.59001653286</v>
      </c>
      <c r="AF11" s="290">
        <f ca="1">Statements!N21</f>
        <v>527996.40775009431</v>
      </c>
    </row>
    <row r="12" spans="2:32" x14ac:dyDescent="0.3">
      <c r="B12" s="173" t="s">
        <v>336</v>
      </c>
      <c r="C12" s="173"/>
      <c r="D12" s="173"/>
      <c r="E12" s="173"/>
      <c r="F12" s="202">
        <f>F10*(1+F11)</f>
        <v>6.2472000000000003</v>
      </c>
      <c r="H12" t="s">
        <v>340</v>
      </c>
      <c r="L12" s="176">
        <f ca="1">L11/(Comp_Trad!K21*1000)</f>
        <v>8.7856105326013001</v>
      </c>
      <c r="Q12" s="75" t="s">
        <v>388</v>
      </c>
      <c r="R12" s="173"/>
      <c r="S12" s="173"/>
      <c r="T12" s="173"/>
      <c r="U12" s="173"/>
      <c r="V12" s="290">
        <f>Statements!G27</f>
        <v>179458</v>
      </c>
      <c r="W12" s="290">
        <f>Statements!H27</f>
        <v>187599</v>
      </c>
      <c r="X12" s="290">
        <f>Statements!I27</f>
        <v>189744</v>
      </c>
      <c r="Y12" s="290">
        <f ca="1">Statements!J27</f>
        <v>187530.71690378312</v>
      </c>
      <c r="Z12" s="274"/>
      <c r="AA12" s="273"/>
      <c r="AB12" s="275"/>
      <c r="AC12" s="290">
        <f ca="1">Statements!K27</f>
        <v>194258.49116873796</v>
      </c>
      <c r="AD12" s="290">
        <f ca="1">Statements!L27</f>
        <v>206991.79985542782</v>
      </c>
      <c r="AE12" s="290">
        <f ca="1">Statements!M27</f>
        <v>219482.06799625268</v>
      </c>
      <c r="AF12" s="290">
        <f ca="1">Statements!N27</f>
        <v>235917.29063341176</v>
      </c>
    </row>
    <row r="13" spans="2:32" x14ac:dyDescent="0.3">
      <c r="B13" t="s">
        <v>337</v>
      </c>
      <c r="F13" s="268">
        <v>3</v>
      </c>
      <c r="H13" t="s">
        <v>341</v>
      </c>
      <c r="L13" s="174">
        <f ca="1">F13*(Comp_Trad!K21*1000)</f>
        <v>211003.39290373438</v>
      </c>
      <c r="Q13" s="72"/>
      <c r="V13" s="278"/>
      <c r="W13" s="278"/>
      <c r="X13" s="278"/>
      <c r="Y13" s="278"/>
      <c r="Z13" s="274"/>
      <c r="AA13" s="273"/>
      <c r="AB13" s="275"/>
      <c r="AC13" s="278"/>
      <c r="AD13" s="278"/>
      <c r="AE13" s="278"/>
      <c r="AF13" s="278"/>
    </row>
    <row r="14" spans="2:32" x14ac:dyDescent="0.3">
      <c r="B14" t="s">
        <v>417</v>
      </c>
      <c r="F14" s="212">
        <v>0.26</v>
      </c>
      <c r="H14" t="s">
        <v>342</v>
      </c>
      <c r="L14" s="174">
        <f ca="1">L10-L13</f>
        <v>117686.78789626565</v>
      </c>
      <c r="Q14" s="72" t="s">
        <v>94</v>
      </c>
      <c r="V14" s="278">
        <f>Statements!G29</f>
        <v>135327</v>
      </c>
      <c r="W14" s="278">
        <f>Statements!H29</f>
        <v>122452</v>
      </c>
      <c r="X14" s="278">
        <f>Statements!I29</f>
        <v>120226</v>
      </c>
      <c r="Y14" s="278">
        <f ca="1">Statements!J29</f>
        <v>122250.35118166066</v>
      </c>
      <c r="Z14" s="274"/>
      <c r="AA14" s="273"/>
      <c r="AB14" s="275"/>
      <c r="AC14" s="278">
        <f ca="1">Statements!K29</f>
        <v>122584.66387285219</v>
      </c>
      <c r="AD14" s="278">
        <f ca="1">Statements!L29</f>
        <v>128099.43628776954</v>
      </c>
      <c r="AE14" s="278">
        <f ca="1">Statements!M29</f>
        <v>133401.97450684439</v>
      </c>
      <c r="AF14" s="278">
        <f ca="1">Statements!N29</f>
        <v>138979.75556920064</v>
      </c>
    </row>
    <row r="15" spans="2:32" x14ac:dyDescent="0.3">
      <c r="H15" t="s">
        <v>343</v>
      </c>
      <c r="L15" s="268">
        <v>10</v>
      </c>
      <c r="Q15" s="72" t="s">
        <v>82</v>
      </c>
      <c r="V15" s="278">
        <f>Statements!G30</f>
        <v>67173</v>
      </c>
      <c r="W15" s="278">
        <f>Statements!H30</f>
        <v>77770</v>
      </c>
      <c r="X15" s="278">
        <f>Statements!I30</f>
        <v>80197</v>
      </c>
      <c r="Y15" s="278">
        <f ca="1">Statements!J30</f>
        <v>74586.733491046325</v>
      </c>
      <c r="Z15" s="274"/>
      <c r="AA15" s="273"/>
      <c r="AB15" s="275"/>
      <c r="AC15" s="278">
        <f ca="1">Statements!K30</f>
        <v>78766.623122145349</v>
      </c>
      <c r="AD15" s="278">
        <f ca="1">Statements!L30</f>
        <v>82227.636478275163</v>
      </c>
      <c r="AE15" s="278">
        <f ca="1">Statements!M30</f>
        <v>84574.67805240117</v>
      </c>
      <c r="AF15" s="278">
        <f ca="1">Statements!N30</f>
        <v>89405.623725269776</v>
      </c>
    </row>
    <row r="16" spans="2:32" x14ac:dyDescent="0.3">
      <c r="B16" s="200" t="s">
        <v>344</v>
      </c>
      <c r="C16" s="195"/>
      <c r="D16" s="195"/>
      <c r="E16" s="195"/>
      <c r="F16" s="195"/>
      <c r="Q16" s="72" t="s">
        <v>83</v>
      </c>
      <c r="V16" s="278">
        <f>Statements!G31</f>
        <v>14862</v>
      </c>
      <c r="W16" s="278">
        <f>Statements!H31</f>
        <v>14385</v>
      </c>
      <c r="X16" s="278">
        <f>Statements!I31</f>
        <v>14857</v>
      </c>
      <c r="Y16" s="278">
        <f ca="1">Statements!J31</f>
        <v>13724.576657638916</v>
      </c>
      <c r="Z16" s="274"/>
      <c r="AA16" s="273"/>
      <c r="AB16" s="275"/>
      <c r="AC16" s="278">
        <f ca="1">Statements!K31</f>
        <v>13914.684419788182</v>
      </c>
      <c r="AD16" s="278">
        <f ca="1">Statements!L31</f>
        <v>14602.521047936578</v>
      </c>
      <c r="AE16" s="278">
        <f ca="1">Statements!M31</f>
        <v>15365.381207057684</v>
      </c>
      <c r="AF16" s="278">
        <f ca="1">Statements!N31</f>
        <v>16163.077366366026</v>
      </c>
    </row>
    <row r="17" spans="2:33" x14ac:dyDescent="0.3">
      <c r="B17" s="173"/>
      <c r="Q17" s="204" t="s">
        <v>423</v>
      </c>
      <c r="R17" s="181"/>
      <c r="S17" s="181"/>
      <c r="T17" s="181"/>
      <c r="U17" s="181"/>
      <c r="V17" s="282"/>
      <c r="W17" s="282"/>
      <c r="X17" s="282"/>
      <c r="Y17" s="282"/>
      <c r="Z17" s="306"/>
      <c r="AA17" s="307"/>
      <c r="AB17" s="308"/>
      <c r="AC17" s="282">
        <f ca="1">$L$65/$L$66</f>
        <v>1561.5650402467022</v>
      </c>
      <c r="AD17" s="282">
        <f t="shared" ref="AD17:AF17" ca="1" si="0">$L$65/$L$66</f>
        <v>1561.5650402467022</v>
      </c>
      <c r="AE17" s="282">
        <f t="shared" ca="1" si="0"/>
        <v>1561.5650402467022</v>
      </c>
      <c r="AF17" s="282">
        <f t="shared" ca="1" si="0"/>
        <v>1561.5650402467022</v>
      </c>
    </row>
    <row r="18" spans="2:33" x14ac:dyDescent="0.3">
      <c r="B18" s="173"/>
      <c r="Q18" s="72" t="s">
        <v>424</v>
      </c>
      <c r="V18" s="278"/>
      <c r="W18" s="278"/>
      <c r="X18" s="278"/>
      <c r="Y18" s="278"/>
      <c r="Z18" s="274"/>
      <c r="AA18" s="273"/>
      <c r="AB18" s="275"/>
      <c r="AC18" s="278">
        <f ca="1">$L$72/$L$73</f>
        <v>15713.465087284998</v>
      </c>
      <c r="AD18" s="278">
        <f t="shared" ref="AD18:AF18" ca="1" si="1">$L$72/$L$73</f>
        <v>15713.465087284998</v>
      </c>
      <c r="AE18" s="278">
        <f t="shared" ca="1" si="1"/>
        <v>15713.465087284998</v>
      </c>
      <c r="AF18" s="278">
        <f t="shared" ca="1" si="1"/>
        <v>15713.465087284998</v>
      </c>
    </row>
    <row r="19" spans="2:33" x14ac:dyDescent="0.3">
      <c r="B19" s="173"/>
      <c r="Q19" s="206" t="s">
        <v>425</v>
      </c>
      <c r="R19" s="195"/>
      <c r="S19" s="195"/>
      <c r="T19" s="195"/>
      <c r="U19" s="195"/>
      <c r="V19" s="286"/>
      <c r="W19" s="286"/>
      <c r="X19" s="286"/>
      <c r="Y19" s="286"/>
      <c r="Z19" s="309"/>
      <c r="AA19" s="310"/>
      <c r="AB19" s="311"/>
      <c r="AC19" s="286">
        <f ca="1">$L$54/$F$76</f>
        <v>331.50508935560157</v>
      </c>
      <c r="AD19" s="286">
        <f t="shared" ref="AD19:AF19" ca="1" si="2">$L$54/$F$76</f>
        <v>331.50508935560157</v>
      </c>
      <c r="AE19" s="286">
        <f t="shared" ca="1" si="2"/>
        <v>331.50508935560157</v>
      </c>
      <c r="AF19" s="286">
        <f t="shared" ca="1" si="2"/>
        <v>331.50508935560157</v>
      </c>
    </row>
    <row r="20" spans="2:33" x14ac:dyDescent="0.3">
      <c r="B20" t="s">
        <v>346</v>
      </c>
      <c r="F20" s="197">
        <f>Statements!J48</f>
        <v>52499</v>
      </c>
      <c r="H20" t="s">
        <v>355</v>
      </c>
      <c r="L20" s="212">
        <v>2.5000000000000001E-3</v>
      </c>
      <c r="Q20" s="72" t="s">
        <v>84</v>
      </c>
      <c r="V20" s="278">
        <f>Statements!G32</f>
        <v>0</v>
      </c>
      <c r="W20" s="278">
        <f>Statements!H32</f>
        <v>6363</v>
      </c>
      <c r="X20" s="278">
        <f>Statements!I32</f>
        <v>20</v>
      </c>
      <c r="Y20" s="278">
        <f>Statements!J32</f>
        <v>0</v>
      </c>
      <c r="Z20" s="274"/>
      <c r="AA20" s="273"/>
      <c r="AB20" s="275"/>
      <c r="AC20" s="278">
        <f>Statements!K32</f>
        <v>0</v>
      </c>
      <c r="AD20" s="278">
        <f>Statements!L32</f>
        <v>0</v>
      </c>
      <c r="AE20" s="278">
        <f>Statements!M32</f>
        <v>0</v>
      </c>
      <c r="AF20" s="278">
        <f>Statements!N32</f>
        <v>0</v>
      </c>
    </row>
    <row r="21" spans="2:33" x14ac:dyDescent="0.3">
      <c r="B21" t="s">
        <v>345</v>
      </c>
      <c r="F21" s="174">
        <f>F20*F12</f>
        <v>327971.75280000002</v>
      </c>
      <c r="H21" t="s">
        <v>354</v>
      </c>
      <c r="L21" s="212">
        <v>7.4999999999999997E-3</v>
      </c>
      <c r="Q21" s="72" t="s">
        <v>95</v>
      </c>
      <c r="V21" s="278">
        <f>Statements!G33</f>
        <v>-1005</v>
      </c>
      <c r="W21" s="278">
        <f>Statements!H33</f>
        <v>2530</v>
      </c>
      <c r="X21" s="278">
        <f>Statements!I33</f>
        <v>1974</v>
      </c>
      <c r="Y21" s="278">
        <f>Statements!J33</f>
        <v>0</v>
      </c>
      <c r="Z21" s="274"/>
      <c r="AA21" s="273"/>
      <c r="AB21" s="275"/>
      <c r="AC21" s="278">
        <f>Statements!K33</f>
        <v>0</v>
      </c>
      <c r="AD21" s="278">
        <f>Statements!L33</f>
        <v>0</v>
      </c>
      <c r="AE21" s="278">
        <f>Statements!M33</f>
        <v>0</v>
      </c>
      <c r="AF21" s="278">
        <f>Statements!N33</f>
        <v>0</v>
      </c>
    </row>
    <row r="22" spans="2:33" x14ac:dyDescent="0.3">
      <c r="B22" t="s">
        <v>347</v>
      </c>
      <c r="F22" s="197">
        <f>Statements!J49</f>
        <v>52614</v>
      </c>
      <c r="H22" t="s">
        <v>356</v>
      </c>
      <c r="L22" s="212">
        <v>5.0000000000000001E-3</v>
      </c>
      <c r="Q22" s="75" t="s">
        <v>85</v>
      </c>
      <c r="V22" s="290">
        <f>Statements!G34</f>
        <v>395815</v>
      </c>
      <c r="W22" s="290">
        <f>Statements!H34</f>
        <v>411099</v>
      </c>
      <c r="X22" s="290">
        <f>Statements!I34</f>
        <v>407018</v>
      </c>
      <c r="Y22" s="290">
        <f ca="1">Statements!J34</f>
        <v>398092.37823412905</v>
      </c>
      <c r="Z22" s="274"/>
      <c r="AA22" s="273"/>
      <c r="AB22" s="275"/>
      <c r="AC22" s="290">
        <f ca="1">SUM(AC14:AC21)+AC12</f>
        <v>427130.99780041096</v>
      </c>
      <c r="AD22" s="290">
        <f t="shared" ref="AD22:AF22" ca="1" si="3">SUM(AD14:AD21)+AD12</f>
        <v>449527.9288862964</v>
      </c>
      <c r="AE22" s="290">
        <f t="shared" ca="1" si="3"/>
        <v>470430.63697944325</v>
      </c>
      <c r="AF22" s="290">
        <f t="shared" ca="1" si="3"/>
        <v>498072.28251113545</v>
      </c>
      <c r="AG22" s="173"/>
    </row>
    <row r="23" spans="2:33" x14ac:dyDescent="0.3">
      <c r="B23" t="s">
        <v>348</v>
      </c>
      <c r="F23" s="174">
        <f>F22*F12</f>
        <v>328690.18080000003</v>
      </c>
      <c r="Q23" s="86"/>
      <c r="V23" s="278"/>
      <c r="W23" s="278"/>
      <c r="X23" s="278"/>
      <c r="Y23" s="278"/>
      <c r="Z23" s="274"/>
      <c r="AA23" s="273"/>
      <c r="AB23" s="275"/>
      <c r="AC23" s="278"/>
      <c r="AD23" s="278"/>
      <c r="AE23" s="278"/>
      <c r="AF23" s="278"/>
    </row>
    <row r="24" spans="2:33" x14ac:dyDescent="0.3">
      <c r="B24" t="s">
        <v>349</v>
      </c>
      <c r="F24" s="196">
        <f ca="1">-Statements!J55</f>
        <v>-2265.5068459356553</v>
      </c>
      <c r="Q24" s="75" t="s">
        <v>86</v>
      </c>
      <c r="V24" s="290">
        <f>Statements!G36</f>
        <v>60614</v>
      </c>
      <c r="W24" s="290">
        <f>Statements!H36</f>
        <v>52823</v>
      </c>
      <c r="X24" s="290">
        <f>Statements!I36</f>
        <v>45316</v>
      </c>
      <c r="Y24" s="290">
        <f ca="1">Statements!J36</f>
        <v>56609.887643605878</v>
      </c>
      <c r="Z24" s="274"/>
      <c r="AA24" s="273"/>
      <c r="AB24" s="275"/>
      <c r="AC24" s="290">
        <f ca="1">AC11-AC22</f>
        <v>37143.241972964548</v>
      </c>
      <c r="AD24" s="290">
        <f t="shared" ref="AD24:AF24" ca="1" si="4">AD11-AD22</f>
        <v>33231.108210898878</v>
      </c>
      <c r="AE24" s="290">
        <f t="shared" ca="1" si="4"/>
        <v>32971.95303708961</v>
      </c>
      <c r="AF24" s="290">
        <f t="shared" ca="1" si="4"/>
        <v>29924.125238958863</v>
      </c>
    </row>
    <row r="25" spans="2:33" x14ac:dyDescent="0.3">
      <c r="B25" t="s">
        <v>353</v>
      </c>
      <c r="F25" s="197">
        <f>Statements!J79</f>
        <v>211300</v>
      </c>
      <c r="Q25" s="190"/>
      <c r="V25" s="278"/>
      <c r="W25" s="278"/>
      <c r="X25" s="278"/>
      <c r="Y25" s="278"/>
      <c r="Z25" s="274"/>
      <c r="AA25" s="273"/>
      <c r="AB25" s="275"/>
      <c r="AC25" s="278"/>
      <c r="AD25" s="278"/>
      <c r="AE25" s="278"/>
      <c r="AF25" s="278"/>
    </row>
    <row r="26" spans="2:33" x14ac:dyDescent="0.3">
      <c r="B26" t="s">
        <v>352</v>
      </c>
      <c r="F26" s="269">
        <v>0</v>
      </c>
      <c r="Q26" s="72" t="s">
        <v>87</v>
      </c>
      <c r="V26" s="278">
        <f>Statements!G37</f>
        <v>13769</v>
      </c>
      <c r="W26" s="278">
        <f>Statements!H37</f>
        <v>17597</v>
      </c>
      <c r="X26" s="278">
        <f>Statements!I37</f>
        <v>17974</v>
      </c>
      <c r="Y26" s="278">
        <f ca="1">Statements!J37</f>
        <v>16021.14</v>
      </c>
      <c r="Z26" s="274"/>
      <c r="AA26" s="273"/>
      <c r="AB26" s="275"/>
      <c r="AC26" s="278">
        <f ca="1">Statements!K37+(-AC150)</f>
        <v>31630.399738023105</v>
      </c>
      <c r="AD26" s="278">
        <f ca="1">Statements!L37+(-AD150)</f>
        <v>26970.465083885814</v>
      </c>
      <c r="AE26" s="278">
        <f ca="1">Statements!M37+(-AE150)</f>
        <v>22975.305740496966</v>
      </c>
      <c r="AF26" s="278">
        <f ca="1">Statements!N37+(-AF150)</f>
        <v>19355.877674336014</v>
      </c>
    </row>
    <row r="27" spans="2:33" x14ac:dyDescent="0.3">
      <c r="B27" t="s">
        <v>351</v>
      </c>
      <c r="F27" s="269">
        <v>0</v>
      </c>
      <c r="Q27" s="72" t="s">
        <v>88</v>
      </c>
      <c r="V27" s="278">
        <f>Statements!G38</f>
        <v>-52585</v>
      </c>
      <c r="W27" s="278">
        <f>Statements!H38</f>
        <v>8288</v>
      </c>
      <c r="X27" s="278">
        <f>Statements!I38</f>
        <v>-1907</v>
      </c>
      <c r="Y27" s="278">
        <f>Statements!J38</f>
        <v>0</v>
      </c>
      <c r="Z27" s="274"/>
      <c r="AA27" s="273"/>
      <c r="AB27" s="275"/>
      <c r="AC27" s="278">
        <f>Statements!K38</f>
        <v>0</v>
      </c>
      <c r="AD27" s="278">
        <f>Statements!L38</f>
        <v>0</v>
      </c>
      <c r="AE27" s="278">
        <f>Statements!M38</f>
        <v>0</v>
      </c>
      <c r="AF27" s="278">
        <f>Statements!N38</f>
        <v>0</v>
      </c>
    </row>
    <row r="28" spans="2:33" x14ac:dyDescent="0.3">
      <c r="B28" t="s">
        <v>350</v>
      </c>
      <c r="F28" s="197">
        <f ca="1">Statements!J76+Statements!J75+Statements!J73</f>
        <v>80206.536415821945</v>
      </c>
      <c r="Q28" s="75" t="s">
        <v>89</v>
      </c>
      <c r="V28" s="290">
        <f>Statements!G39</f>
        <v>99430</v>
      </c>
      <c r="W28" s="290">
        <f>Statements!H39</f>
        <v>26938</v>
      </c>
      <c r="X28" s="290">
        <f>Statements!I39</f>
        <v>29249</v>
      </c>
      <c r="Y28" s="290">
        <f ca="1">Statements!J39</f>
        <v>40588.747643605879</v>
      </c>
      <c r="Z28" s="274"/>
      <c r="AA28" s="273"/>
      <c r="AB28" s="275"/>
      <c r="AC28" s="290">
        <f ca="1">AC24-AC26-AC27</f>
        <v>5512.8422349414432</v>
      </c>
      <c r="AD28" s="290">
        <f t="shared" ref="AD28:AF28" ca="1" si="5">AD24-AD26-AD27</f>
        <v>6260.6431270130633</v>
      </c>
      <c r="AE28" s="290">
        <f t="shared" ca="1" si="5"/>
        <v>9996.6472965926441</v>
      </c>
      <c r="AF28" s="290">
        <f t="shared" ca="1" si="5"/>
        <v>10568.247564622849</v>
      </c>
      <c r="AG28" s="173"/>
    </row>
    <row r="29" spans="2:33" x14ac:dyDescent="0.3">
      <c r="B29" s="180" t="s">
        <v>339</v>
      </c>
      <c r="C29" s="181"/>
      <c r="D29" s="181"/>
      <c r="E29" s="181"/>
      <c r="F29" s="184">
        <f ca="1">SUM(F23:F28)</f>
        <v>617931.21036988636</v>
      </c>
      <c r="Q29" s="72" t="s">
        <v>90</v>
      </c>
      <c r="V29" s="278">
        <f>Statements!G40</f>
        <v>24718</v>
      </c>
      <c r="W29" s="278">
        <f>Statements!H40</f>
        <v>6993</v>
      </c>
      <c r="X29" s="278">
        <f>Statements!I40</f>
        <v>7678</v>
      </c>
      <c r="Y29" s="278">
        <f ca="1">Statements!J40</f>
        <v>10553.074387337529</v>
      </c>
      <c r="Z29" s="274"/>
      <c r="AA29" s="273"/>
      <c r="AB29" s="275"/>
      <c r="AC29" s="278">
        <f ca="1">AC28*26%</f>
        <v>1433.3389810847752</v>
      </c>
      <c r="AD29" s="278">
        <f t="shared" ref="AD29:AF29" ca="1" si="6">AD28*26%</f>
        <v>1627.7672130233966</v>
      </c>
      <c r="AE29" s="278">
        <f t="shared" ca="1" si="6"/>
        <v>2599.1282971140877</v>
      </c>
      <c r="AF29" s="278">
        <f t="shared" ca="1" si="6"/>
        <v>2747.7443668019409</v>
      </c>
    </row>
    <row r="30" spans="2:33" x14ac:dyDescent="0.3">
      <c r="Q30" s="75" t="s">
        <v>91</v>
      </c>
      <c r="V30" s="290">
        <f>Statements!G41</f>
        <v>74712</v>
      </c>
      <c r="W30" s="290">
        <f>Statements!H41</f>
        <v>19945</v>
      </c>
      <c r="X30" s="290">
        <f>Statements!I41</f>
        <v>21571</v>
      </c>
      <c r="Y30" s="290">
        <f ca="1">Statements!J41</f>
        <v>30035.67325626835</v>
      </c>
      <c r="Z30" s="312"/>
      <c r="AA30" s="310"/>
      <c r="AB30" s="311"/>
      <c r="AC30" s="290">
        <f ca="1">AC28-AC29</f>
        <v>4079.5032538566679</v>
      </c>
      <c r="AD30" s="290">
        <f t="shared" ref="AD30:AF30" ca="1" si="7">AD28-AD29</f>
        <v>4632.8759139896665</v>
      </c>
      <c r="AE30" s="290">
        <f t="shared" ca="1" si="7"/>
        <v>7397.518999478556</v>
      </c>
      <c r="AF30" s="290">
        <f t="shared" ca="1" si="7"/>
        <v>7820.5031978209081</v>
      </c>
      <c r="AG30" s="173"/>
    </row>
    <row r="31" spans="2:33" x14ac:dyDescent="0.3">
      <c r="Q31" s="33"/>
    </row>
    <row r="32" spans="2:33" x14ac:dyDescent="0.3">
      <c r="B32" s="177" t="s">
        <v>357</v>
      </c>
      <c r="C32" s="178"/>
      <c r="D32" s="178"/>
      <c r="E32" s="178"/>
      <c r="F32" s="178"/>
      <c r="G32" s="178"/>
      <c r="H32" s="178"/>
      <c r="I32" s="178"/>
      <c r="J32" s="178"/>
      <c r="K32" s="178"/>
      <c r="L32" s="179"/>
    </row>
    <row r="33" spans="2:32" x14ac:dyDescent="0.3">
      <c r="Q33" s="366" t="s">
        <v>416</v>
      </c>
      <c r="R33" s="367"/>
      <c r="S33" s="367"/>
      <c r="T33" s="186"/>
      <c r="U33" s="187"/>
      <c r="V33" s="370" t="s">
        <v>389</v>
      </c>
      <c r="W33" s="370"/>
      <c r="X33" s="370"/>
      <c r="Y33" s="371"/>
      <c r="Z33" s="370" t="s">
        <v>390</v>
      </c>
      <c r="AA33" s="370"/>
      <c r="AB33" s="370"/>
      <c r="AC33" s="372" t="s">
        <v>2</v>
      </c>
      <c r="AD33" s="363"/>
      <c r="AE33" s="363"/>
      <c r="AF33" s="363"/>
    </row>
    <row r="34" spans="2:32" x14ac:dyDescent="0.3">
      <c r="B34" t="s">
        <v>337</v>
      </c>
      <c r="F34" s="176">
        <f>F13</f>
        <v>3</v>
      </c>
      <c r="H34" t="s">
        <v>362</v>
      </c>
      <c r="L34" s="174">
        <f ca="1">L13</f>
        <v>211003.39290373438</v>
      </c>
      <c r="Q34" s="368"/>
      <c r="R34" s="369"/>
      <c r="S34" s="369"/>
      <c r="T34" s="188"/>
      <c r="U34" s="189"/>
      <c r="V34" s="182">
        <v>44920</v>
      </c>
      <c r="W34" s="182">
        <v>45285</v>
      </c>
      <c r="X34" s="182">
        <v>45651</v>
      </c>
      <c r="Y34" s="191">
        <v>46016</v>
      </c>
      <c r="Z34" s="182" t="s">
        <v>385</v>
      </c>
      <c r="AA34" s="182" t="s">
        <v>386</v>
      </c>
      <c r="AB34" s="182">
        <v>46016</v>
      </c>
      <c r="AC34" s="192">
        <v>46381</v>
      </c>
      <c r="AD34" s="183">
        <v>46746</v>
      </c>
      <c r="AE34" s="183">
        <v>47112</v>
      </c>
      <c r="AF34" s="183">
        <v>47477</v>
      </c>
    </row>
    <row r="35" spans="2:32" x14ac:dyDescent="0.3">
      <c r="B35" t="s">
        <v>358</v>
      </c>
      <c r="F35" s="267">
        <v>0.5</v>
      </c>
      <c r="H35" t="s">
        <v>363</v>
      </c>
      <c r="L35" s="270">
        <v>10000</v>
      </c>
      <c r="Z35" s="193"/>
      <c r="AB35" s="194"/>
    </row>
    <row r="36" spans="2:32" x14ac:dyDescent="0.3">
      <c r="B36" t="s">
        <v>359</v>
      </c>
      <c r="F36" s="267">
        <v>0.25</v>
      </c>
      <c r="H36" t="s">
        <v>364</v>
      </c>
      <c r="L36" s="174">
        <f ca="1">$L$34*F35</f>
        <v>105501.69645186719</v>
      </c>
      <c r="Q36" s="75" t="s">
        <v>100</v>
      </c>
      <c r="R36" s="33"/>
      <c r="Z36" s="193"/>
      <c r="AB36" s="194"/>
    </row>
    <row r="37" spans="2:32" x14ac:dyDescent="0.3">
      <c r="B37" t="s">
        <v>360</v>
      </c>
      <c r="F37" s="267">
        <v>0.15</v>
      </c>
      <c r="H37" t="s">
        <v>365</v>
      </c>
      <c r="L37" s="174">
        <f t="shared" ref="L37:L39" ca="1" si="8">$L$34*F36</f>
        <v>52750.848225933594</v>
      </c>
      <c r="Q37" s="75" t="s">
        <v>101</v>
      </c>
      <c r="R37" s="33"/>
      <c r="V37" s="273"/>
      <c r="W37" s="273"/>
      <c r="X37" s="273"/>
      <c r="Y37" s="273"/>
      <c r="Z37" s="274"/>
      <c r="AA37" s="273"/>
      <c r="AB37" s="275"/>
      <c r="AC37" s="273"/>
      <c r="AD37" s="273"/>
      <c r="AE37" s="273"/>
      <c r="AF37" s="273"/>
    </row>
    <row r="38" spans="2:32" x14ac:dyDescent="0.3">
      <c r="B38" t="s">
        <v>361</v>
      </c>
      <c r="F38" s="267">
        <v>0.1</v>
      </c>
      <c r="H38" t="s">
        <v>366</v>
      </c>
      <c r="L38" s="174">
        <f t="shared" ca="1" si="8"/>
        <v>31650.508935560156</v>
      </c>
      <c r="P38" s="185" t="s">
        <v>422</v>
      </c>
      <c r="Q38" s="72" t="s">
        <v>102</v>
      </c>
      <c r="R38" s="33"/>
      <c r="V38" s="276">
        <f>Statements!G55</f>
        <v>3523</v>
      </c>
      <c r="W38" s="276">
        <f>Statements!H55</f>
        <v>4893</v>
      </c>
      <c r="X38" s="276">
        <f>Statements!I55</f>
        <v>1698</v>
      </c>
      <c r="Y38" s="276">
        <f ca="1">Statements!J55</f>
        <v>2265.5068459356553</v>
      </c>
      <c r="Z38" s="277">
        <v>0</v>
      </c>
      <c r="AA38" s="278">
        <f ca="1">F52</f>
        <v>265.50684593565529</v>
      </c>
      <c r="AB38" s="279">
        <f ca="1">Y38+Z38-AA38</f>
        <v>2000</v>
      </c>
      <c r="AC38" s="276">
        <f ca="1">AC127</f>
        <v>-29630.399738022854</v>
      </c>
      <c r="AD38" s="276">
        <f t="shared" ref="AD38:AF38" ca="1" si="9">AD127</f>
        <v>-24970.465083889343</v>
      </c>
      <c r="AE38" s="276">
        <f t="shared" ca="1" si="9"/>
        <v>-20975.305742353004</v>
      </c>
      <c r="AF38" s="276">
        <f t="shared" ca="1" si="9"/>
        <v>-17355.877782603246</v>
      </c>
    </row>
    <row r="39" spans="2:32" x14ac:dyDescent="0.3">
      <c r="H39" t="s">
        <v>367</v>
      </c>
      <c r="L39" s="174">
        <f t="shared" ca="1" si="8"/>
        <v>21100.339290373438</v>
      </c>
      <c r="Q39" s="204" t="s">
        <v>103</v>
      </c>
      <c r="R39" s="207"/>
      <c r="S39" s="181"/>
      <c r="T39" s="181"/>
      <c r="U39" s="181"/>
      <c r="V39" s="280">
        <f>Statements!G56</f>
        <v>1746</v>
      </c>
      <c r="W39" s="280">
        <f>Statements!H56</f>
        <v>1281</v>
      </c>
      <c r="X39" s="280">
        <f>Statements!I56</f>
        <v>1106</v>
      </c>
      <c r="Y39" s="280">
        <f>Statements!J56</f>
        <v>1106</v>
      </c>
      <c r="Z39" s="281">
        <v>0</v>
      </c>
      <c r="AA39" s="282">
        <v>0</v>
      </c>
      <c r="AB39" s="283">
        <f t="shared" ref="AB39:AB52" si="10">Y39+Z39-AA39</f>
        <v>1106</v>
      </c>
      <c r="AC39" s="280">
        <f>Statements!K56</f>
        <v>1106</v>
      </c>
      <c r="AD39" s="280">
        <f>Statements!L56</f>
        <v>1106</v>
      </c>
      <c r="AE39" s="280">
        <f>Statements!M56</f>
        <v>1106</v>
      </c>
      <c r="AF39" s="280">
        <f>Statements!N56</f>
        <v>1106</v>
      </c>
    </row>
    <row r="40" spans="2:32" x14ac:dyDescent="0.3">
      <c r="Q40" s="72" t="s">
        <v>104</v>
      </c>
      <c r="R40" s="33"/>
      <c r="V40" s="276">
        <f>Statements!G57</f>
        <v>25576</v>
      </c>
      <c r="W40" s="276">
        <f>Statements!H57</f>
        <v>21391</v>
      </c>
      <c r="X40" s="276">
        <f>Statements!I57</f>
        <v>24433</v>
      </c>
      <c r="Y40" s="276">
        <f ca="1">Statements!J57</f>
        <v>24560.922818516181</v>
      </c>
      <c r="Z40" s="277">
        <v>0</v>
      </c>
      <c r="AA40" s="278">
        <v>0</v>
      </c>
      <c r="AB40" s="279">
        <f t="shared" ca="1" si="10"/>
        <v>24560.922818516181</v>
      </c>
      <c r="AC40" s="276">
        <f ca="1">Statements!K57</f>
        <v>25077.956776149669</v>
      </c>
      <c r="AD40" s="276">
        <f ca="1">Statements!L57</f>
        <v>26076.420418088786</v>
      </c>
      <c r="AE40" s="276">
        <f ca="1">Statements!M57</f>
        <v>27191.490097746242</v>
      </c>
      <c r="AF40" s="276">
        <f ca="1">Statements!N57</f>
        <v>28519.934894476326</v>
      </c>
    </row>
    <row r="41" spans="2:32" x14ac:dyDescent="0.3">
      <c r="B41" s="173" t="s">
        <v>369</v>
      </c>
      <c r="H41" s="173" t="s">
        <v>368</v>
      </c>
      <c r="Q41" s="72" t="s">
        <v>105</v>
      </c>
      <c r="R41" s="33"/>
      <c r="V41" s="276">
        <f>Statements!G58</f>
        <v>5538</v>
      </c>
      <c r="W41" s="276">
        <f>Statements!H58</f>
        <v>2175</v>
      </c>
      <c r="X41" s="276">
        <f>Statements!I58</f>
        <v>1747</v>
      </c>
      <c r="Y41" s="276">
        <f ca="1">Statements!J58</f>
        <v>1726.6219876829261</v>
      </c>
      <c r="Z41" s="277">
        <v>0</v>
      </c>
      <c r="AA41" s="278">
        <v>0</v>
      </c>
      <c r="AB41" s="279">
        <f t="shared" ca="1" si="10"/>
        <v>1726.6219876829261</v>
      </c>
      <c r="AC41" s="276">
        <f ca="1">Statements!K58</f>
        <v>1788.5655623987334</v>
      </c>
      <c r="AD41" s="276">
        <f ca="1">Statements!L58</f>
        <v>1905.8029468517184</v>
      </c>
      <c r="AE41" s="276">
        <f ca="1">Statements!M58</f>
        <v>2020.802622425233</v>
      </c>
      <c r="AF41" s="276">
        <f ca="1">Statements!N58</f>
        <v>2172.1240552353192</v>
      </c>
    </row>
    <row r="42" spans="2:32" x14ac:dyDescent="0.3">
      <c r="B42" t="s">
        <v>363</v>
      </c>
      <c r="F42" s="185" t="s">
        <v>372</v>
      </c>
      <c r="H42" t="s">
        <v>363</v>
      </c>
      <c r="L42" t="s">
        <v>373</v>
      </c>
      <c r="Q42" s="72" t="s">
        <v>106</v>
      </c>
      <c r="R42" s="33"/>
      <c r="V42" s="276">
        <f>Statements!G59</f>
        <v>1403</v>
      </c>
      <c r="W42" s="276">
        <f>Statements!H59</f>
        <v>1455</v>
      </c>
      <c r="X42" s="276">
        <f>Statements!I59</f>
        <v>381</v>
      </c>
      <c r="Y42" s="276">
        <f>Statements!J59</f>
        <v>381</v>
      </c>
      <c r="Z42" s="277">
        <v>0</v>
      </c>
      <c r="AA42" s="278">
        <v>0</v>
      </c>
      <c r="AB42" s="279">
        <f t="shared" si="10"/>
        <v>381</v>
      </c>
      <c r="AC42" s="276">
        <f>Statements!K59</f>
        <v>381</v>
      </c>
      <c r="AD42" s="276">
        <f>Statements!L59</f>
        <v>381</v>
      </c>
      <c r="AE42" s="276">
        <f>Statements!M59</f>
        <v>381</v>
      </c>
      <c r="AF42" s="276">
        <f>Statements!N59</f>
        <v>381</v>
      </c>
    </row>
    <row r="43" spans="2:32" x14ac:dyDescent="0.3">
      <c r="B43" t="s">
        <v>364</v>
      </c>
      <c r="F43" s="185" t="s">
        <v>370</v>
      </c>
      <c r="H43" t="s">
        <v>364</v>
      </c>
      <c r="L43" s="267">
        <v>0.1</v>
      </c>
      <c r="Q43" s="206" t="s">
        <v>107</v>
      </c>
      <c r="R43" s="208"/>
      <c r="S43" s="195"/>
      <c r="T43" s="195"/>
      <c r="U43" s="195"/>
      <c r="V43" s="284">
        <f>Statements!G60</f>
        <v>12529</v>
      </c>
      <c r="W43" s="284">
        <f>Statements!H60</f>
        <v>12855</v>
      </c>
      <c r="X43" s="284">
        <f>Statements!I60</f>
        <v>10628</v>
      </c>
      <c r="Y43" s="284">
        <f ca="1">Statements!J60</f>
        <v>11921.590776582849</v>
      </c>
      <c r="Z43" s="285">
        <v>0</v>
      </c>
      <c r="AA43" s="286">
        <v>0</v>
      </c>
      <c r="AB43" s="287">
        <f t="shared" ca="1" si="10"/>
        <v>11921.590776582849</v>
      </c>
      <c r="AC43" s="284">
        <f ca="1">Statements!K60</f>
        <v>11981.953440062221</v>
      </c>
      <c r="AD43" s="284">
        <f ca="1">Statements!L60</f>
        <v>12153.022539034453</v>
      </c>
      <c r="AE43" s="284">
        <f ca="1">Statements!M60</f>
        <v>12954.306069434433</v>
      </c>
      <c r="AF43" s="284">
        <f ca="1">Statements!N60</f>
        <v>13501.837839654814</v>
      </c>
    </row>
    <row r="44" spans="2:32" x14ac:dyDescent="0.3">
      <c r="B44" t="s">
        <v>365</v>
      </c>
      <c r="F44" s="185" t="s">
        <v>371</v>
      </c>
      <c r="H44" t="s">
        <v>365</v>
      </c>
      <c r="L44" s="267">
        <v>0.02</v>
      </c>
      <c r="Q44" s="86" t="s">
        <v>108</v>
      </c>
      <c r="R44" s="33"/>
      <c r="V44" s="288">
        <f>Statements!G61</f>
        <v>50315</v>
      </c>
      <c r="W44" s="288">
        <f>Statements!H61</f>
        <v>44050</v>
      </c>
      <c r="X44" s="288">
        <f>Statements!I61</f>
        <v>39993</v>
      </c>
      <c r="Y44" s="288">
        <f ca="1">Statements!J61</f>
        <v>41961.642428717612</v>
      </c>
      <c r="Z44" s="289"/>
      <c r="AA44" s="290"/>
      <c r="AB44" s="291">
        <f ca="1">SUM(AB38:AB43)</f>
        <v>41696.135582781957</v>
      </c>
      <c r="AC44" s="288">
        <f t="shared" ref="AC44:AF44" ca="1" si="11">SUM(AC38:AC43)</f>
        <v>10705.07604058777</v>
      </c>
      <c r="AD44" s="288">
        <f t="shared" ca="1" si="11"/>
        <v>16651.780820085616</v>
      </c>
      <c r="AE44" s="288">
        <f t="shared" ca="1" si="11"/>
        <v>22678.293047252904</v>
      </c>
      <c r="AF44" s="288">
        <f t="shared" ca="1" si="11"/>
        <v>28325.019006763214</v>
      </c>
    </row>
    <row r="45" spans="2:32" x14ac:dyDescent="0.3">
      <c r="B45" t="s">
        <v>366</v>
      </c>
      <c r="F45" s="212">
        <v>0.12</v>
      </c>
      <c r="H45" t="s">
        <v>366</v>
      </c>
      <c r="L45" s="267">
        <v>0</v>
      </c>
      <c r="P45" s="185" t="s">
        <v>422</v>
      </c>
      <c r="Q45" s="204" t="s">
        <v>136</v>
      </c>
      <c r="R45" s="207"/>
      <c r="S45" s="181"/>
      <c r="T45" s="181"/>
      <c r="U45" s="181"/>
      <c r="V45" s="280">
        <f>Statements!G62</f>
        <v>94469</v>
      </c>
      <c r="W45" s="280">
        <f>Statements!H62</f>
        <v>93494</v>
      </c>
      <c r="X45" s="280">
        <f>Statements!I62</f>
        <v>111417</v>
      </c>
      <c r="Y45" s="280">
        <f ca="1">Statements!J62</f>
        <v>104104.33601644682</v>
      </c>
      <c r="Z45" s="282">
        <f ca="1">L65</f>
        <v>12492.520321973618</v>
      </c>
      <c r="AA45" s="282">
        <v>0</v>
      </c>
      <c r="AB45" s="283">
        <f ca="1">Y45+Z45-AA45</f>
        <v>116596.85633842043</v>
      </c>
      <c r="AC45" s="280">
        <f ca="1">AB45-Schedule!K23-LBO_model!AC96-LBO_model!AC111</f>
        <v>116985.32620833027</v>
      </c>
      <c r="AD45" s="280">
        <f ca="1">AC45-Schedule!L23-LBO_model!AD96-LBO_model!AD111</f>
        <v>117551.87789205436</v>
      </c>
      <c r="AE45" s="280">
        <f ca="1">AD45-Schedule!M23-LBO_model!AE96-LBO_model!AE111</f>
        <v>118172.45124460149</v>
      </c>
      <c r="AF45" s="280">
        <f ca="1">AE45-Schedule!N23-LBO_model!AF96-LBO_model!AF111</f>
        <v>119023.55674136397</v>
      </c>
    </row>
    <row r="46" spans="2:32" x14ac:dyDescent="0.3">
      <c r="B46" t="s">
        <v>367</v>
      </c>
      <c r="F46" s="212">
        <v>0.15</v>
      </c>
      <c r="H46" t="s">
        <v>367</v>
      </c>
      <c r="L46" s="267">
        <v>0</v>
      </c>
      <c r="P46" s="185" t="s">
        <v>422</v>
      </c>
      <c r="Q46" s="72" t="s">
        <v>137</v>
      </c>
      <c r="R46" s="33"/>
      <c r="V46" s="276">
        <f>Statements!G63</f>
        <v>6499</v>
      </c>
      <c r="W46" s="276">
        <f>Statements!H63</f>
        <v>6098</v>
      </c>
      <c r="X46" s="276">
        <f>Statements!I63</f>
        <v>6200</v>
      </c>
      <c r="Y46" s="276">
        <f>Statements!J63</f>
        <v>6200</v>
      </c>
      <c r="Z46" s="277">
        <v>0</v>
      </c>
      <c r="AA46" s="278">
        <v>0</v>
      </c>
      <c r="AB46" s="279">
        <f t="shared" si="10"/>
        <v>6200</v>
      </c>
      <c r="AC46" s="276">
        <f>Statements!K63</f>
        <v>6200</v>
      </c>
      <c r="AD46" s="276">
        <f>Statements!L63</f>
        <v>6200</v>
      </c>
      <c r="AE46" s="276">
        <f>Statements!M63</f>
        <v>6200</v>
      </c>
      <c r="AF46" s="276">
        <f>Statements!N63</f>
        <v>6200</v>
      </c>
    </row>
    <row r="47" spans="2:32" x14ac:dyDescent="0.3">
      <c r="P47" s="185" t="s">
        <v>422</v>
      </c>
      <c r="Q47" s="72" t="s">
        <v>109</v>
      </c>
      <c r="R47" s="33"/>
      <c r="V47" s="276">
        <f>Statements!G64</f>
        <v>126065</v>
      </c>
      <c r="W47" s="276">
        <f>Statements!H64</f>
        <v>116795</v>
      </c>
      <c r="X47" s="276">
        <f>Statements!I64</f>
        <v>124738</v>
      </c>
      <c r="Y47" s="276">
        <f>Statements!J64</f>
        <v>124738</v>
      </c>
      <c r="Z47" s="277">
        <v>0</v>
      </c>
      <c r="AA47" s="278">
        <v>0</v>
      </c>
      <c r="AB47" s="279">
        <f t="shared" si="10"/>
        <v>124738</v>
      </c>
      <c r="AC47" s="276">
        <f>Statements!K64</f>
        <v>124738</v>
      </c>
      <c r="AD47" s="276">
        <f>Statements!L64</f>
        <v>124738</v>
      </c>
      <c r="AE47" s="276">
        <f>Statements!M64</f>
        <v>124738</v>
      </c>
      <c r="AF47" s="276">
        <f>Statements!N64</f>
        <v>124738</v>
      </c>
    </row>
    <row r="48" spans="2:32" x14ac:dyDescent="0.3">
      <c r="P48" s="185" t="s">
        <v>422</v>
      </c>
      <c r="Q48" s="72" t="s">
        <v>110</v>
      </c>
      <c r="R48" s="33"/>
      <c r="V48" s="276">
        <f>Statements!G65</f>
        <v>72740</v>
      </c>
      <c r="W48" s="276">
        <f>Statements!H65</f>
        <v>65908</v>
      </c>
      <c r="X48" s="276">
        <f>Statements!I65</f>
        <v>66357</v>
      </c>
      <c r="Y48" s="276">
        <f>Statements!J65</f>
        <v>66357</v>
      </c>
      <c r="Z48" s="277">
        <f ca="1">F73</f>
        <v>325452.34132090997</v>
      </c>
      <c r="AA48" s="278">
        <f>Y48</f>
        <v>66357</v>
      </c>
      <c r="AB48" s="279">
        <f t="shared" ca="1" si="10"/>
        <v>325452.34132090997</v>
      </c>
      <c r="AC48" s="276">
        <f ca="1">AB48</f>
        <v>325452.34132090997</v>
      </c>
      <c r="AD48" s="276">
        <f t="shared" ref="AD48:AF48" ca="1" si="12">AC48</f>
        <v>325452.34132090997</v>
      </c>
      <c r="AE48" s="276">
        <f t="shared" ca="1" si="12"/>
        <v>325452.34132090997</v>
      </c>
      <c r="AF48" s="276">
        <f t="shared" ca="1" si="12"/>
        <v>325452.34132090997</v>
      </c>
    </row>
    <row r="49" spans="1:32" x14ac:dyDescent="0.3">
      <c r="B49" s="177" t="s">
        <v>374</v>
      </c>
      <c r="C49" s="178"/>
      <c r="D49" s="178"/>
      <c r="E49" s="178"/>
      <c r="F49" s="178"/>
      <c r="G49" s="178"/>
      <c r="H49" s="178"/>
      <c r="I49" s="178"/>
      <c r="J49" s="178"/>
      <c r="K49" s="178"/>
      <c r="L49" s="179"/>
      <c r="P49" s="185" t="s">
        <v>422</v>
      </c>
      <c r="Q49" s="206" t="s">
        <v>111</v>
      </c>
      <c r="R49" s="208"/>
      <c r="S49" s="195"/>
      <c r="T49" s="195"/>
      <c r="U49" s="195"/>
      <c r="V49" s="284">
        <f>Statements!G66</f>
        <v>95034</v>
      </c>
      <c r="W49" s="284">
        <f>Statements!H66</f>
        <v>93428</v>
      </c>
      <c r="X49" s="284">
        <f>Statements!I66</f>
        <v>91739</v>
      </c>
      <c r="Y49" s="284">
        <f ca="1">Statements!J66</f>
        <v>91669.662759734172</v>
      </c>
      <c r="Z49" s="285">
        <f ca="1">L72</f>
        <v>78567.325436424988</v>
      </c>
      <c r="AA49" s="286">
        <v>0</v>
      </c>
      <c r="AB49" s="287">
        <f t="shared" ca="1" si="10"/>
        <v>170236.98819615916</v>
      </c>
      <c r="AC49" s="284">
        <f ca="1">AB49-Schedule!K41-LBO_model!AC97</f>
        <v>152618.06067053814</v>
      </c>
      <c r="AD49" s="284">
        <f ca="1">AC49-Schedule!L41-LBO_model!AD97</f>
        <v>134695.80496113701</v>
      </c>
      <c r="AE49" s="284">
        <f ca="1">AD49-Schedule!M41-LBO_model!AE97</f>
        <v>116573.72235542053</v>
      </c>
      <c r="AF49" s="284">
        <f ca="1">AE49-Schedule!N41-LBO_model!AF97</f>
        <v>98163.243113721153</v>
      </c>
    </row>
    <row r="50" spans="1:32" x14ac:dyDescent="0.3">
      <c r="Q50" s="72" t="s">
        <v>112</v>
      </c>
      <c r="R50" s="33"/>
      <c r="V50" s="276">
        <f>Statements!G67</f>
        <v>2337</v>
      </c>
      <c r="W50" s="276">
        <f>Statements!H67</f>
        <v>1702</v>
      </c>
      <c r="X50" s="276">
        <f>Statements!I67</f>
        <v>1066</v>
      </c>
      <c r="Y50" s="276">
        <f>Statements!J67</f>
        <v>1066</v>
      </c>
      <c r="Z50" s="277">
        <v>0</v>
      </c>
      <c r="AA50" s="278">
        <v>0</v>
      </c>
      <c r="AB50" s="279">
        <f t="shared" si="10"/>
        <v>1066</v>
      </c>
      <c r="AC50" s="276">
        <f>Statements!K67</f>
        <v>1066</v>
      </c>
      <c r="AD50" s="276">
        <f>Statements!L67</f>
        <v>1066</v>
      </c>
      <c r="AE50" s="276">
        <f>Statements!M67</f>
        <v>1066</v>
      </c>
      <c r="AF50" s="276">
        <f>Statements!N67</f>
        <v>1066</v>
      </c>
    </row>
    <row r="51" spans="1:32" x14ac:dyDescent="0.3">
      <c r="B51" s="173" t="s">
        <v>375</v>
      </c>
      <c r="H51" s="173" t="s">
        <v>376</v>
      </c>
      <c r="Q51" s="206" t="s">
        <v>113</v>
      </c>
      <c r="R51" s="208"/>
      <c r="S51" s="195"/>
      <c r="T51" s="195"/>
      <c r="U51" s="195"/>
      <c r="V51" s="284">
        <f>Statements!G68</f>
        <v>50876</v>
      </c>
      <c r="W51" s="284">
        <f>Statements!H68</f>
        <v>43343</v>
      </c>
      <c r="X51" s="284">
        <f>Statements!I68</f>
        <v>54764</v>
      </c>
      <c r="Y51" s="284">
        <f ca="1">Statements!J68</f>
        <v>49405.293108190395</v>
      </c>
      <c r="Z51" s="285">
        <v>0</v>
      </c>
      <c r="AA51" s="286">
        <v>0</v>
      </c>
      <c r="AB51" s="287">
        <f t="shared" ca="1" si="10"/>
        <v>49405.293108190395</v>
      </c>
      <c r="AC51" s="284">
        <f ca="1">Statements!K68</f>
        <v>50010.279837317503</v>
      </c>
      <c r="AD51" s="284">
        <f ca="1">Statements!L68</f>
        <v>54300.913626419155</v>
      </c>
      <c r="AE51" s="284">
        <f ca="1">Statements!M68</f>
        <v>55181.588892050502</v>
      </c>
      <c r="AF51" s="284">
        <f ca="1">Statements!N68</f>
        <v>58046.990667891987</v>
      </c>
    </row>
    <row r="52" spans="1:32" x14ac:dyDescent="0.3">
      <c r="B52" t="s">
        <v>377</v>
      </c>
      <c r="F52" s="174">
        <f ca="1">T5+T6</f>
        <v>265.50684593565529</v>
      </c>
      <c r="H52" t="s">
        <v>380</v>
      </c>
      <c r="L52" s="174">
        <f>L10</f>
        <v>328690.18080000003</v>
      </c>
      <c r="P52" s="185" t="s">
        <v>422</v>
      </c>
      <c r="Q52" s="221" t="s">
        <v>419</v>
      </c>
      <c r="R52" s="209"/>
      <c r="S52" s="210"/>
      <c r="T52" s="210"/>
      <c r="U52" s="210"/>
      <c r="V52" s="292">
        <v>0</v>
      </c>
      <c r="W52" s="292">
        <v>0</v>
      </c>
      <c r="X52" s="292">
        <v>0</v>
      </c>
      <c r="Y52" s="292">
        <v>0</v>
      </c>
      <c r="Z52" s="293">
        <f ca="1">L54</f>
        <v>1657.5254467780078</v>
      </c>
      <c r="AA52" s="292">
        <v>0</v>
      </c>
      <c r="AB52" s="294">
        <f t="shared" ca="1" si="10"/>
        <v>1657.5254467780078</v>
      </c>
      <c r="AC52" s="292">
        <f ca="1">AB52-AC98</f>
        <v>1326.0203574224063</v>
      </c>
      <c r="AD52" s="292">
        <f t="shared" ref="AD52:AF52" ca="1" si="13">AC52-AD98</f>
        <v>994.51526806680477</v>
      </c>
      <c r="AE52" s="292">
        <f t="shared" ca="1" si="13"/>
        <v>663.01017871120325</v>
      </c>
      <c r="AF52" s="292">
        <f t="shared" ca="1" si="13"/>
        <v>331.50508935560168</v>
      </c>
    </row>
    <row r="53" spans="1:32" x14ac:dyDescent="0.3">
      <c r="B53" t="s">
        <v>378</v>
      </c>
      <c r="F53" s="174">
        <f ca="1">L36</f>
        <v>105501.69645186719</v>
      </c>
      <c r="H53" t="s">
        <v>383</v>
      </c>
      <c r="L53" s="174">
        <f>L20*L10</f>
        <v>821.72545200000013</v>
      </c>
      <c r="Q53" s="73" t="s">
        <v>114</v>
      </c>
      <c r="R53" s="33"/>
      <c r="V53" s="288">
        <f t="shared" ref="V53:Y53" si="14">SUM(V45:V52)+V44</f>
        <v>498335</v>
      </c>
      <c r="W53" s="288">
        <f t="shared" si="14"/>
        <v>464818</v>
      </c>
      <c r="X53" s="288">
        <f t="shared" si="14"/>
        <v>496274</v>
      </c>
      <c r="Y53" s="288">
        <f t="shared" ca="1" si="14"/>
        <v>485501.93431308906</v>
      </c>
      <c r="Z53" s="289"/>
      <c r="AA53" s="290"/>
      <c r="AB53" s="291">
        <f ca="1">SUM(AB45:AB52)+AB44</f>
        <v>837049.13999324001</v>
      </c>
      <c r="AC53" s="288">
        <f ca="1">SUM(AC45:AC52)+AC44</f>
        <v>789101.10443510604</v>
      </c>
      <c r="AD53" s="288">
        <f t="shared" ref="AD53:AF53" ca="1" si="15">SUM(AD45:AD52)+AD44</f>
        <v>781651.2338886729</v>
      </c>
      <c r="AE53" s="288">
        <f t="shared" ca="1" si="15"/>
        <v>770725.40703894664</v>
      </c>
      <c r="AF53" s="288">
        <f t="shared" ca="1" si="15"/>
        <v>761346.6559400059</v>
      </c>
    </row>
    <row r="54" spans="1:32" x14ac:dyDescent="0.3">
      <c r="B54" t="s">
        <v>365</v>
      </c>
      <c r="F54" s="174">
        <f ca="1">L37</f>
        <v>52750.848225933594</v>
      </c>
      <c r="H54" t="s">
        <v>428</v>
      </c>
      <c r="L54" s="174">
        <f ca="1">(L34+L35)*L21</f>
        <v>1657.5254467780078</v>
      </c>
      <c r="Q54" s="71"/>
      <c r="R54" s="33"/>
      <c r="V54" s="276"/>
      <c r="W54" s="276"/>
      <c r="X54" s="276"/>
      <c r="Y54" s="276"/>
      <c r="Z54" s="277"/>
      <c r="AA54" s="278"/>
      <c r="AB54" s="279"/>
      <c r="AC54" s="276"/>
      <c r="AD54" s="276"/>
      <c r="AE54" s="276"/>
      <c r="AF54" s="276"/>
    </row>
    <row r="55" spans="1:32" x14ac:dyDescent="0.3">
      <c r="B55" t="s">
        <v>366</v>
      </c>
      <c r="F55" s="174">
        <f ca="1">L38</f>
        <v>31650.508935560156</v>
      </c>
      <c r="H55" t="s">
        <v>384</v>
      </c>
      <c r="L55" s="174">
        <f>L22*L10</f>
        <v>1643.4509040000003</v>
      </c>
      <c r="Q55" s="75" t="s">
        <v>115</v>
      </c>
      <c r="R55" s="33"/>
      <c r="V55" s="276"/>
      <c r="W55" s="276"/>
      <c r="X55" s="276"/>
      <c r="Y55" s="276"/>
      <c r="Z55" s="277"/>
      <c r="AA55" s="278"/>
      <c r="AB55" s="279"/>
      <c r="AC55" s="276"/>
      <c r="AD55" s="276"/>
      <c r="AE55" s="276"/>
      <c r="AF55" s="276"/>
    </row>
    <row r="56" spans="1:32" x14ac:dyDescent="0.3">
      <c r="B56" t="s">
        <v>367</v>
      </c>
      <c r="F56" s="174">
        <f ca="1">L39</f>
        <v>21100.339290373438</v>
      </c>
      <c r="Q56" s="73" t="s">
        <v>116</v>
      </c>
      <c r="R56" s="33"/>
      <c r="V56" s="276"/>
      <c r="W56" s="276"/>
      <c r="X56" s="276"/>
      <c r="Y56" s="276"/>
      <c r="Z56" s="277"/>
      <c r="AA56" s="278"/>
      <c r="AB56" s="279"/>
      <c r="AC56" s="276"/>
      <c r="AD56" s="276"/>
      <c r="AE56" s="276"/>
      <c r="AF56" s="276"/>
    </row>
    <row r="57" spans="1:32" x14ac:dyDescent="0.3">
      <c r="B57" t="s">
        <v>382</v>
      </c>
      <c r="F57" s="174">
        <f ca="1">L58-SUM(F52:F56)</f>
        <v>121543.982853108</v>
      </c>
      <c r="Q57" s="72" t="s">
        <v>117</v>
      </c>
      <c r="R57" s="33"/>
      <c r="V57" s="276">
        <f>Statements!G73</f>
        <v>1683</v>
      </c>
      <c r="W57" s="276">
        <f>Statements!H73</f>
        <v>1383</v>
      </c>
      <c r="X57" s="276">
        <f>Statements!I73</f>
        <v>1284</v>
      </c>
      <c r="Y57" s="276">
        <f>Statements!J73</f>
        <v>1284</v>
      </c>
      <c r="Z57" s="277">
        <v>0</v>
      </c>
      <c r="AA57" s="278">
        <v>0</v>
      </c>
      <c r="AB57" s="279">
        <f>Y57-Z57+AA57</f>
        <v>1284</v>
      </c>
      <c r="AC57" s="276">
        <f>Statements!K73</f>
        <v>1284</v>
      </c>
      <c r="AD57" s="276">
        <f>Statements!L73</f>
        <v>1284</v>
      </c>
      <c r="AE57" s="276">
        <f>Statements!M73</f>
        <v>1284</v>
      </c>
      <c r="AF57" s="276">
        <f>Statements!N73</f>
        <v>1284</v>
      </c>
    </row>
    <row r="58" spans="1:32" x14ac:dyDescent="0.3">
      <c r="B58" s="180" t="s">
        <v>379</v>
      </c>
      <c r="C58" s="181"/>
      <c r="D58" s="181"/>
      <c r="E58" s="181"/>
      <c r="F58" s="184">
        <f ca="1">SUM(F52:F57)</f>
        <v>332812.88260277803</v>
      </c>
      <c r="H58" s="180" t="s">
        <v>381</v>
      </c>
      <c r="I58" s="181"/>
      <c r="J58" s="181"/>
      <c r="K58" s="181"/>
      <c r="L58" s="184">
        <f ca="1">SUM(L52:L57)</f>
        <v>332812.88260277803</v>
      </c>
      <c r="Q58" s="72" t="s">
        <v>118</v>
      </c>
      <c r="R58" s="33"/>
      <c r="V58" s="276">
        <f>Statements!G74</f>
        <v>15310</v>
      </c>
      <c r="W58" s="276">
        <f>Statements!H74</f>
        <v>14779</v>
      </c>
      <c r="X58" s="276">
        <f>Statements!I74</f>
        <v>15487</v>
      </c>
      <c r="Y58" s="276">
        <f>Statements!J74</f>
        <v>15487</v>
      </c>
      <c r="Z58" s="277">
        <v>0</v>
      </c>
      <c r="AA58" s="278">
        <v>0</v>
      </c>
      <c r="AB58" s="279">
        <f t="shared" ref="AB58:AB73" si="16">Y58-Z58+AA58</f>
        <v>15487</v>
      </c>
      <c r="AC58" s="276">
        <f>Statements!K74</f>
        <v>15487</v>
      </c>
      <c r="AD58" s="276">
        <f>Statements!L74</f>
        <v>15487</v>
      </c>
      <c r="AE58" s="276">
        <f>Statements!M74</f>
        <v>15487</v>
      </c>
      <c r="AF58" s="276">
        <f>Statements!N74</f>
        <v>15487</v>
      </c>
    </row>
    <row r="59" spans="1:32" x14ac:dyDescent="0.3">
      <c r="Q59" s="72" t="s">
        <v>119</v>
      </c>
      <c r="R59" s="33"/>
      <c r="V59" s="276">
        <f>Statements!G75</f>
        <v>19896</v>
      </c>
      <c r="W59" s="276">
        <f>Statements!H75</f>
        <v>24070</v>
      </c>
      <c r="X59" s="276">
        <f>Statements!I75</f>
        <v>19985</v>
      </c>
      <c r="Y59" s="276">
        <f ca="1">Statements!J75</f>
        <v>19751.883471003592</v>
      </c>
      <c r="Z59" s="277">
        <v>0</v>
      </c>
      <c r="AA59" s="278">
        <v>0</v>
      </c>
      <c r="AB59" s="279">
        <f t="shared" ca="1" si="16"/>
        <v>19751.883471003592</v>
      </c>
      <c r="AC59" s="276">
        <f ca="1">Statements!K75</f>
        <v>20460.493854916247</v>
      </c>
      <c r="AD59" s="276">
        <f ca="1">Statements!L75</f>
        <v>21801.643899731873</v>
      </c>
      <c r="AE59" s="276">
        <f ca="1">Statements!M75</f>
        <v>23117.19542596925</v>
      </c>
      <c r="AF59" s="276">
        <f ca="1">Statements!N75</f>
        <v>24848.253717159612</v>
      </c>
    </row>
    <row r="60" spans="1:32" x14ac:dyDescent="0.3">
      <c r="Q60" s="206" t="s">
        <v>120</v>
      </c>
      <c r="R60" s="208"/>
      <c r="S60" s="195"/>
      <c r="T60" s="195"/>
      <c r="U60" s="195"/>
      <c r="V60" s="284">
        <f>Statements!G76</f>
        <v>56762</v>
      </c>
      <c r="W60" s="284">
        <f>Statements!H76</f>
        <v>63068</v>
      </c>
      <c r="X60" s="284">
        <f>Statements!I76</f>
        <v>58842</v>
      </c>
      <c r="Y60" s="284">
        <f ca="1">Statements!J76</f>
        <v>59170.652944818357</v>
      </c>
      <c r="Z60" s="285">
        <v>0</v>
      </c>
      <c r="AA60" s="286">
        <v>0</v>
      </c>
      <c r="AB60" s="287">
        <f t="shared" ca="1" si="16"/>
        <v>59170.652944818357</v>
      </c>
      <c r="AC60" s="284">
        <f ca="1">Statements!K76</f>
        <v>61309.131334743754</v>
      </c>
      <c r="AD60" s="284">
        <f ca="1">Statements!L76</f>
        <v>63123.887618097222</v>
      </c>
      <c r="AE60" s="284">
        <f ca="1">Statements!M76</f>
        <v>65935.797981863609</v>
      </c>
      <c r="AF60" s="284">
        <f ca="1">Statements!N76</f>
        <v>69306.650075824669</v>
      </c>
    </row>
    <row r="61" spans="1:32" x14ac:dyDescent="0.3">
      <c r="A61" t="s">
        <v>422</v>
      </c>
      <c r="B61" s="177" t="s">
        <v>393</v>
      </c>
      <c r="C61" s="178"/>
      <c r="D61" s="178"/>
      <c r="E61" s="178"/>
      <c r="F61" s="178"/>
      <c r="G61" s="178"/>
      <c r="H61" s="178"/>
      <c r="I61" s="178"/>
      <c r="J61" s="178"/>
      <c r="K61" s="178"/>
      <c r="L61" s="179"/>
      <c r="Q61" s="222" t="s">
        <v>121</v>
      </c>
      <c r="R61" s="208"/>
      <c r="S61" s="195"/>
      <c r="T61" s="195"/>
      <c r="U61" s="195"/>
      <c r="V61" s="295">
        <f>Statements!G77</f>
        <v>93651</v>
      </c>
      <c r="W61" s="295">
        <f>Statements!H77</f>
        <v>103300</v>
      </c>
      <c r="X61" s="295">
        <f>Statements!I77</f>
        <v>95598</v>
      </c>
      <c r="Y61" s="295">
        <f ca="1">Statements!J77</f>
        <v>95693.536415821945</v>
      </c>
      <c r="Z61" s="296"/>
      <c r="AA61" s="297"/>
      <c r="AB61" s="298">
        <f ca="1">SUM(AB57:AB60)</f>
        <v>95693.536415821945</v>
      </c>
      <c r="AC61" s="295">
        <f ca="1">SUM(AC57:AC60)</f>
        <v>98540.625189660001</v>
      </c>
      <c r="AD61" s="295">
        <f t="shared" ref="AD61:AF61" ca="1" si="17">SUM(AD57:AD60)</f>
        <v>101696.53151782911</v>
      </c>
      <c r="AE61" s="295">
        <f t="shared" ca="1" si="17"/>
        <v>105823.99340783287</v>
      </c>
      <c r="AF61" s="295">
        <f t="shared" ca="1" si="17"/>
        <v>110925.90379298429</v>
      </c>
    </row>
    <row r="62" spans="1:32" x14ac:dyDescent="0.3">
      <c r="P62" s="185" t="s">
        <v>422</v>
      </c>
      <c r="Q62" s="72" t="s">
        <v>257</v>
      </c>
      <c r="R62" s="33"/>
      <c r="V62" s="276">
        <f>Statements!G78</f>
        <v>0</v>
      </c>
      <c r="W62" s="276">
        <f>Statements!H78</f>
        <v>0</v>
      </c>
      <c r="X62" s="276">
        <f>Statements!I78</f>
        <v>0</v>
      </c>
      <c r="Y62" s="276">
        <f ca="1">Statements!J78</f>
        <v>0</v>
      </c>
      <c r="Z62" s="277">
        <v>0</v>
      </c>
      <c r="AA62" s="278">
        <v>0</v>
      </c>
      <c r="AB62" s="279">
        <f t="shared" ca="1" si="16"/>
        <v>0</v>
      </c>
      <c r="AC62" s="276">
        <f ca="1">AB62+AC115</f>
        <v>0</v>
      </c>
      <c r="AD62" s="276">
        <f t="shared" ref="AD62:AF62" ca="1" si="18">AC62+AD115</f>
        <v>21840.733588479758</v>
      </c>
      <c r="AE62" s="276">
        <f t="shared" ca="1" si="18"/>
        <v>34910.478393505087</v>
      </c>
      <c r="AF62" s="276">
        <f t="shared" ca="1" si="18"/>
        <v>47573.54383072273</v>
      </c>
    </row>
    <row r="63" spans="1:32" x14ac:dyDescent="0.3">
      <c r="B63" s="173" t="s">
        <v>394</v>
      </c>
      <c r="H63" s="173" t="s">
        <v>399</v>
      </c>
      <c r="Q63" s="72" t="s">
        <v>453</v>
      </c>
      <c r="R63" s="33"/>
      <c r="V63" s="276">
        <f>Statements!G79</f>
        <v>261500</v>
      </c>
      <c r="W63" s="276">
        <f>Statements!H79</f>
        <v>255500</v>
      </c>
      <c r="X63" s="276">
        <f>Statements!I79</f>
        <v>261300</v>
      </c>
      <c r="Y63" s="276">
        <f>Statements!J79</f>
        <v>211300</v>
      </c>
      <c r="Z63" s="277">
        <v>0</v>
      </c>
      <c r="AA63" s="278">
        <v>0</v>
      </c>
      <c r="AB63" s="279">
        <f t="shared" si="16"/>
        <v>211300</v>
      </c>
      <c r="AC63" s="276">
        <f>AB63+AC120</f>
        <v>171300</v>
      </c>
      <c r="AD63" s="276">
        <f>AC63+AD120</f>
        <v>131300</v>
      </c>
      <c r="AE63" s="276">
        <f>AD63+AE120</f>
        <v>91300</v>
      </c>
      <c r="AF63" s="276">
        <f>AE63+AF120</f>
        <v>51300</v>
      </c>
    </row>
    <row r="64" spans="1:32" x14ac:dyDescent="0.3">
      <c r="B64" t="s">
        <v>395</v>
      </c>
      <c r="F64" s="174">
        <f>L10</f>
        <v>328690.18080000003</v>
      </c>
      <c r="H64" t="s">
        <v>400</v>
      </c>
      <c r="L64" s="212">
        <v>0.12</v>
      </c>
      <c r="P64" s="185" t="s">
        <v>422</v>
      </c>
      <c r="Q64" s="223" t="s">
        <v>378</v>
      </c>
      <c r="R64" s="207"/>
      <c r="S64" s="181"/>
      <c r="T64" s="181"/>
      <c r="U64" s="181"/>
      <c r="V64" s="280">
        <v>0</v>
      </c>
      <c r="W64" s="280">
        <v>0</v>
      </c>
      <c r="X64" s="280">
        <v>0</v>
      </c>
      <c r="Y64" s="280">
        <v>0</v>
      </c>
      <c r="Z64" s="281">
        <v>0</v>
      </c>
      <c r="AA64" s="282">
        <f ca="1">F53</f>
        <v>105501.69645186719</v>
      </c>
      <c r="AB64" s="283">
        <f t="shared" ca="1" si="16"/>
        <v>105501.69645186719</v>
      </c>
      <c r="AC64" s="280">
        <f ca="1">AB64+AC116</f>
        <v>78669.443479685782</v>
      </c>
      <c r="AD64" s="280">
        <f t="shared" ref="AD64:AF64" ca="1" si="19">AC64+AD116</f>
        <v>68119.273834499065</v>
      </c>
      <c r="AE64" s="280">
        <f t="shared" ca="1" si="19"/>
        <v>57569.104189312347</v>
      </c>
      <c r="AF64" s="280">
        <f t="shared" ca="1" si="19"/>
        <v>47018.93454412563</v>
      </c>
    </row>
    <row r="65" spans="1:33" x14ac:dyDescent="0.3">
      <c r="B65" t="s">
        <v>396</v>
      </c>
      <c r="F65" s="196">
        <f ca="1">-Y84</f>
        <v>-2210.5536178750917</v>
      </c>
      <c r="H65" t="s">
        <v>401</v>
      </c>
      <c r="L65" s="174">
        <f ca="1">L64*Y45</f>
        <v>12492.520321973618</v>
      </c>
      <c r="P65" s="185" t="s">
        <v>422</v>
      </c>
      <c r="Q65" s="224" t="s">
        <v>365</v>
      </c>
      <c r="R65" s="33"/>
      <c r="V65" s="276">
        <v>0</v>
      </c>
      <c r="W65" s="276">
        <v>0</v>
      </c>
      <c r="X65" s="276">
        <v>0</v>
      </c>
      <c r="Y65" s="276">
        <v>0</v>
      </c>
      <c r="Z65" s="277">
        <v>0</v>
      </c>
      <c r="AA65" s="278">
        <f ca="1">F54</f>
        <v>52750.848225933594</v>
      </c>
      <c r="AB65" s="279">
        <f t="shared" ca="1" si="16"/>
        <v>52750.848225933594</v>
      </c>
      <c r="AC65" s="276">
        <f t="shared" ref="AC65:AF66" ca="1" si="20">AB65+AC117</f>
        <v>51695.831261414925</v>
      </c>
      <c r="AD65" s="276">
        <f t="shared" ca="1" si="20"/>
        <v>50640.814296896257</v>
      </c>
      <c r="AE65" s="276">
        <f t="shared" ca="1" si="20"/>
        <v>49585.797332377588</v>
      </c>
      <c r="AF65" s="276">
        <f t="shared" ca="1" si="20"/>
        <v>48530.780367858919</v>
      </c>
    </row>
    <row r="66" spans="1:33" x14ac:dyDescent="0.3">
      <c r="B66" t="s">
        <v>398</v>
      </c>
      <c r="F66" s="175">
        <f>Y48</f>
        <v>66357</v>
      </c>
      <c r="H66" t="s">
        <v>402</v>
      </c>
      <c r="L66" s="271">
        <v>8</v>
      </c>
      <c r="P66" s="185" t="s">
        <v>422</v>
      </c>
      <c r="Q66" s="224" t="s">
        <v>366</v>
      </c>
      <c r="R66" s="33"/>
      <c r="V66" s="276">
        <v>0</v>
      </c>
      <c r="W66" s="276">
        <v>0</v>
      </c>
      <c r="X66" s="276">
        <v>0</v>
      </c>
      <c r="Y66" s="276">
        <v>0</v>
      </c>
      <c r="Z66" s="277">
        <v>0</v>
      </c>
      <c r="AA66" s="278">
        <f ca="1">F55</f>
        <v>31650.508935560156</v>
      </c>
      <c r="AB66" s="279">
        <f t="shared" ca="1" si="16"/>
        <v>31650.508935560156</v>
      </c>
      <c r="AC66" s="276">
        <f t="shared" ca="1" si="20"/>
        <v>31650.508935560156</v>
      </c>
      <c r="AD66" s="276">
        <f t="shared" ca="1" si="20"/>
        <v>31650.508935560156</v>
      </c>
      <c r="AE66" s="276">
        <f t="shared" ca="1" si="20"/>
        <v>31650.508935560156</v>
      </c>
      <c r="AF66" s="276">
        <f t="shared" ca="1" si="20"/>
        <v>31650.508935560156</v>
      </c>
    </row>
    <row r="67" spans="1:33" x14ac:dyDescent="0.3">
      <c r="B67" s="180" t="s">
        <v>397</v>
      </c>
      <c r="C67" s="181"/>
      <c r="D67" s="181"/>
      <c r="E67" s="181"/>
      <c r="F67" s="184">
        <f ca="1">SUM(F64:F66)</f>
        <v>392836.62718212494</v>
      </c>
      <c r="P67" s="185" t="s">
        <v>422</v>
      </c>
      <c r="Q67" s="224" t="s">
        <v>367</v>
      </c>
      <c r="R67" s="33"/>
      <c r="V67" s="276">
        <v>0</v>
      </c>
      <c r="W67" s="276">
        <v>0</v>
      </c>
      <c r="X67" s="276">
        <v>0</v>
      </c>
      <c r="Y67" s="276">
        <v>0</v>
      </c>
      <c r="Z67" s="277">
        <v>0</v>
      </c>
      <c r="AA67" s="278">
        <f ca="1">F56</f>
        <v>21100.339290373438</v>
      </c>
      <c r="AB67" s="279">
        <f t="shared" ca="1" si="16"/>
        <v>21100.339290373438</v>
      </c>
      <c r="AC67" s="276">
        <f ca="1">AB67+AC119+AC99</f>
        <v>24522.015932055619</v>
      </c>
      <c r="AD67" s="276">
        <f t="shared" ref="AD67:AF67" ca="1" si="21">AC67+AD119+AD99</f>
        <v>28498.559056172748</v>
      </c>
      <c r="AE67" s="276">
        <f t="shared" ca="1" si="21"/>
        <v>33119.947011227785</v>
      </c>
      <c r="AF67" s="276">
        <f t="shared" ca="1" si="21"/>
        <v>38490.749229264722</v>
      </c>
    </row>
    <row r="68" spans="1:33" x14ac:dyDescent="0.3">
      <c r="P68" s="185" t="s">
        <v>422</v>
      </c>
      <c r="Q68" s="225" t="s">
        <v>420</v>
      </c>
      <c r="R68" s="208"/>
      <c r="S68" s="195"/>
      <c r="T68" s="195"/>
      <c r="U68" s="195"/>
      <c r="V68" s="284">
        <v>0</v>
      </c>
      <c r="W68" s="284">
        <v>0</v>
      </c>
      <c r="X68" s="284">
        <v>0</v>
      </c>
      <c r="Y68" s="284">
        <v>0</v>
      </c>
      <c r="Z68" s="285">
        <v>0</v>
      </c>
      <c r="AA68" s="286">
        <f ca="1">L76</f>
        <v>23675.559897183637</v>
      </c>
      <c r="AB68" s="287">
        <f t="shared" ca="1" si="16"/>
        <v>23675.559897183637</v>
      </c>
      <c r="AC68" s="284">
        <f t="shared" ref="AC68:AF68" ca="1" si="22">AB68</f>
        <v>23675.559897183637</v>
      </c>
      <c r="AD68" s="284">
        <f t="shared" ca="1" si="22"/>
        <v>23675.559897183637</v>
      </c>
      <c r="AE68" s="284">
        <f t="shared" ca="1" si="22"/>
        <v>23675.559897183637</v>
      </c>
      <c r="AF68" s="284">
        <f t="shared" ca="1" si="22"/>
        <v>23675.559897183637</v>
      </c>
    </row>
    <row r="69" spans="1:33" x14ac:dyDescent="0.3">
      <c r="B69" t="s">
        <v>408</v>
      </c>
      <c r="F69" s="196">
        <f ca="1">-L65</f>
        <v>-12492.520321973618</v>
      </c>
      <c r="H69" s="173" t="s">
        <v>403</v>
      </c>
      <c r="Q69" s="72" t="s">
        <v>123</v>
      </c>
      <c r="R69" s="33"/>
      <c r="V69" s="276">
        <f>Statements!G80</f>
        <v>9555</v>
      </c>
      <c r="W69" s="276">
        <f>Statements!H80</f>
        <v>9150</v>
      </c>
      <c r="X69" s="276">
        <f>Statements!I80</f>
        <v>9284</v>
      </c>
      <c r="Y69" s="276">
        <f>Statements!J80</f>
        <v>9284</v>
      </c>
      <c r="Z69" s="277">
        <v>0</v>
      </c>
      <c r="AA69" s="278">
        <v>0</v>
      </c>
      <c r="AB69" s="279">
        <f t="shared" si="16"/>
        <v>9284</v>
      </c>
      <c r="AC69" s="276">
        <f>Statements!K80</f>
        <v>9284</v>
      </c>
      <c r="AD69" s="276">
        <f>Statements!L80</f>
        <v>9284</v>
      </c>
      <c r="AE69" s="276">
        <f>Statements!M80</f>
        <v>9284</v>
      </c>
      <c r="AF69" s="276">
        <f>Statements!N80</f>
        <v>9284</v>
      </c>
    </row>
    <row r="70" spans="1:33" x14ac:dyDescent="0.3">
      <c r="B70" t="s">
        <v>409</v>
      </c>
      <c r="F70" s="196">
        <f ca="1">-L72</f>
        <v>-78567.325436424988</v>
      </c>
      <c r="H70" t="s">
        <v>404</v>
      </c>
      <c r="L70" s="174">
        <f ca="1">F67</f>
        <v>392836.62718212494</v>
      </c>
      <c r="Q70" s="72" t="s">
        <v>124</v>
      </c>
      <c r="R70" s="33"/>
      <c r="V70" s="276">
        <f>Statements!G81</f>
        <v>123404</v>
      </c>
      <c r="W70" s="276">
        <f>Statements!H81</f>
        <v>114451</v>
      </c>
      <c r="X70" s="276">
        <f>Statements!I81</f>
        <v>120841</v>
      </c>
      <c r="Y70" s="276">
        <f>Statements!J81</f>
        <v>120841</v>
      </c>
      <c r="Z70" s="277">
        <v>0</v>
      </c>
      <c r="AA70" s="278">
        <v>0</v>
      </c>
      <c r="AB70" s="279">
        <f t="shared" si="16"/>
        <v>120841</v>
      </c>
      <c r="AC70" s="276">
        <f>Statements!K81</f>
        <v>120841</v>
      </c>
      <c r="AD70" s="276">
        <f>Statements!L81</f>
        <v>120841</v>
      </c>
      <c r="AE70" s="276">
        <f>Statements!M81</f>
        <v>120841</v>
      </c>
      <c r="AF70" s="276">
        <f>Statements!N81</f>
        <v>120841</v>
      </c>
    </row>
    <row r="71" spans="1:33" x14ac:dyDescent="0.3">
      <c r="B71" t="s">
        <v>410</v>
      </c>
      <c r="F71" s="272">
        <v>0</v>
      </c>
      <c r="H71" t="s">
        <v>405</v>
      </c>
      <c r="L71" s="267">
        <v>0.2</v>
      </c>
      <c r="Q71" s="72" t="s">
        <v>125</v>
      </c>
      <c r="R71" s="33"/>
      <c r="V71" s="276">
        <f>Statements!G82</f>
        <v>7324</v>
      </c>
      <c r="W71" s="276">
        <f>Statements!H82</f>
        <v>6929</v>
      </c>
      <c r="X71" s="276">
        <f>Statements!I82</f>
        <v>5866</v>
      </c>
      <c r="Y71" s="276">
        <f>Statements!J82</f>
        <v>5866</v>
      </c>
      <c r="Z71" s="277">
        <v>0</v>
      </c>
      <c r="AA71" s="278">
        <v>0</v>
      </c>
      <c r="AB71" s="279">
        <f t="shared" si="16"/>
        <v>5866</v>
      </c>
      <c r="AC71" s="276">
        <f>Statements!K82</f>
        <v>5866</v>
      </c>
      <c r="AD71" s="276">
        <f>Statements!L82</f>
        <v>5866</v>
      </c>
      <c r="AE71" s="276">
        <f>Statements!M82</f>
        <v>5866</v>
      </c>
      <c r="AF71" s="276">
        <f>Statements!N82</f>
        <v>5866</v>
      </c>
    </row>
    <row r="72" spans="1:33" x14ac:dyDescent="0.3">
      <c r="B72" t="s">
        <v>411</v>
      </c>
      <c r="F72" s="174">
        <f ca="1">L76</f>
        <v>23675.559897183637</v>
      </c>
      <c r="H72" t="s">
        <v>406</v>
      </c>
      <c r="L72" s="174">
        <f ca="1">L70*L71</f>
        <v>78567.325436424988</v>
      </c>
      <c r="Q72" s="72" t="s">
        <v>126</v>
      </c>
      <c r="R72" s="33"/>
      <c r="V72" s="276">
        <f>Statements!G83</f>
        <v>7419</v>
      </c>
      <c r="W72" s="276">
        <f>Statements!H83</f>
        <v>6582</v>
      </c>
      <c r="X72" s="276">
        <f>Statements!I83</f>
        <v>9964</v>
      </c>
      <c r="Y72" s="276">
        <f>Statements!J83</f>
        <v>9964</v>
      </c>
      <c r="Z72" s="277">
        <v>0</v>
      </c>
      <c r="AA72" s="278">
        <v>0</v>
      </c>
      <c r="AB72" s="279">
        <f t="shared" si="16"/>
        <v>9964</v>
      </c>
      <c r="AC72" s="276">
        <f>Statements!K83</f>
        <v>9964</v>
      </c>
      <c r="AD72" s="276">
        <f>Statements!L83</f>
        <v>9964</v>
      </c>
      <c r="AE72" s="276">
        <f>Statements!M83</f>
        <v>9964</v>
      </c>
      <c r="AF72" s="276">
        <f>Statements!N83</f>
        <v>9964</v>
      </c>
    </row>
    <row r="73" spans="1:33" x14ac:dyDescent="0.3">
      <c r="B73" s="180" t="s">
        <v>412</v>
      </c>
      <c r="C73" s="181"/>
      <c r="D73" s="181"/>
      <c r="E73" s="181"/>
      <c r="F73" s="184">
        <f ca="1">F67+SUM(F69:F72)</f>
        <v>325452.34132090997</v>
      </c>
      <c r="H73" t="s">
        <v>407</v>
      </c>
      <c r="L73" s="271">
        <v>5</v>
      </c>
      <c r="Q73" s="206" t="s">
        <v>127</v>
      </c>
      <c r="R73" s="208"/>
      <c r="S73" s="195"/>
      <c r="T73" s="195"/>
      <c r="U73" s="195"/>
      <c r="V73" s="284">
        <f>Statements!G84</f>
        <v>32598</v>
      </c>
      <c r="W73" s="284">
        <f>Statements!H84</f>
        <v>31592</v>
      </c>
      <c r="X73" s="284">
        <f>Statements!I84</f>
        <v>27446</v>
      </c>
      <c r="Y73" s="284">
        <f ca="1">Statements!J84</f>
        <v>30342.844279391982</v>
      </c>
      <c r="Z73" s="285">
        <v>0</v>
      </c>
      <c r="AA73" s="286">
        <v>0</v>
      </c>
      <c r="AB73" s="287">
        <f t="shared" ca="1" si="16"/>
        <v>30342.844279391982</v>
      </c>
      <c r="AC73" s="284">
        <f ca="1">Statements!K84</f>
        <v>30256.023810185077</v>
      </c>
      <c r="AD73" s="284">
        <f ca="1">Statements!L84</f>
        <v>30989.279387796785</v>
      </c>
      <c r="AE73" s="284">
        <f ca="1">Statements!M84</f>
        <v>32904.354978752177</v>
      </c>
      <c r="AF73" s="284">
        <f ca="1">Statements!N84</f>
        <v>34271.252670147485</v>
      </c>
    </row>
    <row r="74" spans="1:33" x14ac:dyDescent="0.3">
      <c r="Q74" s="226" t="s">
        <v>128</v>
      </c>
      <c r="R74" s="209"/>
      <c r="S74" s="210"/>
      <c r="T74" s="210"/>
      <c r="U74" s="210"/>
      <c r="V74" s="299">
        <f>Statements!G85</f>
        <v>441800</v>
      </c>
      <c r="W74" s="299">
        <f>Statements!H85</f>
        <v>424204</v>
      </c>
      <c r="X74" s="299">
        <f>Statements!I85</f>
        <v>434701</v>
      </c>
      <c r="Y74" s="299">
        <f ca="1">Statements!J85</f>
        <v>387597.84427939198</v>
      </c>
      <c r="Z74" s="300"/>
      <c r="AA74" s="299"/>
      <c r="AB74" s="301">
        <f ca="1">SUM(AB62:AB73)</f>
        <v>622276.79708031006</v>
      </c>
      <c r="AC74" s="299">
        <f ca="1">SUM(AC62:AC73)</f>
        <v>557724.38331608521</v>
      </c>
      <c r="AD74" s="299">
        <f t="shared" ref="AD74:AF74" ca="1" si="23">SUM(AD62:AD73)</f>
        <v>532669.72899658838</v>
      </c>
      <c r="AE74" s="299">
        <f t="shared" ca="1" si="23"/>
        <v>500670.75073791877</v>
      </c>
      <c r="AF74" s="299">
        <f t="shared" ca="1" si="23"/>
        <v>468466.32947486325</v>
      </c>
    </row>
    <row r="75" spans="1:33" x14ac:dyDescent="0.3">
      <c r="Q75" s="73" t="s">
        <v>129</v>
      </c>
      <c r="R75" s="33"/>
      <c r="V75" s="288">
        <f>Statements!G86</f>
        <v>535451</v>
      </c>
      <c r="W75" s="288">
        <f>Statements!H86</f>
        <v>527504</v>
      </c>
      <c r="X75" s="288">
        <f>Statements!I86</f>
        <v>530299</v>
      </c>
      <c r="Y75" s="288">
        <f ca="1">Statements!J86</f>
        <v>483291.38069521391</v>
      </c>
      <c r="Z75" s="289"/>
      <c r="AA75" s="290"/>
      <c r="AB75" s="291">
        <f ca="1">AB74+AB61</f>
        <v>717970.33349613205</v>
      </c>
      <c r="AC75" s="288">
        <f ca="1">AC74+AC61</f>
        <v>656265.00850574521</v>
      </c>
      <c r="AD75" s="288">
        <f t="shared" ref="AD75:AF75" ca="1" si="24">AD74+AD61</f>
        <v>634366.26051441743</v>
      </c>
      <c r="AE75" s="288">
        <f t="shared" ca="1" si="24"/>
        <v>606494.7441457517</v>
      </c>
      <c r="AF75" s="288">
        <f t="shared" ca="1" si="24"/>
        <v>579392.23326784757</v>
      </c>
    </row>
    <row r="76" spans="1:33" x14ac:dyDescent="0.3">
      <c r="B76" t="s">
        <v>413</v>
      </c>
      <c r="F76" s="271">
        <v>5</v>
      </c>
      <c r="H76" t="s">
        <v>414</v>
      </c>
      <c r="L76" s="174">
        <f ca="1">(L72+L65)*F14</f>
        <v>23675.559897183637</v>
      </c>
      <c r="Q76" s="71"/>
      <c r="R76" s="33"/>
      <c r="V76" s="276"/>
      <c r="W76" s="276"/>
      <c r="X76" s="276"/>
      <c r="Y76" s="276"/>
      <c r="Z76" s="277"/>
      <c r="AA76" s="278"/>
      <c r="AB76" s="279"/>
      <c r="AC76" s="276"/>
      <c r="AD76" s="276"/>
      <c r="AE76" s="276"/>
      <c r="AF76" s="276"/>
    </row>
    <row r="77" spans="1:33" x14ac:dyDescent="0.3">
      <c r="Q77" s="75" t="s">
        <v>130</v>
      </c>
      <c r="R77" s="33"/>
      <c r="V77" s="276"/>
      <c r="W77" s="276"/>
      <c r="X77" s="276"/>
      <c r="Y77" s="276"/>
      <c r="Z77" s="277"/>
      <c r="AA77" s="278"/>
      <c r="AB77" s="279"/>
      <c r="AC77" s="276"/>
      <c r="AD77" s="276"/>
      <c r="AE77" s="276"/>
      <c r="AF77" s="276"/>
    </row>
    <row r="78" spans="1:33" x14ac:dyDescent="0.3">
      <c r="Q78" s="72" t="s">
        <v>138</v>
      </c>
      <c r="R78" s="33"/>
      <c r="V78" s="276">
        <f>Statements!G89</f>
        <v>650</v>
      </c>
      <c r="W78" s="276">
        <f>Statements!H89</f>
        <v>529</v>
      </c>
      <c r="X78" s="276">
        <f>Statements!I89</f>
        <v>513</v>
      </c>
      <c r="Y78" s="276">
        <f>Statements!J89</f>
        <v>513</v>
      </c>
      <c r="Z78" s="277">
        <f>Y78</f>
        <v>513</v>
      </c>
      <c r="AA78" s="278"/>
      <c r="AB78" s="279">
        <f t="shared" ref="AB78:AB82" si="25">Y78-Z78+AA78</f>
        <v>0</v>
      </c>
      <c r="AC78" s="276">
        <f>AB78</f>
        <v>0</v>
      </c>
      <c r="AD78" s="276">
        <f t="shared" ref="AD78:AF78" si="26">AC78</f>
        <v>0</v>
      </c>
      <c r="AE78" s="276">
        <f t="shared" si="26"/>
        <v>0</v>
      </c>
      <c r="AF78" s="276">
        <f t="shared" si="26"/>
        <v>0</v>
      </c>
    </row>
    <row r="79" spans="1:33" x14ac:dyDescent="0.3">
      <c r="A79" t="s">
        <v>422</v>
      </c>
      <c r="B79" s="177" t="s">
        <v>454</v>
      </c>
      <c r="C79" s="178"/>
      <c r="D79" s="178"/>
      <c r="E79" s="178"/>
      <c r="F79" s="178"/>
      <c r="G79" s="178"/>
      <c r="H79" s="178"/>
      <c r="I79" s="178"/>
      <c r="J79" s="178"/>
      <c r="K79" s="178"/>
      <c r="L79" s="179"/>
      <c r="Q79" s="72" t="s">
        <v>131</v>
      </c>
      <c r="R79" s="33"/>
      <c r="V79" s="276">
        <f>Statements!G90</f>
        <v>142136</v>
      </c>
      <c r="W79" s="276">
        <f>Statements!H90</f>
        <v>6688</v>
      </c>
      <c r="X79" s="276">
        <f>Statements!I90</f>
        <v>0</v>
      </c>
      <c r="Y79" s="276">
        <f ca="1">Statements!J90</f>
        <v>7699.8803616067371</v>
      </c>
      <c r="Z79" s="277">
        <f ca="1">Y79</f>
        <v>7699.8803616067371</v>
      </c>
      <c r="AA79" s="278"/>
      <c r="AB79" s="279">
        <f t="shared" ca="1" si="25"/>
        <v>0</v>
      </c>
      <c r="AC79" s="276">
        <f ca="1">AB79+AC100</f>
        <v>9677.7861783957069</v>
      </c>
      <c r="AD79" s="276">
        <f t="shared" ref="AD79:AF79" ca="1" si="27">AC79+AD100</f>
        <v>19493.787709297612</v>
      </c>
      <c r="AE79" s="276">
        <f t="shared" ca="1" si="27"/>
        <v>29041.958228995201</v>
      </c>
      <c r="AF79" s="276">
        <f t="shared" ca="1" si="27"/>
        <v>38945.214862825895</v>
      </c>
      <c r="AG79" t="s">
        <v>430</v>
      </c>
    </row>
    <row r="80" spans="1:33" x14ac:dyDescent="0.3">
      <c r="B80" s="193"/>
      <c r="H80" s="182">
        <v>46016</v>
      </c>
      <c r="I80" s="192">
        <v>46381</v>
      </c>
      <c r="J80" s="183">
        <v>46746</v>
      </c>
      <c r="K80" s="183">
        <v>47112</v>
      </c>
      <c r="L80" s="183">
        <v>47477</v>
      </c>
      <c r="Q80" s="72" t="s">
        <v>132</v>
      </c>
      <c r="R80" s="33"/>
      <c r="V80" s="276">
        <f>Statements!G91</f>
        <v>-41729</v>
      </c>
      <c r="W80" s="276">
        <f>Statements!H91</f>
        <v>-21784</v>
      </c>
      <c r="X80" s="276">
        <f>Statements!I91</f>
        <v>-2499</v>
      </c>
      <c r="Y80" s="276">
        <f ca="1">Statements!J91</f>
        <v>26036.67325626835</v>
      </c>
      <c r="Z80" s="277">
        <f ca="1">Y80+L53+L55</f>
        <v>28501.84961226835</v>
      </c>
      <c r="AA80" s="278"/>
      <c r="AB80" s="279">
        <f t="shared" ca="1" si="25"/>
        <v>-2465.1763559999999</v>
      </c>
      <c r="AC80" s="276">
        <f ca="1">AB80+AC30</f>
        <v>1614.326897856668</v>
      </c>
      <c r="AD80" s="276">
        <f t="shared" ref="AD80:AF80" ca="1" si="28">AC80+AD30</f>
        <v>6247.202811846335</v>
      </c>
      <c r="AE80" s="276">
        <f t="shared" ca="1" si="28"/>
        <v>13644.721811324891</v>
      </c>
      <c r="AF80" s="276">
        <f t="shared" ca="1" si="28"/>
        <v>21465.225009145797</v>
      </c>
      <c r="AG80" t="s">
        <v>431</v>
      </c>
    </row>
    <row r="81" spans="2:32" x14ac:dyDescent="0.3">
      <c r="B81" s="193"/>
      <c r="H81" s="193"/>
      <c r="L81" s="194"/>
      <c r="Q81" s="72" t="s">
        <v>133</v>
      </c>
      <c r="R81" s="33"/>
      <c r="V81" s="276">
        <f>Statements!G92</f>
        <v>-42697</v>
      </c>
      <c r="W81" s="276">
        <f>Statements!H92</f>
        <v>-41659</v>
      </c>
      <c r="X81" s="276">
        <f>Statements!I92</f>
        <v>-32039</v>
      </c>
      <c r="Y81" s="276">
        <f>Statements!J92</f>
        <v>-32039</v>
      </c>
      <c r="Z81" s="277">
        <f>Y81</f>
        <v>-32039</v>
      </c>
      <c r="AA81" s="278"/>
      <c r="AB81" s="279">
        <f t="shared" si="25"/>
        <v>0</v>
      </c>
      <c r="AC81" s="276">
        <f>AB81</f>
        <v>0</v>
      </c>
      <c r="AD81" s="276">
        <f t="shared" ref="AD81:AF81" si="29">AC81</f>
        <v>0</v>
      </c>
      <c r="AE81" s="276">
        <f t="shared" si="29"/>
        <v>0</v>
      </c>
      <c r="AF81" s="276">
        <f t="shared" si="29"/>
        <v>0</v>
      </c>
    </row>
    <row r="82" spans="2:32" x14ac:dyDescent="0.3">
      <c r="B82" s="193" t="s">
        <v>64</v>
      </c>
      <c r="H82" s="203">
        <f ca="1">Y24+Y16+Y17+Y18+Y19</f>
        <v>70334.464301244792</v>
      </c>
      <c r="I82" s="175"/>
      <c r="L82" s="199">
        <f ca="1">AF24+AF17+AF16+AF18+AF19</f>
        <v>63693.737822212192</v>
      </c>
      <c r="Q82" s="72" t="s">
        <v>139</v>
      </c>
      <c r="R82" s="33"/>
      <c r="V82" s="276">
        <f>Statements!G93</f>
        <v>-95476</v>
      </c>
      <c r="W82" s="276">
        <f>Statements!H93</f>
        <v>-6460</v>
      </c>
      <c r="X82" s="276">
        <f>Statements!I93</f>
        <v>0</v>
      </c>
      <c r="Y82" s="276">
        <f>Statements!J93</f>
        <v>0</v>
      </c>
      <c r="Z82" s="277">
        <f>Y82</f>
        <v>0</v>
      </c>
      <c r="AA82" s="278"/>
      <c r="AB82" s="279">
        <f t="shared" si="25"/>
        <v>0</v>
      </c>
      <c r="AC82" s="276">
        <f>Statements!K93</f>
        <v>0</v>
      </c>
      <c r="AD82" s="276">
        <f>Statements!L93</f>
        <v>0</v>
      </c>
      <c r="AE82" s="276">
        <f>Statements!M93</f>
        <v>0</v>
      </c>
      <c r="AF82" s="276">
        <f>Statements!N93</f>
        <v>0</v>
      </c>
    </row>
    <row r="83" spans="2:32" x14ac:dyDescent="0.3">
      <c r="B83" s="193" t="s">
        <v>455</v>
      </c>
      <c r="H83" s="230">
        <f ca="1">L12</f>
        <v>8.7856105326013001</v>
      </c>
      <c r="L83" s="227">
        <f>L15</f>
        <v>10</v>
      </c>
      <c r="P83" s="185" t="s">
        <v>422</v>
      </c>
      <c r="Q83" s="221" t="s">
        <v>421</v>
      </c>
      <c r="R83" s="209"/>
      <c r="S83" s="210"/>
      <c r="T83" s="210"/>
      <c r="U83" s="210"/>
      <c r="V83" s="292">
        <v>0</v>
      </c>
      <c r="W83" s="292">
        <v>0</v>
      </c>
      <c r="X83" s="292">
        <v>0</v>
      </c>
      <c r="Y83" s="292">
        <v>0</v>
      </c>
      <c r="Z83" s="302">
        <v>0</v>
      </c>
      <c r="AA83" s="302">
        <f ca="1">F57</f>
        <v>121543.982853108</v>
      </c>
      <c r="AB83" s="294">
        <f t="shared" ref="AB83" ca="1" si="30">Y83-Z83+AA83</f>
        <v>121543.982853108</v>
      </c>
      <c r="AC83" s="292">
        <f ca="1">AB83</f>
        <v>121543.982853108</v>
      </c>
      <c r="AD83" s="292">
        <f t="shared" ref="AD83:AF83" ca="1" si="31">AC83</f>
        <v>121543.982853108</v>
      </c>
      <c r="AE83" s="292">
        <f t="shared" ca="1" si="31"/>
        <v>121543.982853108</v>
      </c>
      <c r="AF83" s="292">
        <f t="shared" ca="1" si="31"/>
        <v>121543.982853108</v>
      </c>
    </row>
    <row r="84" spans="2:32" x14ac:dyDescent="0.3">
      <c r="B84" s="193" t="s">
        <v>59</v>
      </c>
      <c r="H84" s="201">
        <f ca="1">L11</f>
        <v>617931.21036988636</v>
      </c>
      <c r="L84" s="228">
        <f ca="1">L83*L82</f>
        <v>636937.37822212186</v>
      </c>
      <c r="Q84" s="86" t="s">
        <v>134</v>
      </c>
      <c r="R84" s="33"/>
      <c r="V84" s="288">
        <f>Statements!G94</f>
        <v>-37116</v>
      </c>
      <c r="W84" s="288">
        <f>Statements!H94</f>
        <v>-62686</v>
      </c>
      <c r="X84" s="288">
        <f>Statements!I94</f>
        <v>-34025</v>
      </c>
      <c r="Y84" s="288">
        <f ca="1">Statements!J94</f>
        <v>2210.5536178750917</v>
      </c>
      <c r="Z84" s="288"/>
      <c r="AA84" s="288"/>
      <c r="AB84" s="291">
        <f ca="1">SUM(AB78:AB83)</f>
        <v>119078.806497108</v>
      </c>
      <c r="AC84" s="288">
        <f ca="1">SUM(AC78:AC83)</f>
        <v>132836.09592936037</v>
      </c>
      <c r="AD84" s="288">
        <f t="shared" ref="AD84:AF84" ca="1" si="32">SUM(AD78:AD83)</f>
        <v>147284.97337425195</v>
      </c>
      <c r="AE84" s="288">
        <f t="shared" ca="1" si="32"/>
        <v>164230.66289342809</v>
      </c>
      <c r="AF84" s="288">
        <f t="shared" ca="1" si="32"/>
        <v>181954.4227250797</v>
      </c>
    </row>
    <row r="85" spans="2:32" x14ac:dyDescent="0.3">
      <c r="B85" s="193" t="s">
        <v>456</v>
      </c>
      <c r="H85" s="231">
        <f ca="1">-F57</f>
        <v>-121543.982853108</v>
      </c>
      <c r="I85">
        <v>0</v>
      </c>
      <c r="J85">
        <v>0</v>
      </c>
      <c r="K85">
        <v>0</v>
      </c>
      <c r="L85" s="228">
        <f ca="1">L84-AF62-AF63-AF64-AF65-AF66-AF67+AF38+AF39</f>
        <v>356122.98353198642</v>
      </c>
      <c r="Q85" s="73" t="s">
        <v>135</v>
      </c>
      <c r="R85" s="33"/>
      <c r="V85" s="288">
        <f>Statements!G95</f>
        <v>498335</v>
      </c>
      <c r="W85" s="288">
        <f>Statements!H95</f>
        <v>464818</v>
      </c>
      <c r="X85" s="288">
        <f>Statements!I95</f>
        <v>496274</v>
      </c>
      <c r="Y85" s="288">
        <f ca="1">Statements!J95</f>
        <v>485501.934313089</v>
      </c>
      <c r="Z85" s="288"/>
      <c r="AA85" s="288"/>
      <c r="AB85" s="291">
        <f ca="1">AB75+AB84</f>
        <v>837049.13999324001</v>
      </c>
      <c r="AC85" s="288">
        <f ca="1">AC84+AC75</f>
        <v>789101.10443510558</v>
      </c>
      <c r="AD85" s="288">
        <f t="shared" ref="AD85:AF85" ca="1" si="33">AD84+AD75</f>
        <v>781651.23388866941</v>
      </c>
      <c r="AE85" s="288">
        <f t="shared" ca="1" si="33"/>
        <v>770725.40703917982</v>
      </c>
      <c r="AF85" s="288">
        <f t="shared" ca="1" si="33"/>
        <v>761346.65599292726</v>
      </c>
    </row>
    <row r="86" spans="2:32" x14ac:dyDescent="0.3">
      <c r="B86" s="193"/>
      <c r="H86" s="193"/>
      <c r="L86" s="194"/>
      <c r="Q86" s="33"/>
      <c r="R86" s="33"/>
      <c r="V86" s="273"/>
      <c r="W86" s="273"/>
      <c r="X86" s="273"/>
      <c r="Y86" s="273"/>
      <c r="Z86" s="278"/>
      <c r="AA86" s="278"/>
      <c r="AB86" s="278"/>
      <c r="AC86" s="273"/>
      <c r="AD86" s="273"/>
      <c r="AE86" s="273"/>
      <c r="AF86" s="273"/>
    </row>
    <row r="87" spans="2:32" x14ac:dyDescent="0.3">
      <c r="B87" s="211" t="s">
        <v>457</v>
      </c>
      <c r="C87" s="210"/>
      <c r="D87" s="210"/>
      <c r="E87" s="210"/>
      <c r="F87" s="210"/>
      <c r="G87" s="210"/>
      <c r="H87" s="232">
        <f ca="1">IRR(H85:L85)</f>
        <v>0.30832799672546862</v>
      </c>
      <c r="I87" s="210"/>
      <c r="J87" s="210"/>
      <c r="K87" s="210"/>
      <c r="L87" s="229"/>
      <c r="Q87" s="33"/>
      <c r="R87" s="113" t="s">
        <v>195</v>
      </c>
      <c r="V87" s="303" t="b">
        <f>IF(V85=V53,TRUE,V53-V85)</f>
        <v>1</v>
      </c>
      <c r="W87" s="303" t="b">
        <f>IF(W85=W53,TRUE,W53-W85)</f>
        <v>1</v>
      </c>
      <c r="X87" s="303" t="b">
        <f>IF(X85=X53,TRUE,X53-X85)</f>
        <v>1</v>
      </c>
      <c r="Y87" s="303" t="b">
        <f ca="1">IF(Y85=Y53,TRUE,Y53-Y85)</f>
        <v>1</v>
      </c>
      <c r="Z87" s="278"/>
      <c r="AA87" s="278"/>
      <c r="AB87" s="304" t="b">
        <f ca="1">IF(AB85=AB53,TRUE,AB53-AB85)</f>
        <v>1</v>
      </c>
      <c r="AC87" s="303" t="b">
        <f ca="1">IF(AC85=AC53,TRUE,AC53-AC85)</f>
        <v>1</v>
      </c>
      <c r="AD87" s="305">
        <f ca="1">IF(AD85=AD53,TRUE,AD53-AD85)</f>
        <v>3.4924596548080444E-9</v>
      </c>
      <c r="AE87" s="303">
        <f ca="1">IF(AE85=AE53,TRUE,AE53-AE85)</f>
        <v>-2.3317988961935043E-7</v>
      </c>
      <c r="AF87" s="305">
        <f ca="1">IF(AF85=AF53,TRUE,AF53-AF85)</f>
        <v>-5.2921357564628124E-5</v>
      </c>
    </row>
    <row r="90" spans="2:32" x14ac:dyDescent="0.3">
      <c r="B90" s="233" t="s">
        <v>458</v>
      </c>
      <c r="Q90" s="366" t="s">
        <v>238</v>
      </c>
      <c r="R90" s="367"/>
      <c r="S90" s="367"/>
      <c r="T90" s="186"/>
      <c r="U90" s="187"/>
      <c r="V90" s="370" t="s">
        <v>389</v>
      </c>
      <c r="W90" s="370"/>
      <c r="X90" s="370"/>
      <c r="Y90" s="371"/>
      <c r="Z90" s="370" t="s">
        <v>390</v>
      </c>
      <c r="AA90" s="370"/>
      <c r="AB90" s="370"/>
      <c r="AC90" s="372" t="s">
        <v>2</v>
      </c>
      <c r="AD90" s="363"/>
      <c r="AE90" s="363"/>
      <c r="AF90" s="363"/>
    </row>
    <row r="91" spans="2:32" x14ac:dyDescent="0.3">
      <c r="Q91" s="368"/>
      <c r="R91" s="369"/>
      <c r="S91" s="369"/>
      <c r="T91" s="188"/>
      <c r="U91" s="189"/>
      <c r="V91" s="182">
        <v>44920</v>
      </c>
      <c r="W91" s="182">
        <v>45285</v>
      </c>
      <c r="X91" s="182">
        <v>45651</v>
      </c>
      <c r="Y91" s="191">
        <v>46016</v>
      </c>
      <c r="Z91" s="182" t="s">
        <v>385</v>
      </c>
      <c r="AA91" s="182" t="s">
        <v>386</v>
      </c>
      <c r="AB91" s="182">
        <v>46016</v>
      </c>
      <c r="AC91" s="192">
        <v>46381</v>
      </c>
      <c r="AD91" s="183">
        <v>46746</v>
      </c>
      <c r="AE91" s="183">
        <v>47112</v>
      </c>
      <c r="AF91" s="183">
        <v>47477</v>
      </c>
    </row>
    <row r="92" spans="2:32" ht="14.4" customHeight="1" x14ac:dyDescent="0.3">
      <c r="B92" s="235"/>
      <c r="C92" s="236"/>
      <c r="D92" s="236"/>
      <c r="E92" s="237" t="s">
        <v>459</v>
      </c>
      <c r="F92" s="237"/>
      <c r="G92" s="237"/>
      <c r="H92" s="237"/>
      <c r="I92" s="237"/>
      <c r="J92" s="237"/>
      <c r="K92" s="237"/>
      <c r="L92" s="237"/>
      <c r="M92" s="238"/>
      <c r="AB92" s="205"/>
    </row>
    <row r="93" spans="2:32" x14ac:dyDescent="0.3">
      <c r="B93" s="239"/>
      <c r="C93" s="240"/>
      <c r="D93" s="245">
        <f ca="1">H87</f>
        <v>0.30832799672546862</v>
      </c>
      <c r="E93" s="234">
        <v>6</v>
      </c>
      <c r="F93" s="234">
        <f>E93+1</f>
        <v>7</v>
      </c>
      <c r="G93" s="234">
        <f t="shared" ref="G93:M93" si="34">F93+1</f>
        <v>8</v>
      </c>
      <c r="H93" s="234">
        <f t="shared" si="34"/>
        <v>9</v>
      </c>
      <c r="I93" s="257">
        <f t="shared" si="34"/>
        <v>10</v>
      </c>
      <c r="J93" s="234">
        <f t="shared" si="34"/>
        <v>11</v>
      </c>
      <c r="K93" s="234">
        <f t="shared" si="34"/>
        <v>12</v>
      </c>
      <c r="L93" s="234">
        <f t="shared" si="34"/>
        <v>13</v>
      </c>
      <c r="M93" s="263">
        <f t="shared" si="34"/>
        <v>14</v>
      </c>
      <c r="Q93" s="37" t="s">
        <v>91</v>
      </c>
      <c r="V93" s="317"/>
      <c r="W93" s="213"/>
      <c r="X93" s="213"/>
      <c r="Y93" s="213"/>
      <c r="Z93" s="213"/>
      <c r="AA93" s="213"/>
      <c r="AB93" s="214"/>
      <c r="AC93" s="278">
        <f ca="1">AC30</f>
        <v>4079.5032538566679</v>
      </c>
      <c r="AD93" s="278">
        <f t="shared" ref="AD93:AF93" ca="1" si="35">AD30</f>
        <v>4632.8759139896665</v>
      </c>
      <c r="AE93" s="278">
        <f t="shared" ca="1" si="35"/>
        <v>7397.518999478556</v>
      </c>
      <c r="AF93" s="278">
        <f t="shared" ca="1" si="35"/>
        <v>7820.5031978209081</v>
      </c>
    </row>
    <row r="94" spans="2:32" x14ac:dyDescent="0.3">
      <c r="B94" s="364" t="s">
        <v>460</v>
      </c>
      <c r="C94" s="241">
        <f t="shared" ref="C94:C102" si="36">$F$10*(1+D94)</f>
        <v>6.987000000000001</v>
      </c>
      <c r="D94" s="242">
        <f t="shared" ref="D94:D101" si="37">D95+5%</f>
        <v>0.70000000000000007</v>
      </c>
      <c r="E94" s="246">
        <f t="dataTable" ref="E94:M103" dt2D="1" dtr="1" r1="L15" r2="F11" ca="1"/>
        <v>0.30832799672546862</v>
      </c>
      <c r="F94" s="247">
        <v>0.30832799672546862</v>
      </c>
      <c r="G94" s="247">
        <v>0.30832799672546862</v>
      </c>
      <c r="H94" s="247">
        <v>0.30832799672546862</v>
      </c>
      <c r="I94" s="260">
        <v>0.30832799672546862</v>
      </c>
      <c r="J94" s="247">
        <v>0.30832799672546862</v>
      </c>
      <c r="K94" s="247">
        <v>0.30832799672546862</v>
      </c>
      <c r="L94" s="247">
        <v>0.30832799672546862</v>
      </c>
      <c r="M94" s="248">
        <v>0.30832799672546862</v>
      </c>
      <c r="Q94" s="93" t="s">
        <v>239</v>
      </c>
      <c r="V94" s="317"/>
      <c r="W94" s="213"/>
      <c r="X94" s="213"/>
      <c r="Y94" s="213"/>
      <c r="Z94" s="213"/>
      <c r="AA94" s="213"/>
      <c r="AB94" s="214"/>
      <c r="AC94" s="273"/>
      <c r="AD94" s="273"/>
      <c r="AE94" s="273"/>
      <c r="AF94" s="273"/>
    </row>
    <row r="95" spans="2:32" x14ac:dyDescent="0.3">
      <c r="B95" s="364"/>
      <c r="C95" s="241">
        <f t="shared" si="36"/>
        <v>6.7815000000000003</v>
      </c>
      <c r="D95" s="242">
        <f t="shared" si="37"/>
        <v>0.65</v>
      </c>
      <c r="E95" s="249">
        <v>0.30832799672546862</v>
      </c>
      <c r="F95" s="264">
        <v>0.30832799672546862</v>
      </c>
      <c r="G95" s="264">
        <v>0.30832799672546862</v>
      </c>
      <c r="H95" s="264">
        <v>0.30832799672546862</v>
      </c>
      <c r="I95" s="261">
        <v>0.30832799672546862</v>
      </c>
      <c r="J95" s="264">
        <v>0.30832799672546862</v>
      </c>
      <c r="K95" s="264">
        <v>0.30832799672546862</v>
      </c>
      <c r="L95" s="264">
        <v>0.30832799672546862</v>
      </c>
      <c r="M95" s="250">
        <v>0.30832799672546862</v>
      </c>
      <c r="Q95" s="37" t="s">
        <v>240</v>
      </c>
      <c r="V95" s="317"/>
      <c r="W95" s="213"/>
      <c r="X95" s="213"/>
      <c r="Y95" s="213"/>
      <c r="Z95" s="213"/>
      <c r="AA95" s="213"/>
      <c r="AB95" s="214"/>
      <c r="AC95" s="278">
        <f ca="1">AC16</f>
        <v>13914.684419788182</v>
      </c>
      <c r="AD95" s="278">
        <f t="shared" ref="AD95:AF95" ca="1" si="38">AD16</f>
        <v>14602.521047936578</v>
      </c>
      <c r="AE95" s="278">
        <f t="shared" ca="1" si="38"/>
        <v>15365.381207057684</v>
      </c>
      <c r="AF95" s="278">
        <f t="shared" ca="1" si="38"/>
        <v>16163.077366366026</v>
      </c>
    </row>
    <row r="96" spans="2:32" x14ac:dyDescent="0.3">
      <c r="B96" s="364"/>
      <c r="C96" s="241">
        <f t="shared" si="36"/>
        <v>6.5760000000000005</v>
      </c>
      <c r="D96" s="242">
        <f t="shared" si="37"/>
        <v>0.6</v>
      </c>
      <c r="E96" s="249">
        <v>0.30832799672546862</v>
      </c>
      <c r="F96" s="264">
        <v>0.30832799672546862</v>
      </c>
      <c r="G96" s="264">
        <v>0.30832799672546862</v>
      </c>
      <c r="H96" s="264">
        <v>0.30832799672546862</v>
      </c>
      <c r="I96" s="261">
        <v>0.30832799672546862</v>
      </c>
      <c r="J96" s="264">
        <v>0.30832799672546862</v>
      </c>
      <c r="K96" s="264">
        <v>0.30832799672546862</v>
      </c>
      <c r="L96" s="264">
        <v>0.30832799672546862</v>
      </c>
      <c r="M96" s="250">
        <v>0.30832799672546862</v>
      </c>
      <c r="Q96" s="219" t="s">
        <v>423</v>
      </c>
      <c r="R96" s="181"/>
      <c r="S96" s="181"/>
      <c r="T96" s="181"/>
      <c r="U96" s="181"/>
      <c r="V96" s="318"/>
      <c r="W96" s="215"/>
      <c r="X96" s="215"/>
      <c r="Y96" s="215"/>
      <c r="Z96" s="215"/>
      <c r="AA96" s="215"/>
      <c r="AB96" s="216"/>
      <c r="AC96" s="282">
        <f ca="1">AC17</f>
        <v>1561.5650402467022</v>
      </c>
      <c r="AD96" s="282">
        <f t="shared" ref="AD96:AF96" ca="1" si="39">AD17</f>
        <v>1561.5650402467022</v>
      </c>
      <c r="AE96" s="282">
        <f t="shared" ca="1" si="39"/>
        <v>1561.5650402467022</v>
      </c>
      <c r="AF96" s="282">
        <f t="shared" ca="1" si="39"/>
        <v>1561.5650402467022</v>
      </c>
    </row>
    <row r="97" spans="2:33" x14ac:dyDescent="0.3">
      <c r="B97" s="364"/>
      <c r="C97" s="241">
        <f t="shared" si="36"/>
        <v>6.3704999999999998</v>
      </c>
      <c r="D97" s="242">
        <f t="shared" si="37"/>
        <v>0.54999999999999993</v>
      </c>
      <c r="E97" s="249">
        <v>0.30832799672546862</v>
      </c>
      <c r="F97" s="264">
        <v>0.30832799672546862</v>
      </c>
      <c r="G97" s="246">
        <v>0.30832799672546862</v>
      </c>
      <c r="H97" s="247">
        <v>0.30832799672546862</v>
      </c>
      <c r="I97" s="260">
        <v>0.30832799672546862</v>
      </c>
      <c r="J97" s="247">
        <v>0.30832799672546862</v>
      </c>
      <c r="K97" s="248">
        <v>0.30832799672546862</v>
      </c>
      <c r="L97" s="264">
        <v>0.30832799672546862</v>
      </c>
      <c r="M97" s="250">
        <v>0.30832799672546862</v>
      </c>
      <c r="Q97" s="37" t="s">
        <v>424</v>
      </c>
      <c r="V97" s="317"/>
      <c r="W97" s="213"/>
      <c r="X97" s="213"/>
      <c r="Y97" s="213"/>
      <c r="Z97" s="213"/>
      <c r="AA97" s="213"/>
      <c r="AB97" s="214"/>
      <c r="AC97" s="278">
        <f ca="1">AC18</f>
        <v>15713.465087284998</v>
      </c>
      <c r="AD97" s="278">
        <f t="shared" ref="AD97:AF97" ca="1" si="40">AD18</f>
        <v>15713.465087284998</v>
      </c>
      <c r="AE97" s="278">
        <f t="shared" ca="1" si="40"/>
        <v>15713.465087284998</v>
      </c>
      <c r="AF97" s="278">
        <f t="shared" ca="1" si="40"/>
        <v>15713.465087284998</v>
      </c>
    </row>
    <row r="98" spans="2:33" x14ac:dyDescent="0.3">
      <c r="B98" s="364"/>
      <c r="C98" s="254">
        <f t="shared" si="36"/>
        <v>6.1650000000000009</v>
      </c>
      <c r="D98" s="255">
        <f t="shared" si="37"/>
        <v>0.49999999999999994</v>
      </c>
      <c r="E98" s="259">
        <v>0.30832799672546862</v>
      </c>
      <c r="F98" s="261">
        <v>0.30832799672546862</v>
      </c>
      <c r="G98" s="259">
        <v>0.30832799672546862</v>
      </c>
      <c r="H98" s="261">
        <v>0.30832799672546862</v>
      </c>
      <c r="I98" s="262">
        <v>0.30832799672546862</v>
      </c>
      <c r="J98" s="261">
        <v>0.30832799672546862</v>
      </c>
      <c r="K98" s="256">
        <v>0.30832799672546862</v>
      </c>
      <c r="L98" s="261">
        <v>0.30832799672546862</v>
      </c>
      <c r="M98" s="256">
        <v>0.30832799672546862</v>
      </c>
      <c r="Q98" s="37" t="s">
        <v>425</v>
      </c>
      <c r="V98" s="317"/>
      <c r="W98" s="213"/>
      <c r="X98" s="213"/>
      <c r="Y98" s="213"/>
      <c r="Z98" s="213"/>
      <c r="AA98" s="213"/>
      <c r="AB98" s="214"/>
      <c r="AC98" s="278">
        <f ca="1">AC19</f>
        <v>331.50508935560157</v>
      </c>
      <c r="AD98" s="278">
        <f t="shared" ref="AD98:AF98" ca="1" si="41">AD19</f>
        <v>331.50508935560157</v>
      </c>
      <c r="AE98" s="278">
        <f t="shared" ca="1" si="41"/>
        <v>331.50508935560157</v>
      </c>
      <c r="AF98" s="278">
        <f t="shared" ca="1" si="41"/>
        <v>331.50508935560157</v>
      </c>
    </row>
    <row r="99" spans="2:33" x14ac:dyDescent="0.3">
      <c r="B99" s="364"/>
      <c r="C99" s="241">
        <f t="shared" si="36"/>
        <v>5.9595000000000002</v>
      </c>
      <c r="D99" s="242">
        <f t="shared" si="37"/>
        <v>0.44999999999999996</v>
      </c>
      <c r="E99" s="249">
        <v>0.30832799672546862</v>
      </c>
      <c r="F99" s="264">
        <v>0.30832799672546862</v>
      </c>
      <c r="G99" s="251">
        <v>0.30832799672546862</v>
      </c>
      <c r="H99" s="252">
        <v>0.30832799672546862</v>
      </c>
      <c r="I99" s="258">
        <v>0.30832799672546862</v>
      </c>
      <c r="J99" s="252">
        <v>0.30832799672546862</v>
      </c>
      <c r="K99" s="253">
        <v>0.30832799672546862</v>
      </c>
      <c r="L99" s="264">
        <v>0.30832799672546862</v>
      </c>
      <c r="M99" s="250">
        <v>0.30832799672546862</v>
      </c>
      <c r="Q99" s="220" t="s">
        <v>426</v>
      </c>
      <c r="R99" s="195"/>
      <c r="S99" s="195"/>
      <c r="T99" s="195"/>
      <c r="U99" s="195"/>
      <c r="V99" s="319"/>
      <c r="W99" s="217"/>
      <c r="X99" s="217"/>
      <c r="Y99" s="217"/>
      <c r="Z99" s="217"/>
      <c r="AA99" s="217"/>
      <c r="AB99" s="218"/>
      <c r="AC99" s="286">
        <f ca="1">-AC148</f>
        <v>3421.6766416821797</v>
      </c>
      <c r="AD99" s="286">
        <f t="shared" ref="AD99:AF99" ca="1" si="42">-AD148</f>
        <v>3976.5431241171277</v>
      </c>
      <c r="AE99" s="286">
        <f t="shared" ca="1" si="42"/>
        <v>4621.38795505504</v>
      </c>
      <c r="AF99" s="286">
        <f t="shared" ca="1" si="42"/>
        <v>5370.802218036938</v>
      </c>
    </row>
    <row r="100" spans="2:33" x14ac:dyDescent="0.3">
      <c r="B100" s="364"/>
      <c r="C100" s="241">
        <f t="shared" si="36"/>
        <v>5.7540000000000004</v>
      </c>
      <c r="D100" s="242">
        <f t="shared" si="37"/>
        <v>0.39999999999999997</v>
      </c>
      <c r="E100" s="249">
        <v>0.30832799672546862</v>
      </c>
      <c r="F100" s="264">
        <v>0.30832799672546862</v>
      </c>
      <c r="G100" s="264">
        <v>0.30832799672546862</v>
      </c>
      <c r="H100" s="264">
        <v>0.30832799672546862</v>
      </c>
      <c r="I100" s="261">
        <v>0.30832799672546862</v>
      </c>
      <c r="J100" s="264">
        <v>0.30832799672546862</v>
      </c>
      <c r="K100" s="264">
        <v>0.30832799672546862</v>
      </c>
      <c r="L100" s="264">
        <v>0.30832799672546862</v>
      </c>
      <c r="M100" s="250">
        <v>0.30832799672546862</v>
      </c>
      <c r="Q100" s="37" t="s">
        <v>249</v>
      </c>
      <c r="V100" s="317"/>
      <c r="W100" s="213"/>
      <c r="X100" s="213"/>
      <c r="Y100" s="213"/>
      <c r="Z100" s="213"/>
      <c r="AA100" s="213"/>
      <c r="AB100" s="214"/>
      <c r="AC100" s="313">
        <f ca="1">Statements!K104</f>
        <v>9677.7861783957069</v>
      </c>
      <c r="AD100" s="313">
        <f ca="1">Statements!L104</f>
        <v>9816.0015309019054</v>
      </c>
      <c r="AE100" s="313">
        <f ca="1">Statements!M104</f>
        <v>9548.1705196975872</v>
      </c>
      <c r="AF100" s="313">
        <f ca="1">Statements!N104</f>
        <v>9903.2566338306951</v>
      </c>
    </row>
    <row r="101" spans="2:33" x14ac:dyDescent="0.3">
      <c r="B101" s="364"/>
      <c r="C101" s="241">
        <f t="shared" si="36"/>
        <v>5.5485000000000007</v>
      </c>
      <c r="D101" s="242">
        <f t="shared" si="37"/>
        <v>0.35</v>
      </c>
      <c r="E101" s="249">
        <v>0.30832799672546862</v>
      </c>
      <c r="F101" s="264">
        <v>0.30832799672546862</v>
      </c>
      <c r="G101" s="264">
        <v>0.30832799672546862</v>
      </c>
      <c r="H101" s="264">
        <v>0.30832799672546862</v>
      </c>
      <c r="I101" s="261">
        <v>0.30832799672546862</v>
      </c>
      <c r="J101" s="264">
        <v>0.30832799672546862</v>
      </c>
      <c r="K101" s="264">
        <v>0.30832799672546862</v>
      </c>
      <c r="L101" s="264">
        <v>0.30832799672546862</v>
      </c>
      <c r="M101" s="250">
        <v>0.30832799672546862</v>
      </c>
      <c r="Q101" s="37" t="s">
        <v>253</v>
      </c>
      <c r="V101" s="317"/>
      <c r="W101" s="213"/>
      <c r="X101" s="213"/>
      <c r="Y101" s="213"/>
      <c r="Z101" s="213"/>
      <c r="AA101" s="213"/>
      <c r="AB101" s="214"/>
      <c r="AC101" s="313">
        <f ca="1">AC26</f>
        <v>31630.399738023105</v>
      </c>
      <c r="AD101" s="313">
        <f t="shared" ref="AD101:AF101" ca="1" si="43">AD26</f>
        <v>26970.465083885814</v>
      </c>
      <c r="AE101" s="313">
        <f t="shared" ca="1" si="43"/>
        <v>22975.305740496966</v>
      </c>
      <c r="AF101" s="313">
        <f t="shared" ca="1" si="43"/>
        <v>19355.877674336014</v>
      </c>
    </row>
    <row r="102" spans="2:33" x14ac:dyDescent="0.3">
      <c r="B102" s="364"/>
      <c r="C102" s="241">
        <f t="shared" si="36"/>
        <v>5.3430000000000009</v>
      </c>
      <c r="D102" s="242">
        <f>D103+5%</f>
        <v>0.3</v>
      </c>
      <c r="E102" s="249">
        <v>0.30832799672546862</v>
      </c>
      <c r="F102" s="264">
        <v>0.30832799672546862</v>
      </c>
      <c r="G102" s="264">
        <v>0.30832799672546862</v>
      </c>
      <c r="H102" s="264">
        <v>0.30832799672546862</v>
      </c>
      <c r="I102" s="261">
        <v>0.30832799672546862</v>
      </c>
      <c r="J102" s="264">
        <v>0.30832799672546862</v>
      </c>
      <c r="K102" s="264">
        <v>0.30832799672546862</v>
      </c>
      <c r="L102" s="264">
        <v>0.30832799672546862</v>
      </c>
      <c r="M102" s="250">
        <v>0.30832799672546862</v>
      </c>
      <c r="Q102" s="93" t="s">
        <v>250</v>
      </c>
      <c r="V102" s="317"/>
      <c r="W102" s="213"/>
      <c r="X102" s="213"/>
      <c r="Y102" s="213"/>
      <c r="Z102" s="213"/>
      <c r="AA102" s="213"/>
      <c r="AB102" s="214"/>
      <c r="AC102" s="273"/>
      <c r="AD102" s="273"/>
      <c r="AE102" s="273"/>
      <c r="AF102" s="273"/>
    </row>
    <row r="103" spans="2:33" x14ac:dyDescent="0.3">
      <c r="B103" s="365"/>
      <c r="C103" s="243">
        <f>$F$10*(1+D103)</f>
        <v>5.1375000000000002</v>
      </c>
      <c r="D103" s="244">
        <v>0.25</v>
      </c>
      <c r="E103" s="251">
        <v>0.30832799672546862</v>
      </c>
      <c r="F103" s="252">
        <v>0.30832799672546862</v>
      </c>
      <c r="G103" s="252">
        <v>0.30832799672546862</v>
      </c>
      <c r="H103" s="252">
        <v>0.30832799672546862</v>
      </c>
      <c r="I103" s="258">
        <v>0.30832799672546862</v>
      </c>
      <c r="J103" s="252">
        <v>0.30832799672546862</v>
      </c>
      <c r="K103" s="252">
        <v>0.30832799672546862</v>
      </c>
      <c r="L103" s="252">
        <v>0.30832799672546862</v>
      </c>
      <c r="M103" s="253">
        <v>0.30832799672546862</v>
      </c>
      <c r="Q103" s="61" t="s">
        <v>251</v>
      </c>
      <c r="V103" s="317"/>
      <c r="W103" s="213"/>
      <c r="X103" s="213"/>
      <c r="Y103" s="213"/>
      <c r="Z103" s="213"/>
      <c r="AA103" s="213"/>
      <c r="AB103" s="214"/>
      <c r="AC103" s="278">
        <f ca="1">AB40-AC40</f>
        <v>-517.03395763348817</v>
      </c>
      <c r="AD103" s="278">
        <f t="shared" ref="AD103:AF103" ca="1" si="44">AC40-AD40</f>
        <v>-998.46364193911722</v>
      </c>
      <c r="AE103" s="278">
        <f t="shared" ca="1" si="44"/>
        <v>-1115.0696796574557</v>
      </c>
      <c r="AF103" s="278">
        <f t="shared" ca="1" si="44"/>
        <v>-1328.4447967300839</v>
      </c>
    </row>
    <row r="104" spans="2:33" x14ac:dyDescent="0.3">
      <c r="Q104" s="61" t="s">
        <v>105</v>
      </c>
      <c r="V104" s="317"/>
      <c r="W104" s="213"/>
      <c r="X104" s="213"/>
      <c r="Y104" s="213"/>
      <c r="Z104" s="213"/>
      <c r="AA104" s="213"/>
      <c r="AB104" s="214"/>
      <c r="AC104" s="278">
        <f ca="1">AB41-AC41</f>
        <v>-61.943574715807245</v>
      </c>
      <c r="AD104" s="278">
        <f t="shared" ref="AD104:AF104" ca="1" si="45">AC41-AD41</f>
        <v>-117.237384452985</v>
      </c>
      <c r="AE104" s="278">
        <f t="shared" ca="1" si="45"/>
        <v>-114.99967557351465</v>
      </c>
      <c r="AF104" s="278">
        <f t="shared" ca="1" si="45"/>
        <v>-151.32143281008621</v>
      </c>
    </row>
    <row r="105" spans="2:33" x14ac:dyDescent="0.3">
      <c r="B105" s="233" t="s">
        <v>461</v>
      </c>
      <c r="Q105" s="72" t="s">
        <v>107</v>
      </c>
      <c r="V105" s="317"/>
      <c r="W105" s="213"/>
      <c r="X105" s="213"/>
      <c r="Y105" s="213"/>
      <c r="Z105" s="213"/>
      <c r="AA105" s="213"/>
      <c r="AB105" s="214"/>
      <c r="AC105" s="278">
        <f ca="1">AB43-AC43</f>
        <v>-60.362663479372713</v>
      </c>
      <c r="AD105" s="278">
        <f t="shared" ref="AD105:AF105" ca="1" si="46">AC43-AD43</f>
        <v>-171.06909897223159</v>
      </c>
      <c r="AE105" s="278">
        <f t="shared" ca="1" si="46"/>
        <v>-801.28353039998001</v>
      </c>
      <c r="AF105" s="278">
        <f t="shared" ca="1" si="46"/>
        <v>-547.53177022038108</v>
      </c>
    </row>
    <row r="106" spans="2:33" x14ac:dyDescent="0.3">
      <c r="Q106" s="72" t="s">
        <v>119</v>
      </c>
      <c r="V106" s="317"/>
      <c r="W106" s="213"/>
      <c r="X106" s="213"/>
      <c r="Y106" s="213"/>
      <c r="Z106" s="213"/>
      <c r="AA106" s="213"/>
      <c r="AB106" s="214"/>
      <c r="AC106" s="278">
        <f ca="1">AC59-AB59</f>
        <v>708.61038391265538</v>
      </c>
      <c r="AD106" s="278">
        <f t="shared" ref="AD106:AF106" ca="1" si="47">AD59-AC59</f>
        <v>1341.1500448156257</v>
      </c>
      <c r="AE106" s="278">
        <f t="shared" ca="1" si="47"/>
        <v>1315.5515262373774</v>
      </c>
      <c r="AF106" s="278">
        <f t="shared" ca="1" si="47"/>
        <v>1731.0582911903621</v>
      </c>
    </row>
    <row r="107" spans="2:33" x14ac:dyDescent="0.3">
      <c r="B107" s="235"/>
      <c r="C107" s="236"/>
      <c r="D107" s="236"/>
      <c r="E107" s="237" t="s">
        <v>462</v>
      </c>
      <c r="F107" s="237"/>
      <c r="G107" s="237"/>
      <c r="H107" s="237"/>
      <c r="I107" s="237"/>
      <c r="J107" s="237"/>
      <c r="K107" s="237"/>
      <c r="L107" s="237"/>
      <c r="M107" s="238"/>
      <c r="Q107" s="72" t="s">
        <v>120</v>
      </c>
      <c r="V107" s="317"/>
      <c r="W107" s="213"/>
      <c r="X107" s="213"/>
      <c r="Y107" s="213"/>
      <c r="Z107" s="213"/>
      <c r="AA107" s="213"/>
      <c r="AB107" s="214"/>
      <c r="AC107" s="278">
        <f ca="1">AC60-AB60</f>
        <v>2138.4783899253962</v>
      </c>
      <c r="AD107" s="278">
        <f t="shared" ref="AD107:AF107" ca="1" si="48">AD60-AC60</f>
        <v>1814.7562833534685</v>
      </c>
      <c r="AE107" s="278">
        <f t="shared" ca="1" si="48"/>
        <v>2811.9103637663866</v>
      </c>
      <c r="AF107" s="278">
        <f t="shared" ca="1" si="48"/>
        <v>3370.8520939610607</v>
      </c>
    </row>
    <row r="108" spans="2:33" x14ac:dyDescent="0.3">
      <c r="B108" s="239"/>
      <c r="C108" s="240"/>
      <c r="D108" s="245">
        <f ca="1">H87</f>
        <v>0.30832799672546862</v>
      </c>
      <c r="E108" s="234">
        <v>0</v>
      </c>
      <c r="F108" s="234">
        <f>E108+1</f>
        <v>1</v>
      </c>
      <c r="G108" s="234">
        <f t="shared" ref="G108:M108" si="49">F108+1</f>
        <v>2</v>
      </c>
      <c r="H108" s="257">
        <f t="shared" si="49"/>
        <v>3</v>
      </c>
      <c r="I108" s="234">
        <f t="shared" si="49"/>
        <v>4</v>
      </c>
      <c r="J108" s="234">
        <f t="shared" si="49"/>
        <v>5</v>
      </c>
      <c r="K108" s="234">
        <f t="shared" si="49"/>
        <v>6</v>
      </c>
      <c r="L108" s="234">
        <f t="shared" si="49"/>
        <v>7</v>
      </c>
      <c r="M108" s="263">
        <f t="shared" si="49"/>
        <v>8</v>
      </c>
      <c r="Q108" s="72" t="s">
        <v>127</v>
      </c>
      <c r="V108" s="317"/>
      <c r="W108" s="213"/>
      <c r="X108" s="213"/>
      <c r="Y108" s="213"/>
      <c r="Z108" s="213"/>
      <c r="AA108" s="213"/>
      <c r="AB108" s="214"/>
      <c r="AC108" s="278">
        <f ca="1">AC73-AB73</f>
        <v>-86.820469206904818</v>
      </c>
      <c r="AD108" s="278">
        <f t="shared" ref="AD108:AF108" ca="1" si="50">AD73-AC73</f>
        <v>733.25557761170785</v>
      </c>
      <c r="AE108" s="278">
        <f t="shared" ca="1" si="50"/>
        <v>1915.0755909553918</v>
      </c>
      <c r="AF108" s="278">
        <f t="shared" ca="1" si="50"/>
        <v>1366.8976913953084</v>
      </c>
    </row>
    <row r="109" spans="2:33" x14ac:dyDescent="0.3">
      <c r="B109" s="364" t="s">
        <v>460</v>
      </c>
      <c r="C109" s="241">
        <f t="shared" ref="C109:C117" si="51">$F$10*(1+D109)</f>
        <v>6.987000000000001</v>
      </c>
      <c r="D109" s="242">
        <f t="shared" ref="D109:D116" si="52">D110+5%</f>
        <v>0.70000000000000007</v>
      </c>
      <c r="E109" s="246">
        <f t="dataTable" ref="E109:M118" dt2D="1" dtr="1" r1="F13" r2="F11" ca="1"/>
        <v>0.30832799672546862</v>
      </c>
      <c r="F109" s="247">
        <v>0.30832799672546862</v>
      </c>
      <c r="G109" s="247">
        <v>0.30832799672546862</v>
      </c>
      <c r="H109" s="260">
        <v>0.30832799672546862</v>
      </c>
      <c r="I109" s="247">
        <v>0.30832799672546862</v>
      </c>
      <c r="J109" s="247">
        <v>0.30832799672546862</v>
      </c>
      <c r="K109" s="247">
        <v>0.30832799672546862</v>
      </c>
      <c r="L109" s="247">
        <v>0.30832799672546862</v>
      </c>
      <c r="M109" s="248">
        <v>0.30832799672546862</v>
      </c>
      <c r="Q109" s="93" t="s">
        <v>252</v>
      </c>
      <c r="V109" s="317"/>
      <c r="W109" s="213"/>
      <c r="X109" s="213"/>
      <c r="Y109" s="213"/>
      <c r="Z109" s="213"/>
      <c r="AA109" s="213"/>
      <c r="AB109" s="214"/>
      <c r="AC109" s="314">
        <f ca="1">SUM(AC93:AC108)</f>
        <v>82451.513557435595</v>
      </c>
      <c r="AD109" s="315">
        <f t="shared" ref="AD109:AF109" ca="1" si="53">SUM(AD93:AD108)</f>
        <v>80207.333698134869</v>
      </c>
      <c r="AE109" s="315">
        <f t="shared" ca="1" si="53"/>
        <v>81525.484234001342</v>
      </c>
      <c r="AF109" s="315">
        <f t="shared" ca="1" si="53"/>
        <v>80661.562384064076</v>
      </c>
    </row>
    <row r="110" spans="2:33" x14ac:dyDescent="0.3">
      <c r="B110" s="364"/>
      <c r="C110" s="241">
        <f t="shared" si="51"/>
        <v>6.7815000000000003</v>
      </c>
      <c r="D110" s="242">
        <f t="shared" si="52"/>
        <v>0.65</v>
      </c>
      <c r="E110" s="249">
        <v>0.30832799672546862</v>
      </c>
      <c r="F110" s="264">
        <v>0.30832799672546862</v>
      </c>
      <c r="G110" s="264">
        <v>0.30832799672546862</v>
      </c>
      <c r="H110" s="261">
        <v>0.30832799672546862</v>
      </c>
      <c r="I110" s="264">
        <v>0.30832799672546862</v>
      </c>
      <c r="J110" s="264">
        <v>0.30832799672546862</v>
      </c>
      <c r="K110" s="264">
        <v>0.30832799672546862</v>
      </c>
      <c r="L110" s="264">
        <v>0.30832799672546862</v>
      </c>
      <c r="M110" s="250">
        <v>0.30832799672546862</v>
      </c>
      <c r="Q110" s="37"/>
      <c r="V110" s="317"/>
      <c r="W110" s="213"/>
      <c r="X110" s="213"/>
      <c r="Y110" s="213"/>
      <c r="Z110" s="213"/>
      <c r="AA110" s="213"/>
      <c r="AB110" s="214"/>
      <c r="AC110" s="273"/>
      <c r="AD110" s="273"/>
      <c r="AE110" s="273"/>
      <c r="AF110" s="273"/>
    </row>
    <row r="111" spans="2:33" x14ac:dyDescent="0.3">
      <c r="B111" s="364"/>
      <c r="C111" s="241">
        <f t="shared" si="51"/>
        <v>6.5760000000000005</v>
      </c>
      <c r="D111" s="242">
        <f t="shared" si="52"/>
        <v>0.6</v>
      </c>
      <c r="E111" s="249">
        <v>0.30832799672546862</v>
      </c>
      <c r="F111" s="264">
        <v>0.30832799672546862</v>
      </c>
      <c r="G111" s="264">
        <v>0.30832799672546862</v>
      </c>
      <c r="H111" s="261">
        <v>0.30832799672546862</v>
      </c>
      <c r="I111" s="264">
        <v>0.30832799672546862</v>
      </c>
      <c r="J111" s="264">
        <v>0.30832799672546862</v>
      </c>
      <c r="K111" s="264">
        <v>0.30832799672546862</v>
      </c>
      <c r="L111" s="264">
        <v>0.30832799672546862</v>
      </c>
      <c r="M111" s="250">
        <v>0.30832799672546862</v>
      </c>
      <c r="Q111" s="37" t="s">
        <v>452</v>
      </c>
      <c r="V111" s="317"/>
      <c r="W111" s="213"/>
      <c r="X111" s="213"/>
      <c r="Y111" s="213"/>
      <c r="Z111" s="213"/>
      <c r="AA111" s="213"/>
      <c r="AB111" s="214"/>
      <c r="AC111" s="278">
        <f ca="1">AC11*-0.03</f>
        <v>-13928.227193201265</v>
      </c>
      <c r="AD111" s="278">
        <f t="shared" ref="AD111:AF111" ca="1" si="54">AD11*-0.03</f>
        <v>-14482.771112915858</v>
      </c>
      <c r="AE111" s="278">
        <f t="shared" ca="1" si="54"/>
        <v>-15102.077700495985</v>
      </c>
      <c r="AF111" s="278">
        <f t="shared" ca="1" si="54"/>
        <v>-15839.892232502829</v>
      </c>
      <c r="AG111" t="s">
        <v>427</v>
      </c>
    </row>
    <row r="112" spans="2:33" x14ac:dyDescent="0.3">
      <c r="B112" s="364"/>
      <c r="C112" s="241">
        <f t="shared" si="51"/>
        <v>6.3704999999999998</v>
      </c>
      <c r="D112" s="242">
        <f t="shared" si="52"/>
        <v>0.54999999999999993</v>
      </c>
      <c r="E112" s="249">
        <v>0.30832799672546862</v>
      </c>
      <c r="F112" s="264">
        <v>0.30832799672546862</v>
      </c>
      <c r="G112" s="246">
        <v>0.30832799672546862</v>
      </c>
      <c r="H112" s="260">
        <v>0.30832799672546862</v>
      </c>
      <c r="I112" s="248">
        <v>0.30832799672546862</v>
      </c>
      <c r="J112" s="264">
        <v>0.30832799672546862</v>
      </c>
      <c r="K112" s="264">
        <v>0.30832799672546862</v>
      </c>
      <c r="L112" s="264">
        <v>0.30832799672546862</v>
      </c>
      <c r="M112" s="250">
        <v>0.30832799672546862</v>
      </c>
      <c r="Q112" s="37" t="s">
        <v>429</v>
      </c>
      <c r="V112" s="317"/>
      <c r="W112" s="213"/>
      <c r="X112" s="213"/>
      <c r="Y112" s="213"/>
      <c r="Z112" s="213"/>
      <c r="AA112" s="213"/>
      <c r="AB112" s="214"/>
      <c r="AC112" s="278">
        <f ca="1">-Schedule!K52</f>
        <v>-636.01642753455235</v>
      </c>
      <c r="AD112" s="278">
        <f ca="1">-Schedule!L52</f>
        <v>-4329.7098259770355</v>
      </c>
      <c r="AE112" s="278">
        <f ca="1">-Schedule!M52</f>
        <v>-917.49964655542135</v>
      </c>
      <c r="AF112" s="278">
        <f ca="1">-Schedule!N52</f>
        <v>-2904.2432922995067</v>
      </c>
    </row>
    <row r="113" spans="2:32" x14ac:dyDescent="0.3">
      <c r="B113" s="364"/>
      <c r="C113" s="254">
        <f t="shared" si="51"/>
        <v>6.1650000000000009</v>
      </c>
      <c r="D113" s="255">
        <f t="shared" si="52"/>
        <v>0.49999999999999994</v>
      </c>
      <c r="E113" s="259">
        <v>0.30832799672546862</v>
      </c>
      <c r="F113" s="261">
        <v>0.30832799672546862</v>
      </c>
      <c r="G113" s="259">
        <v>0.30832799672546862</v>
      </c>
      <c r="H113" s="262">
        <v>0.30832799672546862</v>
      </c>
      <c r="I113" s="256">
        <v>0.30832799672546862</v>
      </c>
      <c r="J113" s="261">
        <v>0.30832799672546862</v>
      </c>
      <c r="K113" s="261">
        <v>0.30832799672546862</v>
      </c>
      <c r="L113" s="261">
        <v>0.30832799672546862</v>
      </c>
      <c r="M113" s="256">
        <v>0.30832799672546862</v>
      </c>
      <c r="Q113" s="93" t="s">
        <v>256</v>
      </c>
      <c r="V113" s="317"/>
      <c r="W113" s="213"/>
      <c r="X113" s="213"/>
      <c r="Y113" s="213"/>
      <c r="Z113" s="213"/>
      <c r="AA113" s="213"/>
      <c r="AB113" s="214"/>
      <c r="AC113" s="314">
        <f ca="1">SUM(AC111:AC112)</f>
        <v>-14564.243620735817</v>
      </c>
      <c r="AD113" s="315">
        <f t="shared" ref="AD113:AF113" ca="1" si="55">SUM(AD111:AD112)</f>
        <v>-18812.480938892892</v>
      </c>
      <c r="AE113" s="315">
        <f t="shared" ca="1" si="55"/>
        <v>-16019.577347051407</v>
      </c>
      <c r="AF113" s="315">
        <f t="shared" ca="1" si="55"/>
        <v>-18744.135524802336</v>
      </c>
    </row>
    <row r="114" spans="2:32" x14ac:dyDescent="0.3">
      <c r="B114" s="364"/>
      <c r="C114" s="241">
        <f t="shared" si="51"/>
        <v>5.9595000000000002</v>
      </c>
      <c r="D114" s="242">
        <f t="shared" si="52"/>
        <v>0.44999999999999996</v>
      </c>
      <c r="E114" s="249">
        <v>0.30832799672546862</v>
      </c>
      <c r="F114" s="264">
        <v>0.30832799672546862</v>
      </c>
      <c r="G114" s="251">
        <v>0.30832799672546862</v>
      </c>
      <c r="H114" s="258">
        <v>0.30832799672546862</v>
      </c>
      <c r="I114" s="253">
        <v>0.30832799672546862</v>
      </c>
      <c r="J114" s="264">
        <v>0.30832799672546862</v>
      </c>
      <c r="K114" s="264">
        <v>0.30832799672546862</v>
      </c>
      <c r="L114" s="264">
        <v>0.30832799672546862</v>
      </c>
      <c r="M114" s="250">
        <v>0.30832799672546862</v>
      </c>
      <c r="Q114" s="37"/>
      <c r="V114" s="317"/>
      <c r="W114" s="213"/>
      <c r="X114" s="213"/>
      <c r="Y114" s="213"/>
      <c r="Z114" s="213"/>
      <c r="AA114" s="213"/>
      <c r="AB114" s="214"/>
      <c r="AC114" s="273"/>
      <c r="AD114" s="273"/>
      <c r="AE114" s="273"/>
      <c r="AF114" s="273"/>
    </row>
    <row r="115" spans="2:32" x14ac:dyDescent="0.3">
      <c r="B115" s="364"/>
      <c r="C115" s="241">
        <f t="shared" si="51"/>
        <v>5.7540000000000004</v>
      </c>
      <c r="D115" s="242">
        <f t="shared" si="52"/>
        <v>0.39999999999999997</v>
      </c>
      <c r="E115" s="249">
        <v>0.30832799672546862</v>
      </c>
      <c r="F115" s="264">
        <v>0.30832799672546862</v>
      </c>
      <c r="G115" s="264">
        <v>0.30832799672546862</v>
      </c>
      <c r="H115" s="261">
        <v>0.30832799672546862</v>
      </c>
      <c r="I115" s="264">
        <v>0.30832799672546862</v>
      </c>
      <c r="J115" s="264">
        <v>0.30832799672546862</v>
      </c>
      <c r="K115" s="264">
        <v>0.30832799672546862</v>
      </c>
      <c r="L115" s="264">
        <v>0.30832799672546862</v>
      </c>
      <c r="M115" s="250">
        <v>0.30832799672546862</v>
      </c>
      <c r="Q115" s="37" t="s">
        <v>279</v>
      </c>
      <c r="V115" s="317"/>
      <c r="W115" s="213"/>
      <c r="X115" s="213"/>
      <c r="Y115" s="213"/>
      <c r="Z115" s="213"/>
      <c r="AA115" s="213"/>
      <c r="AB115" s="214"/>
      <c r="AC115" s="278">
        <f ca="1">AC157-AC170</f>
        <v>0</v>
      </c>
      <c r="AD115" s="278">
        <f t="shared" ref="AD115:AF115" ca="1" si="56">AD157-AD170</f>
        <v>21840.733588488503</v>
      </c>
      <c r="AE115" s="278">
        <f t="shared" ca="1" si="56"/>
        <v>13069.744806612231</v>
      </c>
      <c r="AF115" s="278">
        <f t="shared" ca="1" si="56"/>
        <v>12663.065464151892</v>
      </c>
    </row>
    <row r="116" spans="2:32" x14ac:dyDescent="0.3">
      <c r="B116" s="364"/>
      <c r="C116" s="241">
        <f t="shared" si="51"/>
        <v>5.5485000000000007</v>
      </c>
      <c r="D116" s="242">
        <f t="shared" si="52"/>
        <v>0.35</v>
      </c>
      <c r="E116" s="249">
        <v>0.30832799672546862</v>
      </c>
      <c r="F116" s="264">
        <v>0.30832799672546862</v>
      </c>
      <c r="G116" s="264">
        <v>0.30832799672546862</v>
      </c>
      <c r="H116" s="261">
        <v>0.30832799672546862</v>
      </c>
      <c r="I116" s="264">
        <v>0.30832799672546862</v>
      </c>
      <c r="J116" s="264">
        <v>0.30832799672546862</v>
      </c>
      <c r="K116" s="264">
        <v>0.30832799672546862</v>
      </c>
      <c r="L116" s="264">
        <v>0.30832799672546862</v>
      </c>
      <c r="M116" s="250">
        <v>0.30832799672546862</v>
      </c>
      <c r="Q116" s="37" t="s">
        <v>378</v>
      </c>
      <c r="V116" s="317"/>
      <c r="W116" s="213"/>
      <c r="X116" s="213"/>
      <c r="Y116" s="213"/>
      <c r="Z116" s="213"/>
      <c r="AA116" s="213"/>
      <c r="AB116" s="214"/>
      <c r="AC116" s="278">
        <f ca="1">-AC163-AC171</f>
        <v>-26832.252972180941</v>
      </c>
      <c r="AD116" s="278">
        <f t="shared" ref="AD116:AF116" ca="1" si="57">-AD163-AD171</f>
        <v>-10550.169645186719</v>
      </c>
      <c r="AE116" s="278">
        <f t="shared" ca="1" si="57"/>
        <v>-10550.169645186719</v>
      </c>
      <c r="AF116" s="278">
        <f t="shared" ca="1" si="57"/>
        <v>-10550.169645186719</v>
      </c>
    </row>
    <row r="117" spans="2:32" x14ac:dyDescent="0.3">
      <c r="B117" s="364"/>
      <c r="C117" s="241">
        <f t="shared" si="51"/>
        <v>5.3430000000000009</v>
      </c>
      <c r="D117" s="242">
        <f>D118+5%</f>
        <v>0.3</v>
      </c>
      <c r="E117" s="249">
        <v>0.30832799672546862</v>
      </c>
      <c r="F117" s="264">
        <v>0.30832799672546862</v>
      </c>
      <c r="G117" s="264">
        <v>0.30832799672546862</v>
      </c>
      <c r="H117" s="261">
        <v>0.30832799672546862</v>
      </c>
      <c r="I117" s="264">
        <v>0.30832799672546862</v>
      </c>
      <c r="J117" s="264">
        <v>0.30832799672546862</v>
      </c>
      <c r="K117" s="264">
        <v>0.30832799672546862</v>
      </c>
      <c r="L117" s="264">
        <v>0.30832799672546862</v>
      </c>
      <c r="M117" s="250">
        <v>0.30832799672546862</v>
      </c>
      <c r="Q117" s="37" t="s">
        <v>365</v>
      </c>
      <c r="V117" s="317"/>
      <c r="W117" s="213"/>
      <c r="X117" s="213"/>
      <c r="Y117" s="213"/>
      <c r="Z117" s="213"/>
      <c r="AA117" s="213"/>
      <c r="AB117" s="214"/>
      <c r="AC117" s="278">
        <f t="shared" ref="AC117:AF119" ca="1" si="58">-AC164-AC172</f>
        <v>-1055.016964518672</v>
      </c>
      <c r="AD117" s="278">
        <f t="shared" ca="1" si="58"/>
        <v>-1055.016964518672</v>
      </c>
      <c r="AE117" s="278">
        <f t="shared" ca="1" si="58"/>
        <v>-1055.016964518672</v>
      </c>
      <c r="AF117" s="278">
        <f t="shared" ca="1" si="58"/>
        <v>-1055.016964518672</v>
      </c>
    </row>
    <row r="118" spans="2:32" x14ac:dyDescent="0.3">
      <c r="B118" s="365"/>
      <c r="C118" s="243">
        <f>$F$10*(1+D118)</f>
        <v>5.1375000000000002</v>
      </c>
      <c r="D118" s="244">
        <v>0.25</v>
      </c>
      <c r="E118" s="251">
        <v>0.30832799672546862</v>
      </c>
      <c r="F118" s="252">
        <v>0.30832799672546862</v>
      </c>
      <c r="G118" s="252">
        <v>0.30832799672546862</v>
      </c>
      <c r="H118" s="258">
        <v>0.30832799672546862</v>
      </c>
      <c r="I118" s="252">
        <v>0.30832799672546862</v>
      </c>
      <c r="J118" s="252">
        <v>0.30832799672546862</v>
      </c>
      <c r="K118" s="252">
        <v>0.30832799672546862</v>
      </c>
      <c r="L118" s="252">
        <v>0.30832799672546862</v>
      </c>
      <c r="M118" s="253">
        <v>0.30832799672546862</v>
      </c>
      <c r="Q118" s="37" t="s">
        <v>366</v>
      </c>
      <c r="V118" s="317"/>
      <c r="W118" s="213"/>
      <c r="X118" s="213"/>
      <c r="Y118" s="213"/>
      <c r="Z118" s="213"/>
      <c r="AA118" s="213"/>
      <c r="AB118" s="214"/>
      <c r="AC118" s="278">
        <f t="shared" ca="1" si="58"/>
        <v>0</v>
      </c>
      <c r="AD118" s="278">
        <f t="shared" ca="1" si="58"/>
        <v>0</v>
      </c>
      <c r="AE118" s="278">
        <f t="shared" ca="1" si="58"/>
        <v>0</v>
      </c>
      <c r="AF118" s="278">
        <f t="shared" ca="1" si="58"/>
        <v>0</v>
      </c>
    </row>
    <row r="119" spans="2:32" x14ac:dyDescent="0.3">
      <c r="Q119" s="37" t="s">
        <v>367</v>
      </c>
      <c r="V119" s="317"/>
      <c r="W119" s="213"/>
      <c r="X119" s="213"/>
      <c r="Y119" s="213"/>
      <c r="Z119" s="213"/>
      <c r="AA119" s="213"/>
      <c r="AB119" s="214"/>
      <c r="AC119" s="278">
        <f t="shared" ca="1" si="58"/>
        <v>0</v>
      </c>
      <c r="AD119" s="278">
        <f t="shared" ca="1" si="58"/>
        <v>0</v>
      </c>
      <c r="AE119" s="278">
        <f t="shared" ca="1" si="58"/>
        <v>0</v>
      </c>
      <c r="AF119" s="278">
        <f t="shared" ca="1" si="58"/>
        <v>0</v>
      </c>
    </row>
    <row r="120" spans="2:32" x14ac:dyDescent="0.3">
      <c r="Q120" s="37" t="s">
        <v>258</v>
      </c>
      <c r="V120" s="317"/>
      <c r="W120" s="213"/>
      <c r="X120" s="213"/>
      <c r="Y120" s="213"/>
      <c r="Z120" s="213"/>
      <c r="AA120" s="213"/>
      <c r="AB120" s="214"/>
      <c r="AC120" s="278">
        <f>-Schedule!K86</f>
        <v>-40000</v>
      </c>
      <c r="AD120" s="278">
        <f>-Schedule!L86</f>
        <v>-40000</v>
      </c>
      <c r="AE120" s="278">
        <f>-Schedule!M86</f>
        <v>-40000</v>
      </c>
      <c r="AF120" s="278">
        <f>-Schedule!N86</f>
        <v>-40000</v>
      </c>
    </row>
    <row r="121" spans="2:32" x14ac:dyDescent="0.3">
      <c r="Q121" s="37" t="s">
        <v>253</v>
      </c>
      <c r="V121" s="317"/>
      <c r="W121" s="213"/>
      <c r="X121" s="213"/>
      <c r="Y121" s="213"/>
      <c r="Z121" s="213"/>
      <c r="AA121" s="213"/>
      <c r="AB121" s="214"/>
      <c r="AC121" s="278">
        <f ca="1">-AC26</f>
        <v>-31630.399738023105</v>
      </c>
      <c r="AD121" s="278">
        <f ca="1">-AD26</f>
        <v>-26970.465083885814</v>
      </c>
      <c r="AE121" s="278">
        <f ca="1">-AE26</f>
        <v>-22975.305740496966</v>
      </c>
      <c r="AF121" s="278">
        <f ca="1">-AF26</f>
        <v>-19355.877674336014</v>
      </c>
    </row>
    <row r="122" spans="2:32" x14ac:dyDescent="0.3">
      <c r="Q122" s="93" t="s">
        <v>260</v>
      </c>
      <c r="V122" s="317"/>
      <c r="W122" s="213"/>
      <c r="X122" s="213"/>
      <c r="Y122" s="213"/>
      <c r="Z122" s="213"/>
      <c r="AA122" s="213"/>
      <c r="AB122" s="214"/>
      <c r="AC122" s="314">
        <f ca="1">SUM(AC115:AC121)</f>
        <v>-99517.669674722711</v>
      </c>
      <c r="AD122" s="315">
        <f ca="1">SUM(AD115:AD121)</f>
        <v>-56734.918105102704</v>
      </c>
      <c r="AE122" s="315">
        <f ca="1">SUM(AE115:AE121)</f>
        <v>-61510.747543590129</v>
      </c>
      <c r="AF122" s="315">
        <f ca="1">SUM(AF115:AF121)</f>
        <v>-58297.998819889515</v>
      </c>
    </row>
    <row r="123" spans="2:32" x14ac:dyDescent="0.3">
      <c r="Q123" s="37"/>
      <c r="V123" s="317"/>
      <c r="W123" s="213"/>
      <c r="X123" s="213"/>
      <c r="Y123" s="213"/>
      <c r="Z123" s="213"/>
      <c r="AA123" s="213"/>
      <c r="AB123" s="214"/>
      <c r="AC123" s="273"/>
      <c r="AD123" s="273"/>
      <c r="AE123" s="273"/>
      <c r="AF123" s="273"/>
    </row>
    <row r="124" spans="2:32" x14ac:dyDescent="0.3">
      <c r="Q124" s="93" t="s">
        <v>261</v>
      </c>
      <c r="V124" s="317"/>
      <c r="W124" s="213"/>
      <c r="X124" s="213"/>
      <c r="Y124" s="213"/>
      <c r="Z124" s="213"/>
      <c r="AA124" s="213"/>
      <c r="AB124" s="214"/>
      <c r="AC124" s="300">
        <f ca="1">AC109+AC113+AC122</f>
        <v>-31630.399738022927</v>
      </c>
      <c r="AD124" s="316">
        <f ca="1">AD109+AD113+AD122</f>
        <v>4659.9346541392733</v>
      </c>
      <c r="AE124" s="316">
        <f ca="1">AE109+AE113+AE122</f>
        <v>3995.1593433598027</v>
      </c>
      <c r="AF124" s="316">
        <f ca="1">AF109+AF113+AF122</f>
        <v>3619.4280393722293</v>
      </c>
    </row>
    <row r="125" spans="2:32" x14ac:dyDescent="0.3">
      <c r="Q125" s="37"/>
      <c r="V125" s="317"/>
      <c r="W125" s="213"/>
      <c r="X125" s="213"/>
      <c r="Y125" s="213"/>
      <c r="Z125" s="213"/>
      <c r="AA125" s="213"/>
      <c r="AB125" s="214"/>
      <c r="AC125" s="273"/>
      <c r="AD125" s="273"/>
      <c r="AE125" s="273"/>
      <c r="AF125" s="273"/>
    </row>
    <row r="126" spans="2:32" x14ac:dyDescent="0.3">
      <c r="Q126" s="37" t="s">
        <v>262</v>
      </c>
      <c r="V126" s="317"/>
      <c r="W126" s="213"/>
      <c r="X126" s="213"/>
      <c r="Y126" s="213"/>
      <c r="Z126" s="213"/>
      <c r="AA126" s="213"/>
      <c r="AB126" s="214"/>
      <c r="AC126" s="278">
        <f ca="1">AB38</f>
        <v>2000</v>
      </c>
      <c r="AD126" s="278">
        <f ca="1">AC127</f>
        <v>-29630.399738022854</v>
      </c>
      <c r="AE126" s="278">
        <f t="shared" ref="AE126:AF126" ca="1" si="59">AD127</f>
        <v>-24970.465083889343</v>
      </c>
      <c r="AF126" s="278">
        <f t="shared" ca="1" si="59"/>
        <v>-20975.305742353004</v>
      </c>
    </row>
    <row r="127" spans="2:32" x14ac:dyDescent="0.3">
      <c r="Q127" s="93" t="s">
        <v>263</v>
      </c>
      <c r="V127" s="317"/>
      <c r="W127" s="213"/>
      <c r="X127" s="213"/>
      <c r="Y127" s="213"/>
      <c r="Z127" s="213"/>
      <c r="AA127" s="213"/>
      <c r="AB127" s="214"/>
      <c r="AC127" s="314">
        <f ca="1">AC124+AC126</f>
        <v>-29630.399738022927</v>
      </c>
      <c r="AD127" s="315">
        <f t="shared" ref="AD127:AF127" ca="1" si="60">AD124+AD126</f>
        <v>-24970.465083883581</v>
      </c>
      <c r="AE127" s="315">
        <f t="shared" ca="1" si="60"/>
        <v>-20975.30574052954</v>
      </c>
      <c r="AF127" s="315">
        <f t="shared" ca="1" si="60"/>
        <v>-17355.877702980775</v>
      </c>
    </row>
    <row r="130" spans="22:32" x14ac:dyDescent="0.3">
      <c r="V130" s="177" t="s">
        <v>66</v>
      </c>
      <c r="W130" s="178"/>
      <c r="X130" s="178"/>
      <c r="Y130" s="178"/>
      <c r="Z130" s="178"/>
      <c r="AA130" s="178"/>
      <c r="AB130" s="178"/>
      <c r="AC130" s="178"/>
      <c r="AD130" s="178"/>
      <c r="AE130" s="178"/>
      <c r="AF130" s="179"/>
    </row>
    <row r="131" spans="22:32" x14ac:dyDescent="0.3">
      <c r="AC131" s="363" t="s">
        <v>2</v>
      </c>
      <c r="AD131" s="363"/>
      <c r="AE131" s="363"/>
      <c r="AF131" s="363"/>
    </row>
    <row r="132" spans="22:32" x14ac:dyDescent="0.3">
      <c r="AC132" s="183">
        <v>46381</v>
      </c>
      <c r="AD132" s="183">
        <v>46746</v>
      </c>
      <c r="AE132" s="183">
        <v>47112</v>
      </c>
      <c r="AF132" s="183">
        <v>47477</v>
      </c>
    </row>
    <row r="134" spans="22:32" x14ac:dyDescent="0.3">
      <c r="V134" t="s">
        <v>435</v>
      </c>
      <c r="AC134" s="320">
        <f>Schedule!K89</f>
        <v>4.4999999999999998E-2</v>
      </c>
      <c r="AD134" s="320">
        <f>Schedule!L89</f>
        <v>4.2999999999999997E-2</v>
      </c>
      <c r="AE134" s="320">
        <f>Schedule!M89</f>
        <v>4.2500000000000003E-2</v>
      </c>
      <c r="AF134" s="320">
        <f>Schedule!N89</f>
        <v>4.1500000000000002E-2</v>
      </c>
    </row>
    <row r="135" spans="22:32" x14ac:dyDescent="0.3">
      <c r="V135" t="s">
        <v>438</v>
      </c>
      <c r="AC135" s="321">
        <v>1.2E-2</v>
      </c>
      <c r="AD135" s="321">
        <v>1.2E-2</v>
      </c>
      <c r="AE135" s="321">
        <v>1.2E-2</v>
      </c>
      <c r="AF135" s="321">
        <v>1.2E-2</v>
      </c>
    </row>
    <row r="136" spans="22:32" x14ac:dyDescent="0.3">
      <c r="V136" s="173" t="s">
        <v>432</v>
      </c>
      <c r="Y136" s="324" t="s">
        <v>433</v>
      </c>
      <c r="Z136" s="324" t="s">
        <v>434</v>
      </c>
      <c r="AC136" s="273"/>
      <c r="AD136" s="273"/>
      <c r="AE136" s="273"/>
      <c r="AF136" s="273"/>
    </row>
    <row r="137" spans="22:32" x14ac:dyDescent="0.3">
      <c r="V137" t="s">
        <v>363</v>
      </c>
      <c r="Y137" s="322">
        <v>1.4999999999999999E-2</v>
      </c>
      <c r="Z137" s="273"/>
      <c r="AC137" s="322">
        <f>AC$134+$Y137</f>
        <v>0.06</v>
      </c>
      <c r="AD137" s="322">
        <f t="shared" ref="AD137:AF137" si="61">AD$134+$Y137</f>
        <v>5.7999999999999996E-2</v>
      </c>
      <c r="AE137" s="322">
        <f t="shared" si="61"/>
        <v>5.7500000000000002E-2</v>
      </c>
      <c r="AF137" s="322">
        <f t="shared" si="61"/>
        <v>5.6500000000000002E-2</v>
      </c>
    </row>
    <row r="138" spans="22:32" x14ac:dyDescent="0.3">
      <c r="V138" t="s">
        <v>378</v>
      </c>
      <c r="Y138" s="322">
        <v>0.03</v>
      </c>
      <c r="Z138" s="273"/>
      <c r="AC138" s="322">
        <f>AC$134+$Y138</f>
        <v>7.4999999999999997E-2</v>
      </c>
      <c r="AD138" s="322">
        <f t="shared" ref="AD138:AF139" si="62">AD$134+$Y138</f>
        <v>7.2999999999999995E-2</v>
      </c>
      <c r="AE138" s="322">
        <f t="shared" si="62"/>
        <v>7.2500000000000009E-2</v>
      </c>
      <c r="AF138" s="322">
        <f t="shared" si="62"/>
        <v>7.1500000000000008E-2</v>
      </c>
    </row>
    <row r="139" spans="22:32" x14ac:dyDescent="0.3">
      <c r="V139" t="s">
        <v>365</v>
      </c>
      <c r="Y139" s="322">
        <v>0.04</v>
      </c>
      <c r="Z139" s="273"/>
      <c r="AC139" s="322">
        <f>AC$134+$Y139</f>
        <v>8.4999999999999992E-2</v>
      </c>
      <c r="AD139" s="322">
        <f t="shared" si="62"/>
        <v>8.299999999999999E-2</v>
      </c>
      <c r="AE139" s="322">
        <f t="shared" si="62"/>
        <v>8.2500000000000004E-2</v>
      </c>
      <c r="AF139" s="322">
        <f t="shared" si="62"/>
        <v>8.1500000000000003E-2</v>
      </c>
    </row>
    <row r="140" spans="22:32" x14ac:dyDescent="0.3">
      <c r="V140" t="s">
        <v>366</v>
      </c>
      <c r="Y140" s="273"/>
      <c r="Z140" s="323">
        <f>F45</f>
        <v>0.12</v>
      </c>
      <c r="AC140" s="322">
        <f>$Z$140</f>
        <v>0.12</v>
      </c>
      <c r="AD140" s="322">
        <f t="shared" ref="AD140:AF140" si="63">$Z$140</f>
        <v>0.12</v>
      </c>
      <c r="AE140" s="322">
        <f t="shared" si="63"/>
        <v>0.12</v>
      </c>
      <c r="AF140" s="322">
        <f t="shared" si="63"/>
        <v>0.12</v>
      </c>
    </row>
    <row r="141" spans="22:32" x14ac:dyDescent="0.3">
      <c r="V141" t="s">
        <v>367</v>
      </c>
      <c r="Y141" s="273"/>
      <c r="Z141" s="323">
        <f>F46</f>
        <v>0.15</v>
      </c>
      <c r="AC141" s="322">
        <f>$Z$141</f>
        <v>0.15</v>
      </c>
      <c r="AD141" s="322">
        <f t="shared" ref="AD141:AF141" si="64">$Z$141</f>
        <v>0.15</v>
      </c>
      <c r="AE141" s="322">
        <f t="shared" si="64"/>
        <v>0.15</v>
      </c>
      <c r="AF141" s="322">
        <f t="shared" si="64"/>
        <v>0.15</v>
      </c>
    </row>
    <row r="142" spans="22:32" x14ac:dyDescent="0.3">
      <c r="AC142" s="273"/>
      <c r="AD142" s="273"/>
      <c r="AE142" s="273"/>
      <c r="AF142" s="273"/>
    </row>
    <row r="143" spans="22:32" x14ac:dyDescent="0.3">
      <c r="V143" s="173" t="s">
        <v>436</v>
      </c>
      <c r="AC143" s="273"/>
      <c r="AD143" s="273"/>
      <c r="AE143" s="273"/>
      <c r="AF143" s="273"/>
    </row>
    <row r="144" spans="22:32" x14ac:dyDescent="0.3">
      <c r="V144" t="s">
        <v>363</v>
      </c>
      <c r="AC144" s="278">
        <f ca="1">AVERAGE(AB62:AC62)*AC137</f>
        <v>0</v>
      </c>
      <c r="AD144" s="278">
        <f ca="1">AVERAGE(AC62:AD62)*AD137</f>
        <v>633.38127406591298</v>
      </c>
      <c r="AE144" s="278">
        <f ca="1">AVERAGE(AD62:AE62)*AE137</f>
        <v>1631.5973444820643</v>
      </c>
      <c r="AF144" s="278">
        <f ca="1">AVERAGE(AE62:AF62)*AF137</f>
        <v>2330.1736278344356</v>
      </c>
    </row>
    <row r="145" spans="22:32" x14ac:dyDescent="0.3">
      <c r="V145" t="s">
        <v>378</v>
      </c>
      <c r="AC145" s="278">
        <f t="shared" ref="AC145:AF148" ca="1" si="65">-AVERAGE(AB64:AC64)*AC138</f>
        <v>-6906.4177474332364</v>
      </c>
      <c r="AD145" s="278">
        <f t="shared" ca="1" si="65"/>
        <v>-5357.7881819677468</v>
      </c>
      <c r="AE145" s="278">
        <f t="shared" ca="1" si="65"/>
        <v>-4556.2037033631641</v>
      </c>
      <c r="AF145" s="278">
        <f t="shared" ca="1" si="65"/>
        <v>-3739.0223847204079</v>
      </c>
    </row>
    <row r="146" spans="22:32" x14ac:dyDescent="0.3">
      <c r="V146" t="s">
        <v>365</v>
      </c>
      <c r="AC146" s="278">
        <f t="shared" ca="1" si="65"/>
        <v>-4438.9838782123115</v>
      </c>
      <c r="AD146" s="278">
        <f t="shared" ca="1" si="65"/>
        <v>-4246.9707906699132</v>
      </c>
      <c r="AE146" s="278">
        <f t="shared" ca="1" si="65"/>
        <v>-4134.347729707546</v>
      </c>
      <c r="AF146" s="278">
        <f t="shared" ca="1" si="65"/>
        <v>-3998.2505412846376</v>
      </c>
    </row>
    <row r="147" spans="22:32" x14ac:dyDescent="0.3">
      <c r="V147" t="s">
        <v>366</v>
      </c>
      <c r="AC147" s="278">
        <f t="shared" ca="1" si="65"/>
        <v>-3798.0610722672186</v>
      </c>
      <c r="AD147" s="278">
        <f t="shared" ca="1" si="65"/>
        <v>-3798.0610722672186</v>
      </c>
      <c r="AE147" s="278">
        <f t="shared" ca="1" si="65"/>
        <v>-3798.0610722672186</v>
      </c>
      <c r="AF147" s="278">
        <f t="shared" ca="1" si="65"/>
        <v>-3798.0610722672186</v>
      </c>
    </row>
    <row r="148" spans="22:32" x14ac:dyDescent="0.3">
      <c r="V148" t="s">
        <v>367</v>
      </c>
      <c r="AC148" s="278">
        <f t="shared" ca="1" si="65"/>
        <v>-3421.6766416821797</v>
      </c>
      <c r="AD148" s="278">
        <f t="shared" ca="1" si="65"/>
        <v>-3976.5431241171277</v>
      </c>
      <c r="AE148" s="278">
        <f t="shared" ca="1" si="65"/>
        <v>-4621.38795505504</v>
      </c>
      <c r="AF148" s="278">
        <f t="shared" ca="1" si="65"/>
        <v>-5370.802218036938</v>
      </c>
    </row>
    <row r="149" spans="22:32" x14ac:dyDescent="0.3">
      <c r="V149" t="s">
        <v>437</v>
      </c>
      <c r="AC149" s="278">
        <f ca="1">AVERAGE(AB38+AB39,AC38+AC39)*AC135</f>
        <v>-152.51039842813714</v>
      </c>
      <c r="AD149" s="278">
        <f ca="1">AVERAGE(AC38+AC39,AD38+AD39)*AD135</f>
        <v>-314.33318893147316</v>
      </c>
      <c r="AE149" s="278">
        <f ca="1">AVERAGE(AD38+AD39,AE38+AE39)*AE135</f>
        <v>-262.40262495745407</v>
      </c>
      <c r="AF149" s="278">
        <f ca="1">AVERAGE(AE38+AE39,AF38+AF39)*AF135</f>
        <v>-216.71510114973751</v>
      </c>
    </row>
    <row r="150" spans="22:32" x14ac:dyDescent="0.3">
      <c r="V150" s="180" t="s">
        <v>439</v>
      </c>
      <c r="W150" s="181"/>
      <c r="X150" s="181"/>
      <c r="AC150" s="315">
        <f ca="1">SUM(AC144:AC149)</f>
        <v>-18717.649738023083</v>
      </c>
      <c r="AD150" s="315">
        <f t="shared" ref="AD150:AF150" ca="1" si="66">SUM(AD144:AD149)</f>
        <v>-17060.315083887566</v>
      </c>
      <c r="AE150" s="315">
        <f t="shared" ca="1" si="66"/>
        <v>-15740.805740868358</v>
      </c>
      <c r="AF150" s="315">
        <f t="shared" ca="1" si="66"/>
        <v>-14792.677689624503</v>
      </c>
    </row>
    <row r="151" spans="22:32" x14ac:dyDescent="0.3">
      <c r="AC151" s="273"/>
      <c r="AD151" s="273"/>
      <c r="AE151" s="273"/>
      <c r="AF151" s="273"/>
    </row>
    <row r="152" spans="22:32" x14ac:dyDescent="0.3">
      <c r="V152" s="173" t="s">
        <v>440</v>
      </c>
      <c r="AC152" s="273"/>
      <c r="AD152" s="273"/>
      <c r="AE152" s="273"/>
      <c r="AF152" s="273"/>
    </row>
    <row r="153" spans="22:32" x14ac:dyDescent="0.3">
      <c r="V153" t="s">
        <v>441</v>
      </c>
      <c r="AC153" s="278">
        <f ca="1">AB38</f>
        <v>2000</v>
      </c>
      <c r="AD153" s="278">
        <f t="shared" ref="AD153:AF153" ca="1" si="67">AC38</f>
        <v>-29630.399738022854</v>
      </c>
      <c r="AE153" s="278">
        <f t="shared" ca="1" si="67"/>
        <v>-24970.465083889343</v>
      </c>
      <c r="AF153" s="278">
        <f t="shared" ca="1" si="67"/>
        <v>-20975.305742353004</v>
      </c>
    </row>
    <row r="154" spans="22:32" x14ac:dyDescent="0.3">
      <c r="V154" s="173" t="s">
        <v>271</v>
      </c>
      <c r="AC154" s="278">
        <f>$T$6</f>
        <v>-2000</v>
      </c>
      <c r="AD154" s="278">
        <f t="shared" ref="AD154:AF154" si="68">$T$6</f>
        <v>-2000</v>
      </c>
      <c r="AE154" s="278">
        <f t="shared" si="68"/>
        <v>-2000</v>
      </c>
      <c r="AF154" s="278">
        <f t="shared" si="68"/>
        <v>-2000</v>
      </c>
    </row>
    <row r="155" spans="22:32" x14ac:dyDescent="0.3">
      <c r="V155" t="s">
        <v>442</v>
      </c>
      <c r="AC155" s="278">
        <f ca="1">AC109+AC113</f>
        <v>67887.269936699784</v>
      </c>
      <c r="AD155" s="278">
        <f ca="1">AD109+AD113</f>
        <v>61394.852759241978</v>
      </c>
      <c r="AE155" s="278">
        <f ca="1">AE109+AE113</f>
        <v>65505.906886949932</v>
      </c>
      <c r="AF155" s="278">
        <f ca="1">AF109+AF113</f>
        <v>61917.426859261745</v>
      </c>
    </row>
    <row r="156" spans="22:32" x14ac:dyDescent="0.3">
      <c r="V156" s="180" t="s">
        <v>443</v>
      </c>
      <c r="W156" s="181"/>
      <c r="X156" s="181"/>
      <c r="AC156" s="315">
        <f ca="1">SUM(AC153:AC155)</f>
        <v>67887.269936699784</v>
      </c>
      <c r="AD156" s="315">
        <f t="shared" ref="AD156:AF156" ca="1" si="69">SUM(AD153:AD155)</f>
        <v>29764.453021219124</v>
      </c>
      <c r="AE156" s="315">
        <f t="shared" ca="1" si="69"/>
        <v>38535.441803060588</v>
      </c>
      <c r="AF156" s="315">
        <f t="shared" ca="1" si="69"/>
        <v>38942.12111690874</v>
      </c>
    </row>
    <row r="157" spans="22:32" x14ac:dyDescent="0.3">
      <c r="V157" t="s">
        <v>444</v>
      </c>
      <c r="AC157" s="278">
        <f ca="1">MAX(0,AC167-AC156)</f>
        <v>0</v>
      </c>
      <c r="AD157" s="278">
        <f t="shared" ref="AD157:AF157" ca="1" si="70">MAX(0,AD167-AD156)</f>
        <v>21840.733588486262</v>
      </c>
      <c r="AE157" s="278">
        <f t="shared" ca="1" si="70"/>
        <v>13069.744806644798</v>
      </c>
      <c r="AF157" s="278">
        <f t="shared" ca="1" si="70"/>
        <v>12663.065492796646</v>
      </c>
    </row>
    <row r="158" spans="22:32" x14ac:dyDescent="0.3">
      <c r="V158" s="180" t="s">
        <v>445</v>
      </c>
      <c r="W158" s="181"/>
      <c r="X158" s="181"/>
      <c r="AC158" s="315">
        <f ca="1">AC156+AC157</f>
        <v>67887.269936699784</v>
      </c>
      <c r="AD158" s="315">
        <f t="shared" ref="AD158:AF158" ca="1" si="71">AD156+AD157</f>
        <v>51605.186609705386</v>
      </c>
      <c r="AE158" s="315">
        <f t="shared" ca="1" si="71"/>
        <v>51605.186609705386</v>
      </c>
      <c r="AF158" s="315">
        <f t="shared" ca="1" si="71"/>
        <v>51605.186609705386</v>
      </c>
    </row>
    <row r="159" spans="22:32" x14ac:dyDescent="0.3">
      <c r="AC159" s="273"/>
      <c r="AD159" s="273"/>
      <c r="AE159" s="273"/>
      <c r="AF159" s="273"/>
    </row>
    <row r="160" spans="22:32" x14ac:dyDescent="0.3">
      <c r="V160" s="173" t="s">
        <v>446</v>
      </c>
      <c r="AC160" s="273"/>
      <c r="AD160" s="273"/>
      <c r="AE160" s="273"/>
      <c r="AF160" s="273"/>
    </row>
    <row r="161" spans="22:32" x14ac:dyDescent="0.3">
      <c r="V161" s="198" t="s">
        <v>447</v>
      </c>
      <c r="AC161" s="273"/>
      <c r="AD161" s="273"/>
      <c r="AE161" s="273"/>
      <c r="AF161" s="273"/>
    </row>
    <row r="162" spans="22:32" x14ac:dyDescent="0.3">
      <c r="V162" t="s">
        <v>449</v>
      </c>
      <c r="AC162" s="278">
        <f>-AC120</f>
        <v>40000</v>
      </c>
      <c r="AD162" s="278">
        <f>-AD120</f>
        <v>40000</v>
      </c>
      <c r="AE162" s="278">
        <f>-AE120</f>
        <v>40000</v>
      </c>
      <c r="AF162" s="278">
        <f>-AF120</f>
        <v>40000</v>
      </c>
    </row>
    <row r="163" spans="22:32" x14ac:dyDescent="0.3">
      <c r="V163" t="s">
        <v>378</v>
      </c>
      <c r="AC163" s="278">
        <f t="shared" ref="AC163:AF166" ca="1" si="72">MIN(AB64,$L36*$L43)</f>
        <v>10550.169645186719</v>
      </c>
      <c r="AD163" s="278">
        <f t="shared" ca="1" si="72"/>
        <v>10550.169645186719</v>
      </c>
      <c r="AE163" s="278">
        <f t="shared" ca="1" si="72"/>
        <v>10550.169645186719</v>
      </c>
      <c r="AF163" s="278">
        <f t="shared" ca="1" si="72"/>
        <v>10550.169645186719</v>
      </c>
    </row>
    <row r="164" spans="22:32" x14ac:dyDescent="0.3">
      <c r="V164" t="s">
        <v>365</v>
      </c>
      <c r="AC164" s="278">
        <f t="shared" ca="1" si="72"/>
        <v>1055.016964518672</v>
      </c>
      <c r="AD164" s="278">
        <f t="shared" ca="1" si="72"/>
        <v>1055.016964518672</v>
      </c>
      <c r="AE164" s="278">
        <f t="shared" ca="1" si="72"/>
        <v>1055.016964518672</v>
      </c>
      <c r="AF164" s="278">
        <f t="shared" ca="1" si="72"/>
        <v>1055.016964518672</v>
      </c>
    </row>
    <row r="165" spans="22:32" x14ac:dyDescent="0.3">
      <c r="V165" t="s">
        <v>366</v>
      </c>
      <c r="AC165" s="278">
        <f t="shared" ca="1" si="72"/>
        <v>0</v>
      </c>
      <c r="AD165" s="278">
        <f t="shared" ca="1" si="72"/>
        <v>0</v>
      </c>
      <c r="AE165" s="278">
        <f t="shared" ca="1" si="72"/>
        <v>0</v>
      </c>
      <c r="AF165" s="278">
        <f t="shared" ca="1" si="72"/>
        <v>0</v>
      </c>
    </row>
    <row r="166" spans="22:32" x14ac:dyDescent="0.3">
      <c r="V166" t="s">
        <v>367</v>
      </c>
      <c r="AC166" s="278">
        <f t="shared" ca="1" si="72"/>
        <v>0</v>
      </c>
      <c r="AD166" s="278">
        <f t="shared" ca="1" si="72"/>
        <v>0</v>
      </c>
      <c r="AE166" s="278">
        <f t="shared" ca="1" si="72"/>
        <v>0</v>
      </c>
      <c r="AF166" s="278">
        <f t="shared" ca="1" si="72"/>
        <v>0</v>
      </c>
    </row>
    <row r="167" spans="22:32" x14ac:dyDescent="0.3">
      <c r="V167" s="180" t="s">
        <v>447</v>
      </c>
      <c r="W167" s="181"/>
      <c r="X167" s="181"/>
      <c r="AC167" s="315">
        <f ca="1">SUM(AC162:AC166)</f>
        <v>51605.186609705386</v>
      </c>
      <c r="AD167" s="315">
        <f t="shared" ref="AD167:AF167" ca="1" si="73">SUM(AD162:AD166)</f>
        <v>51605.186609705386</v>
      </c>
      <c r="AE167" s="315">
        <f t="shared" ca="1" si="73"/>
        <v>51605.186609705386</v>
      </c>
      <c r="AF167" s="315">
        <f t="shared" ca="1" si="73"/>
        <v>51605.186609705386</v>
      </c>
    </row>
    <row r="168" spans="22:32" x14ac:dyDescent="0.3">
      <c r="AC168" s="273"/>
      <c r="AD168" s="273"/>
      <c r="AE168" s="273"/>
      <c r="AF168" s="273"/>
    </row>
    <row r="169" spans="22:32" x14ac:dyDescent="0.3">
      <c r="V169" s="198" t="s">
        <v>448</v>
      </c>
      <c r="AC169" s="273"/>
      <c r="AD169" s="273"/>
      <c r="AE169" s="273"/>
      <c r="AF169" s="273"/>
    </row>
    <row r="170" spans="22:32" x14ac:dyDescent="0.3">
      <c r="V170" t="s">
        <v>363</v>
      </c>
      <c r="AC170" s="278">
        <f ca="1">MAX(MIN(AB62,AC$156-SUM(AC$167:AC169)),0)</f>
        <v>0</v>
      </c>
      <c r="AD170" s="278">
        <f ca="1">MAX(MIN(AC62,AD$156-SUM(AD$167:AD169)),0)</f>
        <v>0</v>
      </c>
      <c r="AE170" s="278">
        <f ca="1">MAX(MIN(AD62,AE$156-SUM(AE$167:AE169)),0)</f>
        <v>0</v>
      </c>
      <c r="AF170" s="278">
        <f ca="1">MAX(MIN(AE62,AF$156-SUM(AF$167:AF169)),0)</f>
        <v>0</v>
      </c>
    </row>
    <row r="171" spans="22:32" x14ac:dyDescent="0.3">
      <c r="V171" t="s">
        <v>378</v>
      </c>
      <c r="AC171" s="278">
        <f ca="1">MAX(MIN(AB64-AC163,AC$156-SUM(AC$167:AC170)),0)</f>
        <v>16282.083326994398</v>
      </c>
      <c r="AD171" s="278">
        <f ca="1">MAX(MIN(AC64-AD163,AD$156-SUM(AD$167:AD170)),0)</f>
        <v>0</v>
      </c>
      <c r="AE171" s="278">
        <f ca="1">MAX(MIN(AD64-AE163,AE$156-SUM(AE$167:AE170)),0)</f>
        <v>0</v>
      </c>
      <c r="AF171" s="278">
        <f ca="1">MAX(MIN(AE64-AF163,AF$156-SUM(AF$167:AF170)),0)</f>
        <v>0</v>
      </c>
    </row>
    <row r="172" spans="22:32" x14ac:dyDescent="0.3">
      <c r="V172" t="s">
        <v>365</v>
      </c>
      <c r="AC172" s="278">
        <f ca="1">MAX(MIN(AB65-AC164,AC$156-SUM(AC$167:AC171)),0)</f>
        <v>0</v>
      </c>
      <c r="AD172" s="278">
        <f ca="1">MAX(MIN(AC65-AD164,AD$156-SUM(AD$167:AD171)),0)</f>
        <v>0</v>
      </c>
      <c r="AE172" s="278">
        <f ca="1">MAX(MIN(AD65-AE164,AE$156-SUM(AE$167:AE171)),0)</f>
        <v>0</v>
      </c>
      <c r="AF172" s="278">
        <f ca="1">MAX(MIN(AE65-AF164,AF$156-SUM(AF$167:AF171)),0)</f>
        <v>0</v>
      </c>
    </row>
    <row r="173" spans="22:32" x14ac:dyDescent="0.3">
      <c r="V173" t="s">
        <v>366</v>
      </c>
      <c r="AC173" s="278">
        <v>0</v>
      </c>
      <c r="AD173" s="278">
        <v>0</v>
      </c>
      <c r="AE173" s="278">
        <v>0</v>
      </c>
      <c r="AF173" s="278">
        <v>0</v>
      </c>
    </row>
    <row r="174" spans="22:32" x14ac:dyDescent="0.3">
      <c r="V174" t="s">
        <v>367</v>
      </c>
      <c r="AC174" s="278">
        <v>0</v>
      </c>
      <c r="AD174" s="278">
        <v>0</v>
      </c>
      <c r="AE174" s="278">
        <v>0</v>
      </c>
      <c r="AF174" s="278">
        <v>0</v>
      </c>
    </row>
    <row r="175" spans="22:32" x14ac:dyDescent="0.3">
      <c r="V175" s="180" t="s">
        <v>448</v>
      </c>
      <c r="W175" s="181"/>
      <c r="X175" s="181"/>
      <c r="AC175" s="315">
        <f ca="1">SUM(AC170:AC174)</f>
        <v>16282.083326994398</v>
      </c>
      <c r="AD175" s="315">
        <f t="shared" ref="AD175:AF175" ca="1" si="74">SUM(AD170:AD174)</f>
        <v>0</v>
      </c>
      <c r="AE175" s="315">
        <f t="shared" ca="1" si="74"/>
        <v>0</v>
      </c>
      <c r="AF175" s="315">
        <f t="shared" ca="1" si="74"/>
        <v>0</v>
      </c>
    </row>
    <row r="176" spans="22:32" x14ac:dyDescent="0.3">
      <c r="AC176" s="273"/>
      <c r="AD176" s="273"/>
      <c r="AE176" s="273"/>
      <c r="AF176" s="273"/>
    </row>
    <row r="177" spans="22:32" x14ac:dyDescent="0.3">
      <c r="V177" s="173" t="s">
        <v>450</v>
      </c>
      <c r="W177" s="173"/>
      <c r="X177" s="173"/>
      <c r="Y177" s="173"/>
      <c r="Z177" s="173"/>
      <c r="AA177" s="173"/>
      <c r="AB177" s="173"/>
      <c r="AC177" s="290">
        <f ca="1">MAX(AC156-AC167-AC175,0)</f>
        <v>0</v>
      </c>
      <c r="AD177" s="290">
        <f t="shared" ref="AD177:AF177" ca="1" si="75">MAX(AD156-AD167-AD175,0)</f>
        <v>0</v>
      </c>
      <c r="AE177" s="290">
        <f t="shared" ca="1" si="75"/>
        <v>0</v>
      </c>
      <c r="AF177" s="290">
        <f t="shared" ca="1" si="75"/>
        <v>0</v>
      </c>
    </row>
    <row r="178" spans="22:32" x14ac:dyDescent="0.3">
      <c r="V178" s="173" t="s">
        <v>451</v>
      </c>
      <c r="AC178" s="290">
        <f ca="1">AC177+AC175+AC167</f>
        <v>67887.269936699784</v>
      </c>
      <c r="AD178" s="290">
        <f t="shared" ref="AD178:AF178" ca="1" si="76">AD177+AD175+AD167</f>
        <v>51605.186609705386</v>
      </c>
      <c r="AE178" s="290">
        <f t="shared" ca="1" si="76"/>
        <v>51605.186609705386</v>
      </c>
      <c r="AF178" s="290">
        <f t="shared" ca="1" si="76"/>
        <v>51605.186609705386</v>
      </c>
    </row>
    <row r="179" spans="22:32" x14ac:dyDescent="0.3">
      <c r="AC179" s="273"/>
      <c r="AD179" s="273"/>
      <c r="AE179" s="273"/>
      <c r="AF179" s="273"/>
    </row>
  </sheetData>
  <mergeCells count="15">
    <mergeCell ref="AC8:AF8"/>
    <mergeCell ref="Z8:AB8"/>
    <mergeCell ref="V8:Y8"/>
    <mergeCell ref="Q8:S9"/>
    <mergeCell ref="Q33:S34"/>
    <mergeCell ref="V33:Y33"/>
    <mergeCell ref="Z33:AB33"/>
    <mergeCell ref="AC33:AF33"/>
    <mergeCell ref="AC131:AF131"/>
    <mergeCell ref="B94:B103"/>
    <mergeCell ref="B109:B118"/>
    <mergeCell ref="Q90:S91"/>
    <mergeCell ref="V90:Y90"/>
    <mergeCell ref="Z90:AB90"/>
    <mergeCell ref="AC90:AF9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14</vt:i4>
      </vt:variant>
    </vt:vector>
  </HeadingPairs>
  <TitlesOfParts>
    <vt:vector size="24" baseType="lpstr">
      <vt:lpstr>Dashboard</vt:lpstr>
      <vt:lpstr>Financials-&gt;</vt:lpstr>
      <vt:lpstr>Statements</vt:lpstr>
      <vt:lpstr>Assumptions</vt:lpstr>
      <vt:lpstr>Schedule</vt:lpstr>
      <vt:lpstr>Valuation-&gt;</vt:lpstr>
      <vt:lpstr>Comp_Trad</vt:lpstr>
      <vt:lpstr>WACC</vt:lpstr>
      <vt:lpstr>DCF</vt:lpstr>
      <vt:lpstr>LBO_model</vt:lpstr>
      <vt:lpstr>BS</vt:lpstr>
      <vt:lpstr>CF</vt:lpstr>
      <vt:lpstr>days</vt:lpstr>
      <vt:lpstr>Debt</vt:lpstr>
      <vt:lpstr>EF</vt:lpstr>
      <vt:lpstr>Equity</vt:lpstr>
      <vt:lpstr>IS</vt:lpstr>
      <vt:lpstr>PPE</vt:lpstr>
      <vt:lpstr>RE</vt:lpstr>
      <vt:lpstr>RF</vt:lpstr>
      <vt:lpstr>tax_rate</vt:lpstr>
      <vt:lpstr>terminal_growth</vt:lpstr>
      <vt:lpstr>wacc</vt:lpstr>
      <vt:lpstr>WC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Eldric Sequeira</dc:creator>
  <cp:lastModifiedBy>Eldric Sequeira</cp:lastModifiedBy>
  <cp:lastPrinted>2026-03-12T10:27:57Z</cp:lastPrinted>
  <dcterms:created xsi:type="dcterms:W3CDTF">2026-02-20T09:32:09Z</dcterms:created>
  <dcterms:modified xsi:type="dcterms:W3CDTF">2026-04-20T10:20:39Z</dcterms:modified>
</cp:coreProperties>
</file>