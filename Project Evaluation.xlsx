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5B19A2AA-D72B-4A2A-9667-00F3307834A0}" xr6:coauthVersionLast="47" xr6:coauthVersionMax="47" xr10:uidLastSave="{00000000-0000-0000-0000-000000000000}"/>
  <bookViews>
    <workbookView xWindow="-108" yWindow="-108" windowWidth="23256" windowHeight="13176" xr2:uid="{74788552-A60F-4B20-9CA5-E0FDD2F1C854}"/>
  </bookViews>
  <sheets>
    <sheet name="Break_even_analysis" sheetId="1" r:id="rId1"/>
    <sheet name="Cost_Benefit_analysis" sheetId="2" r:id="rId2"/>
    <sheet name="Scenario_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5" i="1" l="1"/>
  <c r="E44" i="1"/>
  <c r="D37" i="3"/>
  <c r="T34" i="3"/>
  <c r="U34" i="3"/>
  <c r="V34" i="3"/>
  <c r="W34" i="3"/>
  <c r="X34" i="3"/>
  <c r="Y34" i="3"/>
  <c r="Z34" i="3"/>
  <c r="AA34" i="3"/>
  <c r="AB34" i="3"/>
  <c r="AC34" i="3"/>
  <c r="H17" i="3"/>
  <c r="H16" i="3"/>
  <c r="E43" i="3" s="1"/>
  <c r="T32" i="3"/>
  <c r="U27" i="3"/>
  <c r="U30" i="3" s="1"/>
  <c r="V27" i="3"/>
  <c r="V30" i="3" s="1"/>
  <c r="W27" i="3"/>
  <c r="W30" i="3" s="1"/>
  <c r="X27" i="3"/>
  <c r="X30" i="3" s="1"/>
  <c r="Y27" i="3"/>
  <c r="Y30" i="3" s="1"/>
  <c r="Z27" i="3"/>
  <c r="Z30" i="3" s="1"/>
  <c r="AA27" i="3"/>
  <c r="AA30" i="3" s="1"/>
  <c r="AB27" i="3"/>
  <c r="AB30" i="3" s="1"/>
  <c r="AC27" i="3"/>
  <c r="AC30" i="3" s="1"/>
  <c r="T27" i="3"/>
  <c r="T30" i="3" s="1"/>
  <c r="F27" i="3"/>
  <c r="F30" i="3" s="1"/>
  <c r="G27" i="3"/>
  <c r="G30" i="3" s="1"/>
  <c r="H27" i="3"/>
  <c r="H30" i="3" s="1"/>
  <c r="I27" i="3"/>
  <c r="I30" i="3" s="1"/>
  <c r="J27" i="3"/>
  <c r="K27" i="3"/>
  <c r="K30" i="3" s="1"/>
  <c r="L27" i="3"/>
  <c r="L30" i="3" s="1"/>
  <c r="M27" i="3"/>
  <c r="M30" i="3" s="1"/>
  <c r="N27" i="3"/>
  <c r="N30" i="3" s="1"/>
  <c r="O27" i="3"/>
  <c r="O30" i="3" s="1"/>
  <c r="P27" i="3"/>
  <c r="P30" i="3" s="1"/>
  <c r="Q27" i="3"/>
  <c r="Q30" i="3" s="1"/>
  <c r="R27" i="3"/>
  <c r="R30" i="3" s="1"/>
  <c r="S27" i="3"/>
  <c r="S30" i="3" s="1"/>
  <c r="E27" i="3"/>
  <c r="E30" i="3" s="1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E31" i="3"/>
  <c r="J30" i="3"/>
  <c r="L28" i="2"/>
  <c r="E92" i="2"/>
  <c r="E93" i="2"/>
  <c r="E94" i="2"/>
  <c r="E91" i="2"/>
  <c r="E71" i="2"/>
  <c r="F71" i="2" s="1"/>
  <c r="E77" i="2"/>
  <c r="F77" i="2" s="1"/>
  <c r="E43" i="2"/>
  <c r="E44" i="2" s="1"/>
  <c r="I56" i="2"/>
  <c r="J56" i="2" s="1"/>
  <c r="K56" i="2" s="1"/>
  <c r="L56" i="2" s="1"/>
  <c r="M56" i="2" s="1"/>
  <c r="N56" i="2" s="1"/>
  <c r="O56" i="2" s="1"/>
  <c r="P56" i="2" s="1"/>
  <c r="Q56" i="2" s="1"/>
  <c r="R56" i="2" s="1"/>
  <c r="E45" i="2"/>
  <c r="F16" i="2"/>
  <c r="E23" i="2"/>
  <c r="F25" i="2" s="1"/>
  <c r="I133" i="1"/>
  <c r="H133" i="1"/>
  <c r="G133" i="1"/>
  <c r="F133" i="1"/>
  <c r="E133" i="1"/>
  <c r="I120" i="1"/>
  <c r="E132" i="1"/>
  <c r="F132" i="1"/>
  <c r="G130" i="1"/>
  <c r="F130" i="1"/>
  <c r="E131" i="1"/>
  <c r="G131" i="1" s="1"/>
  <c r="E130" i="1"/>
  <c r="E119" i="1"/>
  <c r="E68" i="1"/>
  <c r="E69" i="1" s="1"/>
  <c r="E116" i="1"/>
  <c r="E117" i="1" s="1"/>
  <c r="E97" i="1"/>
  <c r="G97" i="1" s="1"/>
  <c r="E95" i="1"/>
  <c r="F95" i="1" s="1"/>
  <c r="E88" i="1"/>
  <c r="E84" i="1"/>
  <c r="E89" i="1" s="1"/>
  <c r="E83" i="1"/>
  <c r="E87" i="1" s="1"/>
  <c r="E79" i="1"/>
  <c r="E72" i="1"/>
  <c r="E73" i="1" s="1"/>
  <c r="E74" i="1" s="1"/>
  <c r="E75" i="1" s="1"/>
  <c r="E45" i="1"/>
  <c r="E28" i="1"/>
  <c r="E39" i="1" s="1"/>
  <c r="F39" i="1" s="1"/>
  <c r="G39" i="1" s="1"/>
  <c r="H39" i="1" s="1"/>
  <c r="E27" i="1"/>
  <c r="F27" i="1" s="1"/>
  <c r="G27" i="1" s="1"/>
  <c r="H27" i="1" s="1"/>
  <c r="H17" i="1"/>
  <c r="H16" i="1"/>
  <c r="H21" i="1" s="1"/>
  <c r="E29" i="1" s="1"/>
  <c r="F31" i="2"/>
  <c r="F124" i="1"/>
  <c r="J120" i="1"/>
  <c r="F80" i="1"/>
  <c r="I31" i="1"/>
  <c r="F116" i="1"/>
  <c r="F120" i="1"/>
  <c r="F74" i="1"/>
  <c r="F98" i="2"/>
  <c r="F85" i="1"/>
  <c r="F97" i="2"/>
  <c r="M28" i="2"/>
  <c r="F127" i="1"/>
  <c r="F122" i="1"/>
  <c r="F45" i="1"/>
  <c r="F44" i="1"/>
  <c r="F119" i="1"/>
  <c r="F68" i="1"/>
  <c r="F27" i="2"/>
  <c r="E44" i="3" l="1"/>
  <c r="E34" i="3" s="1"/>
  <c r="E46" i="3"/>
  <c r="F43" i="3" s="1"/>
  <c r="F46" i="3" s="1"/>
  <c r="G43" i="3" s="1"/>
  <c r="T33" i="3"/>
  <c r="T35" i="3" s="1"/>
  <c r="F44" i="3"/>
  <c r="F34" i="3" s="1"/>
  <c r="AC33" i="3"/>
  <c r="AC35" i="3" s="1"/>
  <c r="S33" i="3"/>
  <c r="N33" i="3"/>
  <c r="L33" i="3"/>
  <c r="AB33" i="3"/>
  <c r="AB35" i="3" s="1"/>
  <c r="AA33" i="3"/>
  <c r="AA35" i="3" s="1"/>
  <c r="Y33" i="3"/>
  <c r="Y35" i="3" s="1"/>
  <c r="J33" i="3"/>
  <c r="O33" i="3"/>
  <c r="I33" i="3"/>
  <c r="K33" i="3"/>
  <c r="G33" i="3"/>
  <c r="H33" i="3"/>
  <c r="X33" i="3"/>
  <c r="X35" i="3" s="1"/>
  <c r="W33" i="3"/>
  <c r="W35" i="3" s="1"/>
  <c r="V33" i="3"/>
  <c r="V35" i="3" s="1"/>
  <c r="M33" i="3"/>
  <c r="U33" i="3"/>
  <c r="U35" i="3" s="1"/>
  <c r="Q33" i="3"/>
  <c r="Z33" i="3"/>
  <c r="Z35" i="3" s="1"/>
  <c r="R33" i="3"/>
  <c r="F33" i="3"/>
  <c r="E33" i="3"/>
  <c r="E35" i="3" s="1"/>
  <c r="P33" i="3"/>
  <c r="E95" i="2"/>
  <c r="F95" i="2" s="1"/>
  <c r="G95" i="2" s="1"/>
  <c r="H95" i="2" s="1"/>
  <c r="I95" i="2" s="1"/>
  <c r="J95" i="2" s="1"/>
  <c r="K95" i="2" s="1"/>
  <c r="L95" i="2" s="1"/>
  <c r="M95" i="2" s="1"/>
  <c r="N95" i="2" s="1"/>
  <c r="O95" i="2" s="1"/>
  <c r="P95" i="2" s="1"/>
  <c r="Q95" i="2" s="1"/>
  <c r="R95" i="2" s="1"/>
  <c r="S95" i="2" s="1"/>
  <c r="T95" i="2" s="1"/>
  <c r="U95" i="2" s="1"/>
  <c r="V95" i="2" s="1"/>
  <c r="W95" i="2" s="1"/>
  <c r="X95" i="2" s="1"/>
  <c r="Y95" i="2" s="1"/>
  <c r="Z95" i="2" s="1"/>
  <c r="AA95" i="2" s="1"/>
  <c r="AB95" i="2" s="1"/>
  <c r="AC95" i="2" s="1"/>
  <c r="AD95" i="2" s="1"/>
  <c r="AE95" i="2" s="1"/>
  <c r="AF95" i="2" s="1"/>
  <c r="AG95" i="2" s="1"/>
  <c r="AH95" i="2" s="1"/>
  <c r="AI95" i="2" s="1"/>
  <c r="G71" i="2"/>
  <c r="E81" i="2"/>
  <c r="H71" i="2"/>
  <c r="I71" i="2" s="1"/>
  <c r="J71" i="2" s="1"/>
  <c r="K71" i="2" s="1"/>
  <c r="L71" i="2" s="1"/>
  <c r="M71" i="2" s="1"/>
  <c r="N71" i="2" s="1"/>
  <c r="O71" i="2" s="1"/>
  <c r="P71" i="2" s="1"/>
  <c r="Q71" i="2" s="1"/>
  <c r="R71" i="2" s="1"/>
  <c r="S71" i="2" s="1"/>
  <c r="T71" i="2" s="1"/>
  <c r="U71" i="2" s="1"/>
  <c r="V71" i="2" s="1"/>
  <c r="W71" i="2" s="1"/>
  <c r="X71" i="2" s="1"/>
  <c r="Y71" i="2" s="1"/>
  <c r="Z71" i="2" s="1"/>
  <c r="AA71" i="2" s="1"/>
  <c r="AB71" i="2" s="1"/>
  <c r="AC71" i="2" s="1"/>
  <c r="AD71" i="2" s="1"/>
  <c r="AE71" i="2" s="1"/>
  <c r="AF71" i="2" s="1"/>
  <c r="AG71" i="2" s="1"/>
  <c r="AH71" i="2" s="1"/>
  <c r="AI71" i="2" s="1"/>
  <c r="G77" i="2"/>
  <c r="H77" i="2" s="1"/>
  <c r="I77" i="2" s="1"/>
  <c r="J77" i="2" s="1"/>
  <c r="K77" i="2" s="1"/>
  <c r="L77" i="2" s="1"/>
  <c r="M77" i="2" s="1"/>
  <c r="N77" i="2" s="1"/>
  <c r="O77" i="2" s="1"/>
  <c r="P77" i="2" s="1"/>
  <c r="Q77" i="2" s="1"/>
  <c r="R77" i="2" s="1"/>
  <c r="S77" i="2" s="1"/>
  <c r="T77" i="2" s="1"/>
  <c r="U77" i="2" s="1"/>
  <c r="V77" i="2" s="1"/>
  <c r="W77" i="2" s="1"/>
  <c r="X77" i="2" s="1"/>
  <c r="Y77" i="2" s="1"/>
  <c r="Z77" i="2" s="1"/>
  <c r="AA77" i="2" s="1"/>
  <c r="AB77" i="2" s="1"/>
  <c r="AC77" i="2" s="1"/>
  <c r="AD77" i="2" s="1"/>
  <c r="AE77" i="2" s="1"/>
  <c r="AF77" i="2" s="1"/>
  <c r="AG77" i="2" s="1"/>
  <c r="AH77" i="2" s="1"/>
  <c r="AI77" i="2" s="1"/>
  <c r="F81" i="2"/>
  <c r="E47" i="2"/>
  <c r="E50" i="2" s="1"/>
  <c r="E53" i="2" s="1"/>
  <c r="G25" i="2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F23" i="2"/>
  <c r="G16" i="2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E122" i="1"/>
  <c r="F131" i="1"/>
  <c r="H131" i="1" s="1"/>
  <c r="I131" i="1" s="1"/>
  <c r="H130" i="1"/>
  <c r="I130" i="1" s="1"/>
  <c r="E120" i="1"/>
  <c r="E96" i="1"/>
  <c r="G96" i="1" s="1"/>
  <c r="E90" i="1"/>
  <c r="F97" i="1"/>
  <c r="H97" i="1" s="1"/>
  <c r="I97" i="1" s="1"/>
  <c r="G95" i="1"/>
  <c r="H95" i="1" s="1"/>
  <c r="I95" i="1" s="1"/>
  <c r="F28" i="1"/>
  <c r="G28" i="1" s="1"/>
  <c r="H28" i="1" s="1"/>
  <c r="E78" i="1"/>
  <c r="E80" i="1" s="1"/>
  <c r="E31" i="1"/>
  <c r="E40" i="1"/>
  <c r="F40" i="1" s="1"/>
  <c r="G40" i="1" s="1"/>
  <c r="H40" i="1" s="1"/>
  <c r="F29" i="1"/>
  <c r="E36" i="1"/>
  <c r="Z36" i="3" l="1"/>
  <c r="Z37" i="3" s="1"/>
  <c r="Y36" i="3"/>
  <c r="Y37" i="3" s="1"/>
  <c r="U36" i="3"/>
  <c r="U37" i="3" s="1"/>
  <c r="AB36" i="3"/>
  <c r="AB37" i="3" s="1"/>
  <c r="V36" i="3"/>
  <c r="V37" i="3" s="1"/>
  <c r="W36" i="3"/>
  <c r="W37" i="3" s="1"/>
  <c r="AA36" i="3"/>
  <c r="AA37" i="3" s="1"/>
  <c r="X36" i="3"/>
  <c r="X37" i="3" s="1"/>
  <c r="AC36" i="3"/>
  <c r="AC37" i="3" s="1"/>
  <c r="E36" i="3"/>
  <c r="E37" i="3" s="1"/>
  <c r="T36" i="3"/>
  <c r="T37" i="3" s="1"/>
  <c r="D39" i="3" s="1"/>
  <c r="F35" i="3"/>
  <c r="G44" i="3"/>
  <c r="G34" i="3" s="1"/>
  <c r="G35" i="3" s="1"/>
  <c r="G46" i="3"/>
  <c r="H43" i="3" s="1"/>
  <c r="H46" i="3" s="1"/>
  <c r="I43" i="3" s="1"/>
  <c r="H44" i="3"/>
  <c r="H34" i="3" s="1"/>
  <c r="H35" i="3" s="1"/>
  <c r="E27" i="2"/>
  <c r="E97" i="2"/>
  <c r="E86" i="2"/>
  <c r="E98" i="2" s="1"/>
  <c r="G81" i="2"/>
  <c r="H81" i="2" s="1"/>
  <c r="I81" i="2" s="1"/>
  <c r="J81" i="2" s="1"/>
  <c r="K81" i="2" s="1"/>
  <c r="L81" i="2" s="1"/>
  <c r="M81" i="2" s="1"/>
  <c r="N81" i="2" s="1"/>
  <c r="O81" i="2" s="1"/>
  <c r="P81" i="2" s="1"/>
  <c r="Q81" i="2" s="1"/>
  <c r="R81" i="2" s="1"/>
  <c r="S81" i="2" s="1"/>
  <c r="T81" i="2" s="1"/>
  <c r="U81" i="2" s="1"/>
  <c r="V81" i="2" s="1"/>
  <c r="W81" i="2" s="1"/>
  <c r="X81" i="2" s="1"/>
  <c r="Y81" i="2" s="1"/>
  <c r="Z81" i="2" s="1"/>
  <c r="AA81" i="2" s="1"/>
  <c r="AB81" i="2" s="1"/>
  <c r="AC81" i="2" s="1"/>
  <c r="AD81" i="2" s="1"/>
  <c r="AE81" i="2" s="1"/>
  <c r="AF81" i="2" s="1"/>
  <c r="AG81" i="2" s="1"/>
  <c r="AH81" i="2" s="1"/>
  <c r="AI81" i="2" s="1"/>
  <c r="E85" i="2"/>
  <c r="E87" i="2" s="1"/>
  <c r="F53" i="2"/>
  <c r="E30" i="2"/>
  <c r="G23" i="2"/>
  <c r="H23" i="2" s="1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E124" i="1"/>
  <c r="E125" i="1" s="1"/>
  <c r="E127" i="1" s="1"/>
  <c r="G132" i="1"/>
  <c r="H132" i="1" s="1"/>
  <c r="I132" i="1" s="1"/>
  <c r="F96" i="1"/>
  <c r="H96" i="1" s="1"/>
  <c r="I96" i="1" s="1"/>
  <c r="F31" i="1"/>
  <c r="F32" i="1" s="1"/>
  <c r="F36" i="1"/>
  <c r="G29" i="1"/>
  <c r="G31" i="1" s="1"/>
  <c r="G32" i="1" s="1"/>
  <c r="G36" i="3" l="1"/>
  <c r="G37" i="3" s="1"/>
  <c r="F36" i="3"/>
  <c r="F37" i="3" s="1"/>
  <c r="H36" i="3"/>
  <c r="H37" i="3" s="1"/>
  <c r="I44" i="3"/>
  <c r="I34" i="3" s="1"/>
  <c r="I35" i="3" s="1"/>
  <c r="I46" i="3"/>
  <c r="J43" i="3" s="1"/>
  <c r="E99" i="2"/>
  <c r="E83" i="2"/>
  <c r="E29" i="2"/>
  <c r="E31" i="2" s="1"/>
  <c r="G53" i="2"/>
  <c r="H53" i="2" s="1"/>
  <c r="I53" i="2" s="1"/>
  <c r="J53" i="2" s="1"/>
  <c r="K53" i="2" s="1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F35" i="1"/>
  <c r="G35" i="1"/>
  <c r="E35" i="1"/>
  <c r="E37" i="1" s="1"/>
  <c r="E42" i="1" s="1"/>
  <c r="H35" i="1"/>
  <c r="H29" i="1"/>
  <c r="H31" i="1" s="1"/>
  <c r="H32" i="1" s="1"/>
  <c r="F37" i="1"/>
  <c r="F42" i="1" s="1"/>
  <c r="G36" i="1"/>
  <c r="I36" i="3" l="1"/>
  <c r="I37" i="3" s="1"/>
  <c r="J44" i="3"/>
  <c r="J34" i="3" s="1"/>
  <c r="J35" i="3" s="1"/>
  <c r="J46" i="3"/>
  <c r="K43" i="3" s="1"/>
  <c r="E55" i="2"/>
  <c r="G56" i="2" s="1"/>
  <c r="G37" i="1"/>
  <c r="G42" i="1" s="1"/>
  <c r="H36" i="1"/>
  <c r="H37" i="1" s="1"/>
  <c r="H42" i="1" s="1"/>
  <c r="J36" i="3" l="1"/>
  <c r="J37" i="3" s="1"/>
  <c r="K46" i="3"/>
  <c r="L43" i="3" s="1"/>
  <c r="K44" i="3"/>
  <c r="K34" i="3" s="1"/>
  <c r="K35" i="3" s="1"/>
  <c r="K36" i="3" l="1"/>
  <c r="K37" i="3" s="1"/>
  <c r="L46" i="3"/>
  <c r="M43" i="3" s="1"/>
  <c r="L44" i="3"/>
  <c r="L34" i="3" s="1"/>
  <c r="L35" i="3" s="1"/>
  <c r="L36" i="3" l="1"/>
  <c r="L37" i="3" s="1"/>
  <c r="M46" i="3"/>
  <c r="N43" i="3" s="1"/>
  <c r="M44" i="3"/>
  <c r="M34" i="3" s="1"/>
  <c r="M35" i="3" s="1"/>
  <c r="M36" i="3" l="1"/>
  <c r="M37" i="3" s="1"/>
  <c r="N46" i="3"/>
  <c r="O43" i="3" s="1"/>
  <c r="N44" i="3"/>
  <c r="N34" i="3" s="1"/>
  <c r="N35" i="3" s="1"/>
  <c r="N36" i="3" l="1"/>
  <c r="N37" i="3" s="1"/>
  <c r="O46" i="3"/>
  <c r="P43" i="3" s="1"/>
  <c r="O44" i="3"/>
  <c r="O34" i="3" s="1"/>
  <c r="O35" i="3" s="1"/>
  <c r="O36" i="3" l="1"/>
  <c r="O37" i="3" s="1"/>
  <c r="P46" i="3"/>
  <c r="Q43" i="3" s="1"/>
  <c r="P44" i="3"/>
  <c r="P34" i="3" s="1"/>
  <c r="P35" i="3" s="1"/>
  <c r="P37" i="3" l="1"/>
  <c r="P36" i="3"/>
  <c r="Q46" i="3"/>
  <c r="R43" i="3" s="1"/>
  <c r="Q44" i="3"/>
  <c r="Q34" i="3" s="1"/>
  <c r="Q35" i="3" s="1"/>
  <c r="Q36" i="3" l="1"/>
  <c r="Q37" i="3" s="1"/>
  <c r="R46" i="3"/>
  <c r="S43" i="3" s="1"/>
  <c r="R44" i="3"/>
  <c r="R34" i="3" s="1"/>
  <c r="R35" i="3" s="1"/>
  <c r="R36" i="3" l="1"/>
  <c r="R37" i="3" s="1"/>
  <c r="S44" i="3"/>
  <c r="S34" i="3" s="1"/>
  <c r="S35" i="3" s="1"/>
  <c r="S46" i="3"/>
  <c r="S36" i="3" l="1"/>
  <c r="S37" i="3"/>
</calcChain>
</file>

<file path=xl/sharedStrings.xml><?xml version="1.0" encoding="utf-8"?>
<sst xmlns="http://schemas.openxmlformats.org/spreadsheetml/2006/main" count="249" uniqueCount="198">
  <si>
    <t>A privately-funded 180km expressway was built at a total project cost of AED 2.8 billion, financed 70% debt at 5.5% and 30% equity.</t>
  </si>
  <si>
    <t>Annual fixed operating costs (maintenance, toll plaza staff, technology) are AED 95M. The average toll per vehicle is AED 18.</t>
  </si>
  <si>
    <t>Model how that break-even traffic volume changes if the government mandates a toll freeze for 3 years while inflation raises</t>
  </si>
  <si>
    <t xml:space="preserve">At what daily vehicle count does the highway cover its full debt service and operating costs? </t>
  </si>
  <si>
    <t>O&amp;M costs at 4% per year."</t>
  </si>
  <si>
    <t>Length of Expressway</t>
  </si>
  <si>
    <t>Total Project Cost</t>
  </si>
  <si>
    <t>Debt %</t>
  </si>
  <si>
    <t>Equity %</t>
  </si>
  <si>
    <t>Annual Fixed Operating Costs</t>
  </si>
  <si>
    <t>Average Toll Price</t>
  </si>
  <si>
    <t>Opex Costs escalation / Year %</t>
  </si>
  <si>
    <t>Total Revenue</t>
  </si>
  <si>
    <t>Interest Rate</t>
  </si>
  <si>
    <t>Debt Finance</t>
  </si>
  <si>
    <t xml:space="preserve">Equity </t>
  </si>
  <si>
    <t>Fixed Costs</t>
  </si>
  <si>
    <t>Depreciation</t>
  </si>
  <si>
    <t>Net Income</t>
  </si>
  <si>
    <t>Average Yearly Traffic</t>
  </si>
  <si>
    <t>Break Even Point</t>
  </si>
  <si>
    <t>(In 'Millions)</t>
  </si>
  <si>
    <t>Annual Debt Cost</t>
  </si>
  <si>
    <t>Annual Debt Costs</t>
  </si>
  <si>
    <t>Break Even Analysis</t>
  </si>
  <si>
    <t xml:space="preserve">Revenue </t>
  </si>
  <si>
    <t>Profit</t>
  </si>
  <si>
    <t>Base</t>
  </si>
  <si>
    <t>Accounting Break even</t>
  </si>
  <si>
    <t>Financial Break even</t>
  </si>
  <si>
    <t>Financial Break even point</t>
  </si>
  <si>
    <t>CAC</t>
  </si>
  <si>
    <t>(Freeze)</t>
  </si>
  <si>
    <t>Change in break-even</t>
  </si>
  <si>
    <t xml:space="preserve">1. Project - Toll Highway (Infrastructure) </t>
  </si>
  <si>
    <t>An airport authority is building a dedicated cargo terminal at a cost of $180M. Fixed annual costs are $22M.</t>
  </si>
  <si>
    <t xml:space="preserve">The terminal has a maximum throughput of 800,000 tonnes/year. At what annual tonnage does the terminal break even? </t>
  </si>
  <si>
    <t xml:space="preserve">If a major freight forwarder commits to a minimum volume guarantee of 250,000 tonnes/year, </t>
  </si>
  <si>
    <t>what is the authority's residual volume risk, and at what shortfall point does the project generate a net loss?</t>
  </si>
  <si>
    <t xml:space="preserve">Handling charges are $85 per tonne of freight processed. Variable costs are $31/tonne. </t>
  </si>
  <si>
    <t>Cost of Terminal</t>
  </si>
  <si>
    <t>Fixed Annual Costs</t>
  </si>
  <si>
    <t>Handling Charges / Tonne</t>
  </si>
  <si>
    <t>Variable costs  / tonne</t>
  </si>
  <si>
    <t>Max Cargo through Terminal</t>
  </si>
  <si>
    <t>(Per/Year)</t>
  </si>
  <si>
    <t>Min Cargo through Terminal</t>
  </si>
  <si>
    <t>Break even cargo</t>
  </si>
  <si>
    <t>Capital Recovery break even</t>
  </si>
  <si>
    <t>Break even as a % of max Cap</t>
  </si>
  <si>
    <t>Total Annual Cost</t>
  </si>
  <si>
    <t xml:space="preserve">Core Break even </t>
  </si>
  <si>
    <t>Residual volume risk after the guarantee</t>
  </si>
  <si>
    <t>Min Cargo</t>
  </si>
  <si>
    <t>Volume Required Additionally</t>
  </si>
  <si>
    <t>Guaranteed revenue coverage</t>
  </si>
  <si>
    <t>Revenue from min cargo</t>
  </si>
  <si>
    <t>Fixed costs</t>
  </si>
  <si>
    <t>Coverage ratio</t>
  </si>
  <si>
    <t>Variable costs</t>
  </si>
  <si>
    <t>Net Loss</t>
  </si>
  <si>
    <t>Capital break even cargo</t>
  </si>
  <si>
    <t>Scenarios at different utilisation</t>
  </si>
  <si>
    <t>Scenario</t>
  </si>
  <si>
    <t>Break-even Cargo</t>
  </si>
  <si>
    <t>Max Cargo</t>
  </si>
  <si>
    <t>Tonne / Year</t>
  </si>
  <si>
    <t>Revenue</t>
  </si>
  <si>
    <t>Total Cost</t>
  </si>
  <si>
    <t>Profit Margin</t>
  </si>
  <si>
    <t>Costs</t>
  </si>
  <si>
    <t>Capital Investment</t>
  </si>
  <si>
    <t>Revenue for company</t>
  </si>
  <si>
    <t>*</t>
  </si>
  <si>
    <r>
      <t>2. Project - Airport Cargo Terminal (Logistics Infrastructure)</t>
    </r>
    <r>
      <rPr>
        <sz val="11"/>
        <color theme="1"/>
        <rFont val="Calibri"/>
        <family val="2"/>
      </rPr>
      <t xml:space="preserve"> </t>
    </r>
  </si>
  <si>
    <t xml:space="preserve">3. Project— Cement Manufacturing Plant </t>
  </si>
  <si>
    <t>Disclaimer - This is a break-even analysis done across a few industries to have an understanding of how the break-even analysis works.</t>
  </si>
  <si>
    <t xml:space="preserve">The questions are generated through Claude.ai </t>
  </si>
  <si>
    <t xml:space="preserve">Variable cost per tonne (fuel, electricity, raw materials) is $38. The current market price of cement is $72/tonne. </t>
  </si>
  <si>
    <t>A cement producer is evaluating a new 2 million tonne/year kiln at a capital cost of $310M. Fixed costs (depreciation, maintenance, overhead) are $42M/year.</t>
  </si>
  <si>
    <t xml:space="preserve">Calculate the break-even volume in tonnes and as a % of capacity. Then model what happens to break-even if coal prices rise 30% </t>
  </si>
  <si>
    <t>(coal is 40% of variable cost) and whether a switch to alternative fuels at $4/tonne premium is financially justified.</t>
  </si>
  <si>
    <t>Kiln produced/Year</t>
  </si>
  <si>
    <t>Cost of Kiln Factory</t>
  </si>
  <si>
    <t>Fixed Costs/Year</t>
  </si>
  <si>
    <t>Variable Costs/Tonne</t>
  </si>
  <si>
    <t>Current Market Price/Tonne</t>
  </si>
  <si>
    <t xml:space="preserve">Break-even volume </t>
  </si>
  <si>
    <t>Break-even as a % of Total Prod.</t>
  </si>
  <si>
    <t>Cost of Coal (40% of variable)</t>
  </si>
  <si>
    <t>Rise in Cost of Coal (30%)</t>
  </si>
  <si>
    <t>New Variable costs</t>
  </si>
  <si>
    <t>New break-even volume</t>
  </si>
  <si>
    <t xml:space="preserve">Rise in Break-even </t>
  </si>
  <si>
    <t>Max Utilization of Production</t>
  </si>
  <si>
    <t>Break-even Production</t>
  </si>
  <si>
    <t>After Rise in Coal Cost</t>
  </si>
  <si>
    <t>Variable Cost/Tonne (Alternative Fuel)</t>
  </si>
  <si>
    <t>Alternate Fuel instead of Coal</t>
  </si>
  <si>
    <t>New Variable Cost/Tonne</t>
  </si>
  <si>
    <t>Disclaimer - This is a break-even analysis done across a few industries to have an understanding of how the cost-benefit works.</t>
  </si>
  <si>
    <t xml:space="preserve">1. Project - Municipal Wastewater Treatment Plant </t>
  </si>
  <si>
    <t xml:space="preserve">A city of 1.2 million residents currently discharges partially treated wastewater into a coastal lagoon, resulting in $14M/year in environmental fines, </t>
  </si>
  <si>
    <t xml:space="preserve">$8M/year in public health costs (waterborne illness treatment), and $22M/year in tourism revenue loss. </t>
  </si>
  <si>
    <t xml:space="preserve">A new tertiary treatment plant costs $380M to build and $19M/year to operate. The treated water can be sold for agricultural irrigation at $0.35/m³ generating $11M/year. </t>
  </si>
  <si>
    <t>Conduct a 25-year CBA at an 8% social discount rate. Calculate NPV, BCR (Benefit-Cost Ratio), and the minimum fine level below which the project becomes NPV-negative.</t>
  </si>
  <si>
    <t xml:space="preserve">CapEx </t>
  </si>
  <si>
    <t>Opeartion Cost/Year</t>
  </si>
  <si>
    <t>Benefits</t>
  </si>
  <si>
    <t>Public Health Cost/Year</t>
  </si>
  <si>
    <t>Environmental Cost/Year</t>
  </si>
  <si>
    <t>Tourism revenue loss/Year</t>
  </si>
  <si>
    <t>Total Benefits/Year</t>
  </si>
  <si>
    <t>Net Annual Benefit/Year</t>
  </si>
  <si>
    <t>Water Treatment Sales/Year</t>
  </si>
  <si>
    <t>NPV</t>
  </si>
  <si>
    <t>BCR</t>
  </si>
  <si>
    <t>PV of Benefits</t>
  </si>
  <si>
    <t>PV of Costs</t>
  </si>
  <si>
    <t xml:space="preserve">Annual level before NPV becomes -ve </t>
  </si>
  <si>
    <t xml:space="preserve">2. Project - Grid Modernisation (Power Utility) </t>
  </si>
  <si>
    <t xml:space="preserve">A national power utility is evaluating a $1.6 billion smart grid upgrade across 3 states. Current grid losses are 18% of total generation (valued at $210M/year). </t>
  </si>
  <si>
    <t xml:space="preserve">Smart metering is expected to reduce losses to 9% and eliminate $45M/year in manual meter-reading costs. </t>
  </si>
  <si>
    <t xml:space="preserve">The upgrade also reduces outage frequency, saving commercial customers an estimated $130M/year in lost productivity (supported by willingness-to-pay surveys). </t>
  </si>
  <si>
    <t>Against a $65M/year ongoing maintenance cost, build a 20-year CBA. Identify the loss-reduction percentage below which the project fails to clear a 10% hurdle rate.</t>
  </si>
  <si>
    <t>These projects are for educational purposes only</t>
  </si>
  <si>
    <t>Hurdle Rate</t>
  </si>
  <si>
    <t>Total Revenue/Year</t>
  </si>
  <si>
    <t>Manual Reading Cost</t>
  </si>
  <si>
    <t>Productivity Loss</t>
  </si>
  <si>
    <t>Maintenance Cost</t>
  </si>
  <si>
    <t>Total Benefit of Loss</t>
  </si>
  <si>
    <t>Grid Loss</t>
  </si>
  <si>
    <t>Smart Meter Loss</t>
  </si>
  <si>
    <t>Total benefit Anually</t>
  </si>
  <si>
    <t>Net Benefits Anually</t>
  </si>
  <si>
    <t>Smart Grid Investment</t>
  </si>
  <si>
    <t xml:space="preserve">3. Project - Urban Metro Rail Extension (Transport Infrastructure) </t>
  </si>
  <si>
    <t xml:space="preserve">A city transport authority is evaluating a 12km metro extension at a total cost of $2.1 billion. Annual operating costs are $95M against projected fare revenue of $62M (deficit funded by government). </t>
  </si>
  <si>
    <t xml:space="preserve">Quantifiable benefits include: decongestion savings ($180M/year in commuter time value), accident reduction ($28M/year), </t>
  </si>
  <si>
    <t>vehicle operating cost savings ($41M/year), and carbon offset value ($9M/year). Unquantified benefits include land value uplift along the corridor.</t>
  </si>
  <si>
    <t>Cost of Metro line</t>
  </si>
  <si>
    <t>Operating Costs/Year</t>
  </si>
  <si>
    <t>Fare Revenue/Year</t>
  </si>
  <si>
    <t>Decongestion Savings</t>
  </si>
  <si>
    <t>Accident Redcution</t>
  </si>
  <si>
    <t>Vehicle Operating Savings</t>
  </si>
  <si>
    <t>Carbon Reduction Benefit</t>
  </si>
  <si>
    <t>Total Benefits</t>
  </si>
  <si>
    <t>Discount Rate</t>
  </si>
  <si>
    <t>Net Benefits</t>
  </si>
  <si>
    <t>PV of Operating Cost</t>
  </si>
  <si>
    <t>Net Deficit to Govt</t>
  </si>
  <si>
    <t>Below Required BCR 1.5x</t>
  </si>
  <si>
    <t>Ridership Level</t>
  </si>
  <si>
    <t>Rider/Day</t>
  </si>
  <si>
    <t>Required riders/Day</t>
  </si>
  <si>
    <t>BCR = Benefits / Costs</t>
  </si>
  <si>
    <t>1.5x = 3.93 * 365 * R / 2509</t>
  </si>
  <si>
    <t>Perform a 30-year CBA at a 7% social discount rate. At what ridership level (currently projected at 180,000/day) does the BCR exceed 1.5x.</t>
  </si>
  <si>
    <t>Disclaimer - This is a break-even analysis done across a few industries to have an understanding of how scenario analysis works.</t>
  </si>
  <si>
    <t xml:space="preserve">A utility is developing a 500MW offshore wind farm at a total capex of $1.8 billion. Revenue is driven by a 15-year CfD (Contract for Difference) at a strike price of £82/MWh. </t>
  </si>
  <si>
    <t xml:space="preserve">Build three scenarios after the CfD period: Merchant Bull (wholesale power prices average £95/MWh, capacity factor improves to 45% with upgraded turbines), </t>
  </si>
  <si>
    <t xml:space="preserve">Base Merchant (wholesale at £75/MWh, capacity factor 40%), and Policy Risk (carbon tax removed, wholesale price collapses to £52/MWh, </t>
  </si>
  <si>
    <t xml:space="preserve">one major turbine array requires $120M unplanned maintenance in Year 16). Model annual revenue, EBITDA, and equity IRR across the full 25-year asset life. </t>
  </si>
  <si>
    <t>What is the minimum post-CfD merchant price that delivers a 9% equity IRR?</t>
  </si>
  <si>
    <t>Project Cost</t>
  </si>
  <si>
    <t xml:space="preserve">Strike Price </t>
  </si>
  <si>
    <t>Unit Generated</t>
  </si>
  <si>
    <t>Financial Year</t>
  </si>
  <si>
    <t>Months</t>
  </si>
  <si>
    <t>Profit &amp; Loss</t>
  </si>
  <si>
    <t>Unplanned Maintenance</t>
  </si>
  <si>
    <t>CfD Period</t>
  </si>
  <si>
    <t>Market Price</t>
  </si>
  <si>
    <t xml:space="preserve">Debt </t>
  </si>
  <si>
    <t>Equity</t>
  </si>
  <si>
    <t>Opex</t>
  </si>
  <si>
    <t>(65-120)</t>
  </si>
  <si>
    <t>Units Generated (MW/Year)</t>
  </si>
  <si>
    <t>Base Price</t>
  </si>
  <si>
    <t>Bull Price</t>
  </si>
  <si>
    <t>Price</t>
  </si>
  <si>
    <t>Capacity Factor</t>
  </si>
  <si>
    <t>Policy Risk</t>
  </si>
  <si>
    <t>EBITDA</t>
  </si>
  <si>
    <t>Finance Costs</t>
  </si>
  <si>
    <t>Debt Schedule</t>
  </si>
  <si>
    <t xml:space="preserve">Project - Offshore Wind Farm (Renewable Energy) </t>
  </si>
  <si>
    <t>Select Scenario</t>
  </si>
  <si>
    <t>Opening Balance</t>
  </si>
  <si>
    <t xml:space="preserve">Interest Rate </t>
  </si>
  <si>
    <t>Repayment of Debt</t>
  </si>
  <si>
    <t>Closing Balance</t>
  </si>
  <si>
    <t>PBT</t>
  </si>
  <si>
    <t>Tax</t>
  </si>
  <si>
    <t>PAT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</si>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</sst>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8" formatCode="&quot;₹&quot;\ #,##0.00;[Red]&quot;₹&quot;\ \-#,##0.00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\ &quot;Km&quot;"/>
    <numFmt numFmtId="165" formatCode="_-[$$-409]* #,##0.00_ ;_-[$$-409]* \-#,##0.00\ ;_-[$$-409]* &quot;-&quot;??_ ;_-@_ "/>
    <numFmt numFmtId="166" formatCode="0.0"/>
    <numFmt numFmtId="167" formatCode="#,##0.0;\ \(\-#,##0.0\);\ \-"/>
    <numFmt numFmtId="168" formatCode="_ * #,##0.0_ ;_ * \-#,##0.0_ ;_ * &quot;-&quot;??_ ;_ @_ "/>
    <numFmt numFmtId="169" formatCode="_ * #,##0_ ;_ * \-#,##0_ ;_ * &quot;-&quot;??_ ;_ @_ "/>
    <numFmt numFmtId="170" formatCode="_ * #,##0.0_ ;_ * \-#,##0.0_ ;_ * &quot;-&quot;?_ ;_ @_ "/>
    <numFmt numFmtId="171" formatCode="#,##0.00_ ;\-#,##0.00\ "/>
    <numFmt numFmtId="172" formatCode="0.0%"/>
    <numFmt numFmtId="173" formatCode="#,##0.00\x"/>
    <numFmt numFmtId="174" formatCode="0\ &quot;MW&quot;"/>
    <numFmt numFmtId="175" formatCode="0\ &quot;MWh&quot;"/>
    <numFmt numFmtId="176" formatCode="_-[$£-809]* #,##0.00_-;\-[$£-809]* #,##0.00_-;_-[$£-809]* &quot;-&quot;??_-;_-@_-"/>
  </numFmts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rgb="FF141413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165" fontId="3" fillId="0" borderId="0" xfId="0" applyNumberFormat="1" applyFont="1"/>
    <xf numFmtId="9" fontId="3" fillId="0" borderId="0" xfId="3" applyFont="1"/>
    <xf numFmtId="9" fontId="3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10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43" fontId="3" fillId="0" borderId="0" xfId="1" applyFont="1"/>
    <xf numFmtId="43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169" fontId="3" fillId="0" borderId="0" xfId="0" applyNumberFormat="1" applyFont="1"/>
    <xf numFmtId="169" fontId="3" fillId="0" borderId="0" xfId="1" applyNumberFormat="1" applyFont="1"/>
    <xf numFmtId="170" fontId="3" fillId="0" borderId="0" xfId="0" applyNumberFormat="1" applyFont="1"/>
    <xf numFmtId="0" fontId="6" fillId="0" borderId="0" xfId="0" applyFont="1"/>
    <xf numFmtId="171" fontId="3" fillId="0" borderId="0" xfId="0" applyNumberFormat="1" applyFont="1"/>
    <xf numFmtId="0" fontId="5" fillId="0" borderId="1" xfId="0" applyFont="1" applyBorder="1"/>
    <xf numFmtId="169" fontId="5" fillId="0" borderId="1" xfId="1" applyNumberFormat="1" applyFont="1" applyBorder="1"/>
    <xf numFmtId="168" fontId="3" fillId="0" borderId="0" xfId="0" applyNumberFormat="1" applyFont="1" applyAlignment="1">
      <alignment horizontal="left"/>
    </xf>
    <xf numFmtId="169" fontId="3" fillId="0" borderId="0" xfId="1" applyNumberFormat="1" applyFont="1" applyAlignment="1">
      <alignment horizontal="right"/>
    </xf>
    <xf numFmtId="0" fontId="5" fillId="0" borderId="2" xfId="0" applyFont="1" applyBorder="1"/>
    <xf numFmtId="0" fontId="3" fillId="0" borderId="2" xfId="0" applyFont="1" applyBorder="1"/>
    <xf numFmtId="0" fontId="5" fillId="0" borderId="2" xfId="0" applyFont="1" applyBorder="1" applyAlignment="1">
      <alignment horizontal="right"/>
    </xf>
    <xf numFmtId="1" fontId="5" fillId="0" borderId="2" xfId="0" applyNumberFormat="1" applyFont="1" applyBorder="1"/>
    <xf numFmtId="0" fontId="3" fillId="0" borderId="3" xfId="0" applyFont="1" applyBorder="1"/>
    <xf numFmtId="169" fontId="3" fillId="0" borderId="3" xfId="1" applyNumberFormat="1" applyFont="1" applyBorder="1"/>
    <xf numFmtId="168" fontId="3" fillId="0" borderId="2" xfId="1" applyNumberFormat="1" applyFont="1" applyBorder="1"/>
    <xf numFmtId="0" fontId="2" fillId="0" borderId="0" xfId="0" applyFont="1"/>
    <xf numFmtId="172" fontId="3" fillId="0" borderId="0" xfId="3" applyNumberFormat="1" applyFont="1"/>
    <xf numFmtId="165" fontId="5" fillId="0" borderId="0" xfId="0" applyNumberFormat="1" applyFont="1"/>
    <xf numFmtId="165" fontId="3" fillId="0" borderId="0" xfId="2" applyNumberFormat="1" applyFont="1"/>
    <xf numFmtId="0" fontId="3" fillId="0" borderId="6" xfId="0" applyFont="1" applyBorder="1"/>
    <xf numFmtId="172" fontId="3" fillId="0" borderId="7" xfId="3" applyNumberFormat="1" applyFont="1" applyBorder="1"/>
    <xf numFmtId="0" fontId="3" fillId="0" borderId="8" xfId="0" applyFont="1" applyBorder="1"/>
    <xf numFmtId="169" fontId="3" fillId="0" borderId="2" xfId="0" applyNumberFormat="1" applyFont="1" applyBorder="1"/>
    <xf numFmtId="165" fontId="3" fillId="0" borderId="2" xfId="0" applyNumberFormat="1" applyFont="1" applyBorder="1"/>
    <xf numFmtId="172" fontId="3" fillId="0" borderId="9" xfId="3" applyNumberFormat="1" applyFont="1" applyBorder="1"/>
    <xf numFmtId="170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2" borderId="6" xfId="0" applyFont="1" applyFill="1" applyBorder="1"/>
    <xf numFmtId="0" fontId="3" fillId="2" borderId="0" xfId="0" applyFont="1" applyFill="1"/>
    <xf numFmtId="169" fontId="3" fillId="2" borderId="0" xfId="0" applyNumberFormat="1" applyFont="1" applyFill="1"/>
    <xf numFmtId="165" fontId="3" fillId="2" borderId="0" xfId="0" applyNumberFormat="1" applyFont="1" applyFill="1"/>
    <xf numFmtId="172" fontId="3" fillId="2" borderId="7" xfId="3" applyNumberFormat="1" applyFont="1" applyFill="1" applyBorder="1"/>
    <xf numFmtId="0" fontId="5" fillId="3" borderId="4" xfId="0" applyFont="1" applyFill="1" applyBorder="1"/>
    <xf numFmtId="0" fontId="5" fillId="3" borderId="1" xfId="0" applyFont="1" applyFill="1" applyBorder="1"/>
    <xf numFmtId="0" fontId="5" fillId="3" borderId="5" xfId="0" applyFont="1" applyFill="1" applyBorder="1"/>
    <xf numFmtId="0" fontId="5" fillId="2" borderId="1" xfId="0" applyFont="1" applyFill="1" applyBorder="1"/>
    <xf numFmtId="168" fontId="5" fillId="2" borderId="1" xfId="1" applyNumberFormat="1" applyFont="1" applyFill="1" applyBorder="1"/>
    <xf numFmtId="169" fontId="3" fillId="0" borderId="0" xfId="1" applyNumberFormat="1" applyFont="1" applyBorder="1"/>
    <xf numFmtId="169" fontId="3" fillId="0" borderId="2" xfId="1" applyNumberFormat="1" applyFont="1" applyBorder="1"/>
    <xf numFmtId="0" fontId="5" fillId="0" borderId="8" xfId="0" applyFont="1" applyBorder="1"/>
    <xf numFmtId="165" fontId="3" fillId="0" borderId="6" xfId="0" applyNumberFormat="1" applyFont="1" applyBorder="1"/>
    <xf numFmtId="165" fontId="5" fillId="0" borderId="1" xfId="0" applyNumberFormat="1" applyFont="1" applyBorder="1"/>
    <xf numFmtId="173" fontId="5" fillId="0" borderId="0" xfId="0" applyNumberFormat="1" applyFont="1"/>
    <xf numFmtId="0" fontId="5" fillId="0" borderId="6" xfId="0" applyFont="1" applyBorder="1"/>
    <xf numFmtId="9" fontId="3" fillId="0" borderId="6" xfId="0" applyNumberFormat="1" applyFont="1" applyBorder="1"/>
    <xf numFmtId="9" fontId="5" fillId="0" borderId="0" xfId="0" applyNumberFormat="1" applyFont="1"/>
    <xf numFmtId="9" fontId="3" fillId="0" borderId="3" xfId="0" applyNumberFormat="1" applyFont="1" applyBorder="1"/>
    <xf numFmtId="0" fontId="3" fillId="0" borderId="10" xfId="0" applyFont="1" applyBorder="1"/>
    <xf numFmtId="0" fontId="5" fillId="0" borderId="3" xfId="0" applyFont="1" applyBorder="1"/>
    <xf numFmtId="8" fontId="3" fillId="0" borderId="0" xfId="0" applyNumberFormat="1" applyFont="1"/>
    <xf numFmtId="3" fontId="5" fillId="0" borderId="0" xfId="0" applyNumberFormat="1" applyFont="1"/>
    <xf numFmtId="174" fontId="3" fillId="0" borderId="0" xfId="0" applyNumberFormat="1" applyFont="1"/>
    <xf numFmtId="175" fontId="3" fillId="0" borderId="0" xfId="0" applyNumberFormat="1" applyFont="1"/>
    <xf numFmtId="169" fontId="5" fillId="0" borderId="2" xfId="1" applyNumberFormat="1" applyFont="1" applyBorder="1"/>
    <xf numFmtId="176" fontId="3" fillId="0" borderId="0" xfId="1" applyNumberFormat="1" applyFont="1"/>
    <xf numFmtId="49" fontId="3" fillId="0" borderId="0" xfId="1" applyNumberFormat="1" applyFont="1"/>
    <xf numFmtId="49" fontId="3" fillId="0" borderId="0" xfId="1" applyNumberFormat="1" applyFont="1" applyAlignment="1">
      <alignment horizontal="right"/>
    </xf>
    <xf numFmtId="175" fontId="5" fillId="0" borderId="0" xfId="0" applyNumberFormat="1" applyFont="1"/>
    <xf numFmtId="169" fontId="5" fillId="0" borderId="0" xfId="1" applyNumberFormat="1" applyFont="1"/>
    <xf numFmtId="176" fontId="3" fillId="0" borderId="0" xfId="0" applyNumberFormat="1" applyFont="1"/>
    <xf numFmtId="49" fontId="5" fillId="0" borderId="0" xfId="1" applyNumberFormat="1" applyFont="1"/>
    <xf numFmtId="49" fontId="5" fillId="0" borderId="0" xfId="1" applyNumberFormat="1" applyFont="1" applyAlignment="1">
      <alignment horizontal="left"/>
    </xf>
    <xf numFmtId="176" fontId="5" fillId="0" borderId="0" xfId="1" applyNumberFormat="1" applyFont="1"/>
    <xf numFmtId="176" fontId="5" fillId="0" borderId="3" xfId="1" applyNumberFormat="1" applyFont="1" applyBorder="1"/>
    <xf numFmtId="172" fontId="5" fillId="0" borderId="0" xfId="3" applyNumberFormat="1" applyFont="1"/>
    <xf numFmtId="176" fontId="5" fillId="0" borderId="0" xfId="0" applyNumberFormat="1" applyFont="1"/>
    <xf numFmtId="169" fontId="5" fillId="0" borderId="4" xfId="1" applyNumberFormat="1" applyFont="1" applyBorder="1" applyAlignment="1">
      <alignment horizontal="center"/>
    </xf>
    <xf numFmtId="169" fontId="5" fillId="0" borderId="1" xfId="1" applyNumberFormat="1" applyFont="1" applyBorder="1" applyAlignment="1">
      <alignment horizontal="center"/>
    </xf>
    <xf numFmtId="169" fontId="5" fillId="0" borderId="5" xfId="1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9" fontId="5" fillId="2" borderId="4" xfId="0" applyNumberFormat="1" applyFont="1" applyFill="1" applyBorder="1"/>
    <xf numFmtId="169" fontId="5" fillId="0" borderId="8" xfId="1" applyNumberFormat="1" applyFont="1" applyBorder="1"/>
    <xf numFmtId="169" fontId="3" fillId="0" borderId="6" xfId="1" applyNumberFormat="1" applyFont="1" applyBorder="1"/>
    <xf numFmtId="176" fontId="3" fillId="0" borderId="6" xfId="1" applyNumberFormat="1" applyFont="1" applyBorder="1"/>
    <xf numFmtId="176" fontId="3" fillId="0" borderId="0" xfId="1" applyNumberFormat="1" applyFont="1" applyBorder="1"/>
    <xf numFmtId="176" fontId="5" fillId="0" borderId="6" xfId="1" applyNumberFormat="1" applyFont="1" applyBorder="1"/>
    <xf numFmtId="176" fontId="5" fillId="0" borderId="0" xfId="1" applyNumberFormat="1" applyFont="1" applyBorder="1"/>
    <xf numFmtId="176" fontId="5" fillId="0" borderId="10" xfId="1" applyNumberFormat="1" applyFont="1" applyBorder="1"/>
    <xf numFmtId="169" fontId="5" fillId="0" borderId="0" xfId="0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B2720-881C-4182-BEFD-F8EF2A94C1A9}">
  <sheetPr>
    <pageSetUpPr autoPageBreaks="0"/>
  </sheetPr>
  <dimension ref="A2:K133"/>
  <sheetViews>
    <sheetView showGridLines="0" tabSelected="1" zoomScaleNormal="100" workbookViewId="0"/>
  </sheetViews>
  <sheetFormatPr defaultRowHeight="13.2" x14ac:dyDescent="0.25"/>
  <cols>
    <col min="1" max="1" width="2.88671875" style="1" customWidth="1"/>
    <col min="2" max="3" width="8.88671875" style="1"/>
    <col min="4" max="4" width="11.109375" style="1" customWidth="1"/>
    <col min="5" max="5" width="18.6640625" style="1" customWidth="1"/>
    <col min="6" max="7" width="15.21875" style="1" customWidth="1"/>
    <col min="8" max="8" width="16" style="1" customWidth="1"/>
    <col min="9" max="9" width="12.77734375" style="1" customWidth="1"/>
    <col min="10" max="13" width="8.88671875" style="1"/>
    <col min="14" max="14" width="11.6640625" style="1" bestFit="1" customWidth="1"/>
    <col min="15" max="16384" width="8.88671875" style="1"/>
  </cols>
  <sheetData>
    <row r="2" spans="1:8" x14ac:dyDescent="0.25">
      <c r="B2" s="1" t="s">
        <v>76</v>
      </c>
    </row>
    <row r="3" spans="1:8" x14ac:dyDescent="0.25">
      <c r="C3" s="1" t="s">
        <v>77</v>
      </c>
    </row>
    <row r="4" spans="1:8" x14ac:dyDescent="0.25">
      <c r="C4" s="20" t="s">
        <v>125</v>
      </c>
    </row>
    <row r="7" spans="1:8" x14ac:dyDescent="0.25">
      <c r="A7" s="1" t="s">
        <v>73</v>
      </c>
      <c r="B7" s="2" t="s">
        <v>34</v>
      </c>
    </row>
    <row r="8" spans="1:8" x14ac:dyDescent="0.25">
      <c r="B8" s="1" t="s">
        <v>0</v>
      </c>
    </row>
    <row r="9" spans="1:8" x14ac:dyDescent="0.25">
      <c r="B9" s="1" t="s">
        <v>1</v>
      </c>
    </row>
    <row r="10" spans="1:8" x14ac:dyDescent="0.25">
      <c r="B10" s="1" t="s">
        <v>3</v>
      </c>
    </row>
    <row r="12" spans="1:8" x14ac:dyDescent="0.25">
      <c r="B12" s="1" t="s">
        <v>2</v>
      </c>
    </row>
    <row r="13" spans="1:8" x14ac:dyDescent="0.25">
      <c r="B13" s="1" t="s">
        <v>4</v>
      </c>
    </row>
    <row r="15" spans="1:8" x14ac:dyDescent="0.25">
      <c r="B15" s="20" t="s">
        <v>21</v>
      </c>
    </row>
    <row r="16" spans="1:8" x14ac:dyDescent="0.25">
      <c r="B16" s="1" t="s">
        <v>5</v>
      </c>
      <c r="E16" s="3">
        <v>180</v>
      </c>
      <c r="G16" s="1" t="s">
        <v>14</v>
      </c>
      <c r="H16" s="10">
        <f>E17*E18</f>
        <v>1959.9999999999998</v>
      </c>
    </row>
    <row r="17" spans="2:11" x14ac:dyDescent="0.25">
      <c r="B17" s="1" t="s">
        <v>6</v>
      </c>
      <c r="E17" s="10">
        <v>2800</v>
      </c>
      <c r="G17" s="1" t="s">
        <v>15</v>
      </c>
      <c r="H17" s="10">
        <f>E17*E19</f>
        <v>840</v>
      </c>
    </row>
    <row r="18" spans="2:11" x14ac:dyDescent="0.25">
      <c r="B18" s="1" t="s">
        <v>7</v>
      </c>
      <c r="E18" s="5">
        <v>0.7</v>
      </c>
      <c r="G18" s="1" t="s">
        <v>13</v>
      </c>
      <c r="H18" s="9">
        <v>5.5E-2</v>
      </c>
    </row>
    <row r="19" spans="2:11" x14ac:dyDescent="0.25">
      <c r="B19" s="1" t="s">
        <v>8</v>
      </c>
      <c r="E19" s="6">
        <v>0.3</v>
      </c>
      <c r="I19" s="6"/>
    </row>
    <row r="20" spans="2:11" x14ac:dyDescent="0.25">
      <c r="B20" s="1" t="s">
        <v>9</v>
      </c>
      <c r="E20" s="10">
        <v>95</v>
      </c>
    </row>
    <row r="21" spans="2:11" x14ac:dyDescent="0.25">
      <c r="B21" s="1" t="s">
        <v>11</v>
      </c>
      <c r="E21" s="6">
        <v>0.04</v>
      </c>
      <c r="G21" s="1" t="s">
        <v>22</v>
      </c>
      <c r="H21" s="21">
        <f>PMT(H18,20,-H16)</f>
        <v>164.01148686846904</v>
      </c>
    </row>
    <row r="22" spans="2:11" x14ac:dyDescent="0.25">
      <c r="B22" s="1" t="s">
        <v>10</v>
      </c>
      <c r="E22" s="10">
        <v>18</v>
      </c>
    </row>
    <row r="24" spans="2:11" x14ac:dyDescent="0.25">
      <c r="B24" s="7" t="s">
        <v>24</v>
      </c>
    </row>
    <row r="25" spans="2:11" x14ac:dyDescent="0.25">
      <c r="B25" s="26" t="s">
        <v>28</v>
      </c>
      <c r="C25" s="27"/>
      <c r="D25" s="27"/>
      <c r="E25" s="28" t="s">
        <v>27</v>
      </c>
      <c r="F25" s="29">
        <v>1</v>
      </c>
      <c r="G25" s="29">
        <v>2</v>
      </c>
      <c r="H25" s="29">
        <v>3</v>
      </c>
      <c r="J25" s="16"/>
      <c r="K25" s="16"/>
    </row>
    <row r="26" spans="2:11" x14ac:dyDescent="0.25">
      <c r="B26" s="7"/>
      <c r="J26" s="16"/>
      <c r="K26" s="16"/>
    </row>
    <row r="27" spans="2:11" x14ac:dyDescent="0.25">
      <c r="B27" s="1" t="s">
        <v>10</v>
      </c>
      <c r="D27" s="20" t="s">
        <v>32</v>
      </c>
      <c r="E27" s="15">
        <f>E22</f>
        <v>18</v>
      </c>
      <c r="F27" s="15">
        <f>E27</f>
        <v>18</v>
      </c>
      <c r="G27" s="15">
        <f t="shared" ref="G27:H27" si="0">F27</f>
        <v>18</v>
      </c>
      <c r="H27" s="15">
        <f t="shared" si="0"/>
        <v>18</v>
      </c>
      <c r="K27" s="16"/>
    </row>
    <row r="28" spans="2:11" x14ac:dyDescent="0.25">
      <c r="B28" s="1" t="s">
        <v>16</v>
      </c>
      <c r="E28" s="16">
        <f>E20</f>
        <v>95</v>
      </c>
      <c r="F28" s="16">
        <f>E28*(1+$E$21)</f>
        <v>98.8</v>
      </c>
      <c r="G28" s="16">
        <f t="shared" ref="G28:H28" si="1">F28*(1+$E$21)</f>
        <v>102.752</v>
      </c>
      <c r="H28" s="16">
        <f t="shared" si="1"/>
        <v>106.86207999999999</v>
      </c>
    </row>
    <row r="29" spans="2:11" x14ac:dyDescent="0.25">
      <c r="B29" s="1" t="s">
        <v>23</v>
      </c>
      <c r="E29" s="16">
        <f>H21</f>
        <v>164.01148686846904</v>
      </c>
      <c r="F29" s="16">
        <f>E29</f>
        <v>164.01148686846904</v>
      </c>
      <c r="G29" s="16">
        <f t="shared" ref="G29:H29" si="2">F29</f>
        <v>164.01148686846904</v>
      </c>
      <c r="H29" s="16">
        <f t="shared" si="2"/>
        <v>164.01148686846904</v>
      </c>
    </row>
    <row r="30" spans="2:11" x14ac:dyDescent="0.25">
      <c r="E30" s="15"/>
      <c r="F30" s="16"/>
      <c r="G30" s="16"/>
      <c r="H30" s="16"/>
    </row>
    <row r="31" spans="2:11" x14ac:dyDescent="0.25">
      <c r="B31" s="22" t="s">
        <v>20</v>
      </c>
      <c r="C31" s="22"/>
      <c r="D31" s="22"/>
      <c r="E31" s="23">
        <f>((E29+E28)*10^6/(E27*365))</f>
        <v>39423.361776022684</v>
      </c>
      <c r="F31" s="23">
        <f t="shared" ref="F31:H31" si="3">((F29+F28)*10^6/(F27*365))</f>
        <v>40001.748381806552</v>
      </c>
      <c r="G31" s="23">
        <f t="shared" si="3"/>
        <v>40603.270451821772</v>
      </c>
      <c r="H31" s="23">
        <f t="shared" si="3"/>
        <v>41228.853404637593</v>
      </c>
      <c r="I31" s="1" t="str">
        <f ca="1">_xlfn.FORMULATEXT(E31)</f>
        <v>=((E29+E28)*10^6/(E27*365))</v>
      </c>
    </row>
    <row r="32" spans="2:11" x14ac:dyDescent="0.25">
      <c r="B32" s="1" t="s">
        <v>33</v>
      </c>
      <c r="E32" s="12"/>
      <c r="F32" s="16">
        <f>F31-E31</f>
        <v>578.38660578386771</v>
      </c>
      <c r="G32" s="16">
        <f t="shared" ref="G32:H32" si="4">G31-F31</f>
        <v>601.52207001522038</v>
      </c>
      <c r="H32" s="16">
        <f t="shared" si="4"/>
        <v>625.58295281582105</v>
      </c>
    </row>
    <row r="34" spans="2:8" x14ac:dyDescent="0.25">
      <c r="B34" s="26" t="s">
        <v>29</v>
      </c>
      <c r="C34" s="26"/>
      <c r="D34" s="27"/>
      <c r="E34" s="28" t="s">
        <v>27</v>
      </c>
      <c r="F34" s="29">
        <v>1</v>
      </c>
      <c r="G34" s="29">
        <v>2</v>
      </c>
      <c r="H34" s="29">
        <v>3</v>
      </c>
    </row>
    <row r="35" spans="2:8" x14ac:dyDescent="0.25">
      <c r="B35" s="1" t="s">
        <v>19</v>
      </c>
      <c r="E35" s="17">
        <f>$E$44</f>
        <v>18850756.164793447</v>
      </c>
      <c r="F35" s="17">
        <f t="shared" ref="F35:H35" si="5">$E$44</f>
        <v>18850756.164793447</v>
      </c>
      <c r="G35" s="17">
        <f t="shared" si="5"/>
        <v>18850756.164793447</v>
      </c>
      <c r="H35" s="17">
        <f t="shared" si="5"/>
        <v>18850756.164793447</v>
      </c>
    </row>
    <row r="36" spans="2:8" x14ac:dyDescent="0.25">
      <c r="B36" s="1" t="s">
        <v>10</v>
      </c>
      <c r="D36" s="20" t="s">
        <v>32</v>
      </c>
      <c r="E36" s="15">
        <f>E27</f>
        <v>18</v>
      </c>
      <c r="F36" s="15">
        <f>E36</f>
        <v>18</v>
      </c>
      <c r="G36" s="15">
        <f t="shared" ref="G36:H36" si="6">F36</f>
        <v>18</v>
      </c>
      <c r="H36" s="15">
        <f t="shared" si="6"/>
        <v>18</v>
      </c>
    </row>
    <row r="37" spans="2:8" x14ac:dyDescent="0.25">
      <c r="B37" s="24" t="s">
        <v>12</v>
      </c>
      <c r="C37" s="15"/>
      <c r="E37" s="25">
        <f>E36*E35</f>
        <v>339313610.96628201</v>
      </c>
      <c r="F37" s="25">
        <f t="shared" ref="F37:H37" si="7">F36*F35</f>
        <v>339313610.96628201</v>
      </c>
      <c r="G37" s="25">
        <f t="shared" si="7"/>
        <v>339313610.96628201</v>
      </c>
      <c r="H37" s="25">
        <f t="shared" si="7"/>
        <v>339313610.96628201</v>
      </c>
    </row>
    <row r="38" spans="2:8" x14ac:dyDescent="0.25">
      <c r="E38" s="15"/>
      <c r="F38" s="15"/>
      <c r="G38" s="15"/>
      <c r="H38" s="15"/>
    </row>
    <row r="39" spans="2:8" x14ac:dyDescent="0.25">
      <c r="B39" s="1" t="s">
        <v>16</v>
      </c>
      <c r="E39" s="15">
        <f>E28</f>
        <v>95</v>
      </c>
      <c r="F39" s="15">
        <f>E39*(1+$E$21)</f>
        <v>98.8</v>
      </c>
      <c r="G39" s="15">
        <f t="shared" ref="G39:H39" si="8">F39*(1+$E$21)</f>
        <v>102.752</v>
      </c>
      <c r="H39" s="15">
        <f t="shared" si="8"/>
        <v>106.86207999999999</v>
      </c>
    </row>
    <row r="40" spans="2:8" x14ac:dyDescent="0.25">
      <c r="B40" s="1" t="s">
        <v>23</v>
      </c>
      <c r="E40" s="16">
        <f>E29</f>
        <v>164.01148686846904</v>
      </c>
      <c r="F40" s="16">
        <f>E40</f>
        <v>164.01148686846904</v>
      </c>
      <c r="G40" s="16">
        <f t="shared" ref="G40:H40" si="9">F40</f>
        <v>164.01148686846904</v>
      </c>
      <c r="H40" s="16">
        <f t="shared" si="9"/>
        <v>164.01148686846904</v>
      </c>
    </row>
    <row r="41" spans="2:8" x14ac:dyDescent="0.25">
      <c r="H41" s="15"/>
    </row>
    <row r="42" spans="2:8" x14ac:dyDescent="0.25">
      <c r="B42" s="53" t="s">
        <v>26</v>
      </c>
      <c r="C42" s="53"/>
      <c r="D42" s="53"/>
      <c r="E42" s="54">
        <f>(E37/10^6)-(E39+E40)</f>
        <v>80.302124097812964</v>
      </c>
      <c r="F42" s="54">
        <f t="shared" ref="F42:H42" si="10">(F37/10^6)-(F39+F40)</f>
        <v>76.502124097812953</v>
      </c>
      <c r="G42" s="54">
        <f t="shared" si="10"/>
        <v>72.550124097812954</v>
      </c>
      <c r="H42" s="54">
        <f t="shared" si="10"/>
        <v>68.440044097812972</v>
      </c>
    </row>
    <row r="43" spans="2:8" x14ac:dyDescent="0.25">
      <c r="E43" s="13"/>
      <c r="F43" s="13"/>
      <c r="G43" s="13"/>
      <c r="H43" s="14"/>
    </row>
    <row r="44" spans="2:8" x14ac:dyDescent="0.25">
      <c r="B44" s="30" t="s">
        <v>30</v>
      </c>
      <c r="C44" s="30"/>
      <c r="D44" s="30"/>
      <c r="E44" s="31">
        <f>(E45+E39+E40)*10^6/E36</f>
        <v>18850756.164793447</v>
      </c>
      <c r="F44" s="1" t="str">
        <f ca="1">_xlfn.FORMULATEXT(E44)</f>
        <v>=(E45+E39+E40)*10^6/E36</v>
      </c>
      <c r="H44" s="16"/>
    </row>
    <row r="45" spans="2:8" x14ac:dyDescent="0.25">
      <c r="B45" s="27" t="s">
        <v>31</v>
      </c>
      <c r="C45" s="27"/>
      <c r="D45" s="27"/>
      <c r="E45" s="32">
        <f>E17/(((1+5.5%)^20-1)/5.5%)</f>
        <v>80.302124097812978</v>
      </c>
      <c r="F45" s="16" t="str">
        <f ca="1">_xlfn.FORMULATEXT(E45)</f>
        <v>=E17/(((1+5.5%)^20-1)/5.5%)</v>
      </c>
      <c r="G45" s="16"/>
      <c r="H45" s="19"/>
    </row>
    <row r="47" spans="2:8" x14ac:dyDescent="0.25">
      <c r="E47" s="16"/>
      <c r="F47" s="16"/>
      <c r="G47" s="16"/>
    </row>
    <row r="48" spans="2:8" x14ac:dyDescent="0.25">
      <c r="E48" s="19"/>
      <c r="F48" s="19"/>
      <c r="G48" s="19"/>
    </row>
    <row r="49" spans="1:7" ht="14.4" x14ac:dyDescent="0.3">
      <c r="A49" s="1" t="s">
        <v>73</v>
      </c>
      <c r="B49" s="33" t="s">
        <v>74</v>
      </c>
    </row>
    <row r="50" spans="1:7" x14ac:dyDescent="0.25">
      <c r="B50" s="1" t="s">
        <v>35</v>
      </c>
    </row>
    <row r="51" spans="1:7" x14ac:dyDescent="0.25">
      <c r="B51" s="1" t="s">
        <v>39</v>
      </c>
      <c r="E51" s="16"/>
      <c r="F51" s="16"/>
      <c r="G51" s="16"/>
    </row>
    <row r="52" spans="1:7" x14ac:dyDescent="0.25">
      <c r="B52" s="1" t="s">
        <v>36</v>
      </c>
      <c r="E52" s="19"/>
      <c r="F52" s="19"/>
      <c r="G52" s="19"/>
    </row>
    <row r="53" spans="1:7" x14ac:dyDescent="0.25">
      <c r="E53" s="19"/>
      <c r="F53" s="19"/>
      <c r="G53" s="19"/>
    </row>
    <row r="54" spans="1:7" x14ac:dyDescent="0.25">
      <c r="B54" s="1" t="s">
        <v>37</v>
      </c>
      <c r="E54" s="19"/>
      <c r="F54" s="19"/>
      <c r="G54" s="19"/>
    </row>
    <row r="55" spans="1:7" x14ac:dyDescent="0.25">
      <c r="B55" s="1" t="s">
        <v>38</v>
      </c>
      <c r="E55" s="15"/>
      <c r="F55" s="15"/>
      <c r="G55" s="15"/>
    </row>
    <row r="57" spans="1:7" x14ac:dyDescent="0.25">
      <c r="B57" s="20" t="s">
        <v>21</v>
      </c>
      <c r="F57" s="13"/>
      <c r="G57" s="13"/>
    </row>
    <row r="58" spans="1:7" x14ac:dyDescent="0.25">
      <c r="B58" s="1" t="s">
        <v>40</v>
      </c>
      <c r="E58" s="36">
        <v>180</v>
      </c>
      <c r="F58" s="43" t="s">
        <v>71</v>
      </c>
      <c r="G58" s="19"/>
    </row>
    <row r="59" spans="1:7" x14ac:dyDescent="0.25">
      <c r="B59" s="1" t="s">
        <v>41</v>
      </c>
      <c r="E59" s="36">
        <v>22</v>
      </c>
      <c r="F59" s="24" t="s">
        <v>16</v>
      </c>
      <c r="G59" s="15"/>
    </row>
    <row r="60" spans="1:7" x14ac:dyDescent="0.25">
      <c r="B60" s="1" t="s">
        <v>42</v>
      </c>
      <c r="E60" s="36">
        <v>85</v>
      </c>
      <c r="F60" s="44" t="s">
        <v>72</v>
      </c>
    </row>
    <row r="61" spans="1:7" x14ac:dyDescent="0.25">
      <c r="B61" s="1" t="s">
        <v>43</v>
      </c>
      <c r="E61" s="36">
        <v>31</v>
      </c>
      <c r="F61" s="44" t="s">
        <v>70</v>
      </c>
    </row>
    <row r="62" spans="1:7" x14ac:dyDescent="0.25">
      <c r="B62" s="7"/>
      <c r="E62" s="8"/>
      <c r="F62" s="7"/>
      <c r="G62" s="7"/>
    </row>
    <row r="63" spans="1:7" x14ac:dyDescent="0.25">
      <c r="B63" s="1" t="s">
        <v>44</v>
      </c>
      <c r="E63" s="18">
        <v>800000</v>
      </c>
      <c r="F63" s="11"/>
      <c r="G63" s="11"/>
    </row>
    <row r="64" spans="1:7" x14ac:dyDescent="0.25">
      <c r="B64" s="20" t="s">
        <v>45</v>
      </c>
      <c r="E64" s="11"/>
      <c r="F64" s="11"/>
      <c r="G64" s="11"/>
    </row>
    <row r="65" spans="2:7" x14ac:dyDescent="0.25">
      <c r="B65" s="1" t="s">
        <v>46</v>
      </c>
      <c r="E65" s="18">
        <v>250000</v>
      </c>
      <c r="F65" s="11"/>
      <c r="G65" s="11"/>
    </row>
    <row r="66" spans="2:7" x14ac:dyDescent="0.25">
      <c r="B66" s="20" t="s">
        <v>45</v>
      </c>
      <c r="E66" s="11"/>
      <c r="F66" s="11"/>
      <c r="G66" s="11"/>
    </row>
    <row r="68" spans="2:7" x14ac:dyDescent="0.25">
      <c r="B68" s="7" t="s">
        <v>51</v>
      </c>
      <c r="C68" s="7"/>
      <c r="D68" s="7"/>
      <c r="E68" s="98">
        <f>E59*10^6/(E60-E61)</f>
        <v>407407.40740740742</v>
      </c>
      <c r="F68" s="1" t="str">
        <f ca="1">_xlfn.FORMULATEXT(E68)</f>
        <v>=E59*10^6/(E60-E61)</v>
      </c>
    </row>
    <row r="69" spans="2:7" x14ac:dyDescent="0.25">
      <c r="B69" s="1" t="s">
        <v>49</v>
      </c>
      <c r="E69" s="34">
        <f>E68/E63</f>
        <v>0.5092592592592593</v>
      </c>
    </row>
    <row r="71" spans="2:7" x14ac:dyDescent="0.25">
      <c r="B71" s="7" t="s">
        <v>48</v>
      </c>
      <c r="E71" s="17"/>
    </row>
    <row r="72" spans="2:7" x14ac:dyDescent="0.25">
      <c r="B72" s="1" t="s">
        <v>17</v>
      </c>
      <c r="E72" s="4">
        <f>PMT(7%,25,-E58)</f>
        <v>15.445893099719811</v>
      </c>
    </row>
    <row r="73" spans="2:7" x14ac:dyDescent="0.25">
      <c r="B73" s="1" t="s">
        <v>50</v>
      </c>
      <c r="E73" s="4">
        <f>E72+E59</f>
        <v>37.445893099719811</v>
      </c>
    </row>
    <row r="74" spans="2:7" x14ac:dyDescent="0.25">
      <c r="B74" s="1" t="s">
        <v>61</v>
      </c>
      <c r="E74" s="17">
        <f>E73*10^6/(E60-E61)</f>
        <v>693442.46480962611</v>
      </c>
      <c r="F74" s="1" t="str">
        <f ca="1">_xlfn.FORMULATEXT(E74)</f>
        <v>=E73*10^6/(E60-E61)</v>
      </c>
    </row>
    <row r="75" spans="2:7" x14ac:dyDescent="0.25">
      <c r="B75" s="1" t="s">
        <v>49</v>
      </c>
      <c r="E75" s="34">
        <f>E74/E63</f>
        <v>0.86680308101203263</v>
      </c>
    </row>
    <row r="77" spans="2:7" x14ac:dyDescent="0.25">
      <c r="B77" s="7" t="s">
        <v>52</v>
      </c>
    </row>
    <row r="78" spans="2:7" x14ac:dyDescent="0.25">
      <c r="B78" s="1" t="s">
        <v>47</v>
      </c>
      <c r="E78" s="17">
        <f>E68</f>
        <v>407407.40740740742</v>
      </c>
    </row>
    <row r="79" spans="2:7" x14ac:dyDescent="0.25">
      <c r="B79" s="1" t="s">
        <v>53</v>
      </c>
      <c r="E79" s="17">
        <f>E65</f>
        <v>250000</v>
      </c>
    </row>
    <row r="80" spans="2:7" x14ac:dyDescent="0.25">
      <c r="B80" s="1" t="s">
        <v>54</v>
      </c>
      <c r="E80" s="17">
        <f>E78-E79</f>
        <v>157407.40740740742</v>
      </c>
      <c r="F80" s="1" t="str">
        <f ca="1">_xlfn.FORMULATEXT(E80)</f>
        <v>=E78-E79</v>
      </c>
    </row>
    <row r="82" spans="2:9" x14ac:dyDescent="0.25">
      <c r="B82" s="7" t="s">
        <v>55</v>
      </c>
    </row>
    <row r="83" spans="2:9" x14ac:dyDescent="0.25">
      <c r="B83" s="1" t="s">
        <v>56</v>
      </c>
      <c r="E83" s="4">
        <f>(E65*E60)/10^6</f>
        <v>21.25</v>
      </c>
    </row>
    <row r="84" spans="2:9" x14ac:dyDescent="0.25">
      <c r="B84" s="1" t="s">
        <v>57</v>
      </c>
      <c r="E84" s="4">
        <f>E59</f>
        <v>22</v>
      </c>
    </row>
    <row r="85" spans="2:9" x14ac:dyDescent="0.25">
      <c r="B85" s="7" t="s">
        <v>58</v>
      </c>
      <c r="C85" s="7"/>
      <c r="D85" s="7"/>
      <c r="E85" s="82">
        <f>E83/E84</f>
        <v>0.96590909090909094</v>
      </c>
      <c r="F85" s="1" t="str">
        <f ca="1">_xlfn.FORMULATEXT(E85)</f>
        <v>=E83/E84</v>
      </c>
    </row>
    <row r="87" spans="2:9" x14ac:dyDescent="0.25">
      <c r="B87" s="1" t="s">
        <v>25</v>
      </c>
      <c r="E87" s="4">
        <f>E83</f>
        <v>21.25</v>
      </c>
    </row>
    <row r="88" spans="2:9" x14ac:dyDescent="0.25">
      <c r="B88" s="1" t="s">
        <v>59</v>
      </c>
      <c r="E88" s="4">
        <f>(E65*E61)/10^6</f>
        <v>7.75</v>
      </c>
    </row>
    <row r="89" spans="2:9" x14ac:dyDescent="0.25">
      <c r="B89" s="1" t="s">
        <v>16</v>
      </c>
      <c r="E89" s="4">
        <f>E84</f>
        <v>22</v>
      </c>
    </row>
    <row r="90" spans="2:9" x14ac:dyDescent="0.25">
      <c r="B90" s="7" t="s">
        <v>60</v>
      </c>
      <c r="C90" s="7"/>
      <c r="D90" s="7"/>
      <c r="E90" s="35">
        <f>E87-E88-E89</f>
        <v>-8.5</v>
      </c>
    </row>
    <row r="92" spans="2:9" x14ac:dyDescent="0.25">
      <c r="B92" s="7" t="s">
        <v>62</v>
      </c>
    </row>
    <row r="94" spans="2:9" x14ac:dyDescent="0.25">
      <c r="B94" s="50" t="s">
        <v>63</v>
      </c>
      <c r="C94" s="51"/>
      <c r="D94" s="51"/>
      <c r="E94" s="51" t="s">
        <v>66</v>
      </c>
      <c r="F94" s="51" t="s">
        <v>67</v>
      </c>
      <c r="G94" s="51" t="s">
        <v>68</v>
      </c>
      <c r="H94" s="51" t="s">
        <v>18</v>
      </c>
      <c r="I94" s="52" t="s">
        <v>69</v>
      </c>
    </row>
    <row r="95" spans="2:9" x14ac:dyDescent="0.25">
      <c r="B95" s="37" t="s">
        <v>53</v>
      </c>
      <c r="E95" s="17">
        <f>E65</f>
        <v>250000</v>
      </c>
      <c r="F95" s="4">
        <f>(E95*$E$60)/10^6</f>
        <v>21.25</v>
      </c>
      <c r="G95" s="4">
        <f>((E95*$E$61)+($E$59*10^6))/10^6</f>
        <v>29.75</v>
      </c>
      <c r="H95" s="4">
        <f>F95-G95</f>
        <v>-8.5</v>
      </c>
      <c r="I95" s="38">
        <f>H95/F95</f>
        <v>-0.4</v>
      </c>
    </row>
    <row r="96" spans="2:9" x14ac:dyDescent="0.25">
      <c r="B96" s="45" t="s">
        <v>64</v>
      </c>
      <c r="C96" s="46"/>
      <c r="D96" s="46"/>
      <c r="E96" s="47">
        <f>E68</f>
        <v>407407.40740740742</v>
      </c>
      <c r="F96" s="48">
        <f t="shared" ref="F96:F97" si="11">(E96*$E$60)/10^6</f>
        <v>34.629629629629626</v>
      </c>
      <c r="G96" s="48">
        <f t="shared" ref="G96:G97" si="12">((E96*$E$61)+($E$59*10^6))/10^6</f>
        <v>34.629629629629626</v>
      </c>
      <c r="H96" s="48">
        <f t="shared" ref="H96:H97" si="13">F96-G96</f>
        <v>0</v>
      </c>
      <c r="I96" s="49">
        <f t="shared" ref="I96:I97" si="14">H96/F96</f>
        <v>0</v>
      </c>
    </row>
    <row r="97" spans="1:9" x14ac:dyDescent="0.25">
      <c r="B97" s="39" t="s">
        <v>65</v>
      </c>
      <c r="C97" s="27"/>
      <c r="D97" s="27"/>
      <c r="E97" s="40">
        <f>E63</f>
        <v>800000</v>
      </c>
      <c r="F97" s="41">
        <f t="shared" si="11"/>
        <v>68</v>
      </c>
      <c r="G97" s="41">
        <f t="shared" si="12"/>
        <v>46.8</v>
      </c>
      <c r="H97" s="41">
        <f t="shared" si="13"/>
        <v>21.200000000000003</v>
      </c>
      <c r="I97" s="42">
        <f t="shared" si="14"/>
        <v>0.311764705882353</v>
      </c>
    </row>
    <row r="101" spans="1:9" x14ac:dyDescent="0.25">
      <c r="A101" s="1" t="s">
        <v>73</v>
      </c>
      <c r="B101" s="7" t="s">
        <v>75</v>
      </c>
    </row>
    <row r="102" spans="1:9" x14ac:dyDescent="0.25">
      <c r="B102" s="1" t="s">
        <v>79</v>
      </c>
    </row>
    <row r="103" spans="1:9" x14ac:dyDescent="0.25">
      <c r="B103" s="1" t="s">
        <v>78</v>
      </c>
    </row>
    <row r="105" spans="1:9" x14ac:dyDescent="0.25">
      <c r="B105" s="1" t="s">
        <v>80</v>
      </c>
    </row>
    <row r="106" spans="1:9" x14ac:dyDescent="0.25">
      <c r="B106" s="1" t="s">
        <v>81</v>
      </c>
    </row>
    <row r="108" spans="1:9" x14ac:dyDescent="0.25">
      <c r="B108" s="20" t="s">
        <v>21</v>
      </c>
    </row>
    <row r="109" spans="1:9" x14ac:dyDescent="0.25">
      <c r="B109" s="1" t="s">
        <v>82</v>
      </c>
      <c r="E109" s="12">
        <v>2</v>
      </c>
    </row>
    <row r="110" spans="1:9" x14ac:dyDescent="0.25">
      <c r="B110" s="1" t="s">
        <v>83</v>
      </c>
      <c r="E110" s="4">
        <v>310</v>
      </c>
    </row>
    <row r="111" spans="1:9" x14ac:dyDescent="0.25">
      <c r="B111" s="1" t="s">
        <v>84</v>
      </c>
      <c r="E111" s="4">
        <v>42</v>
      </c>
    </row>
    <row r="112" spans="1:9" x14ac:dyDescent="0.25">
      <c r="B112" s="1" t="s">
        <v>85</v>
      </c>
      <c r="E112" s="4">
        <v>38</v>
      </c>
    </row>
    <row r="114" spans="2:10" x14ac:dyDescent="0.25">
      <c r="B114" s="1" t="s">
        <v>86</v>
      </c>
      <c r="E114" s="4">
        <v>72</v>
      </c>
    </row>
    <row r="115" spans="2:10" x14ac:dyDescent="0.25">
      <c r="E115" s="18"/>
    </row>
    <row r="116" spans="2:10" x14ac:dyDescent="0.25">
      <c r="B116" s="1" t="s">
        <v>87</v>
      </c>
      <c r="E116" s="18">
        <f>E111*10^6/(E114-E112)</f>
        <v>1235294.1176470588</v>
      </c>
      <c r="F116" s="1" t="str">
        <f ca="1">_xlfn.FORMULATEXT(E116)</f>
        <v>=E111*10^6/(E114-E112)</v>
      </c>
    </row>
    <row r="117" spans="2:10" x14ac:dyDescent="0.25">
      <c r="B117" s="1" t="s">
        <v>88</v>
      </c>
      <c r="E117" s="34">
        <f>E116/(E109*10^6)</f>
        <v>0.61764705882352944</v>
      </c>
    </row>
    <row r="119" spans="2:10" x14ac:dyDescent="0.25">
      <c r="B119" s="1" t="s">
        <v>89</v>
      </c>
      <c r="E119" s="4">
        <f>E112*0.4</f>
        <v>15.200000000000001</v>
      </c>
      <c r="F119" s="1" t="str">
        <f ca="1">_xlfn.FORMULATEXT(E119)</f>
        <v>=E112*0.4</v>
      </c>
      <c r="G119" s="1" t="s">
        <v>97</v>
      </c>
      <c r="I119" s="4">
        <v>4</v>
      </c>
    </row>
    <row r="120" spans="2:10" x14ac:dyDescent="0.25">
      <c r="B120" s="1" t="s">
        <v>90</v>
      </c>
      <c r="E120" s="4">
        <f>E119*(1+0.3)</f>
        <v>19.760000000000002</v>
      </c>
      <c r="F120" s="1" t="str">
        <f ca="1">_xlfn.FORMULATEXT(E120)</f>
        <v>=E119*(1+0.3)</v>
      </c>
      <c r="G120" s="1" t="s">
        <v>99</v>
      </c>
      <c r="I120" s="4">
        <f>E112-E119+I119</f>
        <v>26.799999999999997</v>
      </c>
      <c r="J120" s="1" t="str">
        <f ca="1">_xlfn.FORMULATEXT(I120)</f>
        <v>=E112-E119+I119</v>
      </c>
    </row>
    <row r="122" spans="2:10" x14ac:dyDescent="0.25">
      <c r="B122" s="1" t="s">
        <v>91</v>
      </c>
      <c r="E122" s="4">
        <f>E112-E119+E120</f>
        <v>42.56</v>
      </c>
      <c r="F122" s="1" t="str">
        <f ca="1">_xlfn.FORMULATEXT(E122)</f>
        <v>=E112-E119+E120</v>
      </c>
    </row>
    <row r="124" spans="2:10" x14ac:dyDescent="0.25">
      <c r="B124" s="1" t="s">
        <v>92</v>
      </c>
      <c r="E124" s="18">
        <f>E111*10^6/(E114-E122)</f>
        <v>1426630.4347826089</v>
      </c>
      <c r="F124" s="1" t="str">
        <f ca="1">_xlfn.FORMULATEXT(E124)</f>
        <v>=E111*10^6/(E114-E122)</v>
      </c>
    </row>
    <row r="125" spans="2:10" x14ac:dyDescent="0.25">
      <c r="B125" s="1" t="s">
        <v>88</v>
      </c>
      <c r="E125" s="34">
        <f>E124/(E109*10^6)</f>
        <v>0.71331521739130443</v>
      </c>
    </row>
    <row r="127" spans="2:10" x14ac:dyDescent="0.25">
      <c r="B127" s="1" t="s">
        <v>93</v>
      </c>
      <c r="E127" s="34">
        <f>E125-E117</f>
        <v>9.5668158567774997E-2</v>
      </c>
      <c r="F127" s="1" t="str">
        <f ca="1">_xlfn.FORMULATEXT(E127)</f>
        <v>=E125-E117</v>
      </c>
    </row>
    <row r="129" spans="2:9" x14ac:dyDescent="0.25">
      <c r="B129" s="50" t="s">
        <v>63</v>
      </c>
      <c r="C129" s="51"/>
      <c r="D129" s="51"/>
      <c r="E129" s="51" t="s">
        <v>66</v>
      </c>
      <c r="F129" s="51" t="s">
        <v>67</v>
      </c>
      <c r="G129" s="51" t="s">
        <v>68</v>
      </c>
      <c r="H129" s="51" t="s">
        <v>18</v>
      </c>
      <c r="I129" s="52" t="s">
        <v>69</v>
      </c>
    </row>
    <row r="130" spans="2:9" x14ac:dyDescent="0.25">
      <c r="B130" s="37" t="s">
        <v>94</v>
      </c>
      <c r="E130" s="55">
        <f>E109*10^6</f>
        <v>2000000</v>
      </c>
      <c r="F130" s="55">
        <f>E130*$E$114</f>
        <v>144000000</v>
      </c>
      <c r="G130" s="55">
        <f>(E130*$E$112)+($E$111*10^6)</f>
        <v>118000000</v>
      </c>
      <c r="H130" s="17">
        <f>F130-G130</f>
        <v>26000000</v>
      </c>
      <c r="I130" s="38">
        <f>H130/F130</f>
        <v>0.18055555555555555</v>
      </c>
    </row>
    <row r="131" spans="2:9" x14ac:dyDescent="0.25">
      <c r="B131" s="37" t="s">
        <v>95</v>
      </c>
      <c r="E131" s="17">
        <f>E116</f>
        <v>1235294.1176470588</v>
      </c>
      <c r="F131" s="55">
        <f>E131*$E$114</f>
        <v>88941176.470588237</v>
      </c>
      <c r="G131" s="55">
        <f>(E131*$E$112)+($E$111*10^6)</f>
        <v>88941176.470588237</v>
      </c>
      <c r="H131" s="17">
        <f>F131-G131</f>
        <v>0</v>
      </c>
      <c r="I131" s="38">
        <f>H131/F131</f>
        <v>0</v>
      </c>
    </row>
    <row r="132" spans="2:9" x14ac:dyDescent="0.25">
      <c r="B132" s="37" t="s">
        <v>96</v>
      </c>
      <c r="E132" s="55">
        <f>E109*10^6</f>
        <v>2000000</v>
      </c>
      <c r="F132" s="55">
        <f>E132*$E$114</f>
        <v>144000000</v>
      </c>
      <c r="G132" s="55">
        <f>(E132*$E$122)+($E$111*10^6)</f>
        <v>127120000</v>
      </c>
      <c r="H132" s="17">
        <f>F132-G132</f>
        <v>16880000</v>
      </c>
      <c r="I132" s="38">
        <f>H132/F132</f>
        <v>0.11722222222222223</v>
      </c>
    </row>
    <row r="133" spans="2:9" x14ac:dyDescent="0.25">
      <c r="B133" s="39" t="s">
        <v>98</v>
      </c>
      <c r="C133" s="27"/>
      <c r="D133" s="27"/>
      <c r="E133" s="56">
        <f>E109*10^6</f>
        <v>2000000</v>
      </c>
      <c r="F133" s="56">
        <f>E133*$E$114</f>
        <v>144000000</v>
      </c>
      <c r="G133" s="56">
        <f>(E133*$I$120)+($E$111*10^6)</f>
        <v>95600000</v>
      </c>
      <c r="H133" s="40">
        <f>F133-G133</f>
        <v>48400000</v>
      </c>
      <c r="I133" s="42">
        <f>H133/F133</f>
        <v>0.33611111111111114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8BFC-F6B1-4093-8244-6A8541BD8BA0}">
  <dimension ref="A2:AI99"/>
  <sheetViews>
    <sheetView showGridLines="0" topLeftCell="A58" workbookViewId="0">
      <selection activeCell="B13" sqref="B13"/>
    </sheetView>
  </sheetViews>
  <sheetFormatPr defaultRowHeight="13.2" x14ac:dyDescent="0.25"/>
  <cols>
    <col min="1" max="1" width="2.88671875" style="1" customWidth="1"/>
    <col min="2" max="3" width="8.88671875" style="1"/>
    <col min="4" max="4" width="9.5546875" style="1" bestFit="1" customWidth="1"/>
    <col min="5" max="5" width="11.5546875" style="1" bestFit="1" customWidth="1"/>
    <col min="6" max="6" width="9.44140625" style="1" bestFit="1" customWidth="1"/>
    <col min="7" max="7" width="10.21875" style="1" bestFit="1" customWidth="1"/>
    <col min="8" max="35" width="9.44140625" style="1" bestFit="1" customWidth="1"/>
    <col min="36" max="16384" width="8.88671875" style="1"/>
  </cols>
  <sheetData>
    <row r="2" spans="1:30" x14ac:dyDescent="0.25">
      <c r="B2" s="1" t="s">
        <v>100</v>
      </c>
    </row>
    <row r="3" spans="1:30" x14ac:dyDescent="0.25">
      <c r="C3" s="1" t="s">
        <v>77</v>
      </c>
    </row>
    <row r="4" spans="1:30" x14ac:dyDescent="0.25">
      <c r="C4" s="20" t="s">
        <v>125</v>
      </c>
    </row>
    <row r="6" spans="1:30" x14ac:dyDescent="0.25">
      <c r="A6" s="1" t="s">
        <v>73</v>
      </c>
      <c r="B6" s="7" t="s">
        <v>101</v>
      </c>
    </row>
    <row r="7" spans="1:30" x14ac:dyDescent="0.25">
      <c r="B7" s="1" t="s">
        <v>102</v>
      </c>
    </row>
    <row r="8" spans="1:30" x14ac:dyDescent="0.25">
      <c r="B8" s="1" t="s">
        <v>103</v>
      </c>
    </row>
    <row r="9" spans="1:30" x14ac:dyDescent="0.25">
      <c r="B9" s="1" t="s">
        <v>104</v>
      </c>
    </row>
    <row r="11" spans="1:30" x14ac:dyDescent="0.25">
      <c r="B11" s="1" t="s">
        <v>105</v>
      </c>
    </row>
    <row r="13" spans="1:30" x14ac:dyDescent="0.25">
      <c r="B13" s="20" t="s">
        <v>21</v>
      </c>
      <c r="E13" s="26">
        <v>0</v>
      </c>
      <c r="F13" s="57">
        <v>1</v>
      </c>
      <c r="G13" s="26">
        <v>2</v>
      </c>
      <c r="H13" s="26">
        <v>3</v>
      </c>
      <c r="I13" s="26">
        <v>4</v>
      </c>
      <c r="J13" s="26">
        <v>5</v>
      </c>
      <c r="K13" s="26">
        <v>6</v>
      </c>
      <c r="L13" s="26">
        <v>7</v>
      </c>
      <c r="M13" s="26">
        <v>8</v>
      </c>
      <c r="N13" s="26">
        <v>9</v>
      </c>
      <c r="O13" s="26">
        <v>10</v>
      </c>
      <c r="P13" s="26">
        <v>11</v>
      </c>
      <c r="Q13" s="26">
        <v>12</v>
      </c>
      <c r="R13" s="26">
        <v>13</v>
      </c>
      <c r="S13" s="26">
        <v>14</v>
      </c>
      <c r="T13" s="26">
        <v>15</v>
      </c>
      <c r="U13" s="26">
        <v>16</v>
      </c>
      <c r="V13" s="26">
        <v>17</v>
      </c>
      <c r="W13" s="26">
        <v>18</v>
      </c>
      <c r="X13" s="26">
        <v>19</v>
      </c>
      <c r="Y13" s="26">
        <v>20</v>
      </c>
      <c r="Z13" s="26">
        <v>21</v>
      </c>
      <c r="AA13" s="26">
        <v>22</v>
      </c>
      <c r="AB13" s="26">
        <v>23</v>
      </c>
      <c r="AC13" s="26">
        <v>24</v>
      </c>
      <c r="AD13" s="26">
        <v>25</v>
      </c>
    </row>
    <row r="14" spans="1:30" x14ac:dyDescent="0.25">
      <c r="B14" s="1" t="s">
        <v>70</v>
      </c>
      <c r="F14" s="37"/>
    </row>
    <row r="15" spans="1:30" x14ac:dyDescent="0.25">
      <c r="B15" s="1" t="s">
        <v>106</v>
      </c>
      <c r="E15" s="4">
        <v>380</v>
      </c>
      <c r="F15" s="37"/>
    </row>
    <row r="16" spans="1:30" x14ac:dyDescent="0.25">
      <c r="B16" s="1" t="s">
        <v>107</v>
      </c>
      <c r="E16" s="4">
        <v>19</v>
      </c>
      <c r="F16" s="58">
        <f>E16</f>
        <v>19</v>
      </c>
      <c r="G16" s="4">
        <f t="shared" ref="G16:AD16" si="0">F16</f>
        <v>19</v>
      </c>
      <c r="H16" s="4">
        <f t="shared" si="0"/>
        <v>19</v>
      </c>
      <c r="I16" s="4">
        <f t="shared" si="0"/>
        <v>19</v>
      </c>
      <c r="J16" s="4">
        <f t="shared" si="0"/>
        <v>19</v>
      </c>
      <c r="K16" s="4">
        <f t="shared" si="0"/>
        <v>19</v>
      </c>
      <c r="L16" s="4">
        <f t="shared" si="0"/>
        <v>19</v>
      </c>
      <c r="M16" s="4">
        <f t="shared" si="0"/>
        <v>19</v>
      </c>
      <c r="N16" s="4">
        <f t="shared" si="0"/>
        <v>19</v>
      </c>
      <c r="O16" s="4">
        <f t="shared" si="0"/>
        <v>19</v>
      </c>
      <c r="P16" s="4">
        <f t="shared" si="0"/>
        <v>19</v>
      </c>
      <c r="Q16" s="4">
        <f t="shared" si="0"/>
        <v>19</v>
      </c>
      <c r="R16" s="4">
        <f t="shared" si="0"/>
        <v>19</v>
      </c>
      <c r="S16" s="4">
        <f t="shared" si="0"/>
        <v>19</v>
      </c>
      <c r="T16" s="4">
        <f t="shared" si="0"/>
        <v>19</v>
      </c>
      <c r="U16" s="4">
        <f t="shared" si="0"/>
        <v>19</v>
      </c>
      <c r="V16" s="4">
        <f t="shared" si="0"/>
        <v>19</v>
      </c>
      <c r="W16" s="4">
        <f t="shared" si="0"/>
        <v>19</v>
      </c>
      <c r="X16" s="4">
        <f t="shared" si="0"/>
        <v>19</v>
      </c>
      <c r="Y16" s="4">
        <f t="shared" si="0"/>
        <v>19</v>
      </c>
      <c r="Z16" s="4">
        <f t="shared" si="0"/>
        <v>19</v>
      </c>
      <c r="AA16" s="4">
        <f t="shared" si="0"/>
        <v>19</v>
      </c>
      <c r="AB16" s="4">
        <f t="shared" si="0"/>
        <v>19</v>
      </c>
      <c r="AC16" s="4">
        <f t="shared" si="0"/>
        <v>19</v>
      </c>
      <c r="AD16" s="4">
        <f t="shared" si="0"/>
        <v>19</v>
      </c>
    </row>
    <row r="17" spans="2:30" x14ac:dyDescent="0.25">
      <c r="E17" s="4"/>
      <c r="F17" s="37"/>
    </row>
    <row r="18" spans="2:30" x14ac:dyDescent="0.25">
      <c r="B18" s="1" t="s">
        <v>108</v>
      </c>
      <c r="E18" s="4"/>
      <c r="F18" s="37"/>
    </row>
    <row r="19" spans="2:30" x14ac:dyDescent="0.25">
      <c r="B19" s="1" t="s">
        <v>110</v>
      </c>
      <c r="E19" s="4">
        <v>14</v>
      </c>
      <c r="F19" s="37"/>
    </row>
    <row r="20" spans="2:30" x14ac:dyDescent="0.25">
      <c r="B20" s="1" t="s">
        <v>109</v>
      </c>
      <c r="E20" s="4">
        <v>8</v>
      </c>
      <c r="F20" s="37"/>
    </row>
    <row r="21" spans="2:30" x14ac:dyDescent="0.25">
      <c r="B21" s="1" t="s">
        <v>111</v>
      </c>
      <c r="E21" s="4">
        <v>22</v>
      </c>
      <c r="F21" s="37"/>
    </row>
    <row r="22" spans="2:30" x14ac:dyDescent="0.25">
      <c r="B22" s="1" t="s">
        <v>114</v>
      </c>
      <c r="E22" s="4">
        <v>11</v>
      </c>
      <c r="F22" s="37"/>
    </row>
    <row r="23" spans="2:30" x14ac:dyDescent="0.25">
      <c r="B23" s="7" t="s">
        <v>112</v>
      </c>
      <c r="C23" s="7"/>
      <c r="D23" s="7"/>
      <c r="E23" s="35">
        <f>SUM(E19:E22)</f>
        <v>55</v>
      </c>
      <c r="F23" s="58">
        <f>E23</f>
        <v>55</v>
      </c>
      <c r="G23" s="4">
        <f t="shared" ref="G23:AD23" si="1">F23</f>
        <v>55</v>
      </c>
      <c r="H23" s="4">
        <f t="shared" si="1"/>
        <v>55</v>
      </c>
      <c r="I23" s="4">
        <f t="shared" si="1"/>
        <v>55</v>
      </c>
      <c r="J23" s="4">
        <f t="shared" si="1"/>
        <v>55</v>
      </c>
      <c r="K23" s="4">
        <f t="shared" si="1"/>
        <v>55</v>
      </c>
      <c r="L23" s="4">
        <f t="shared" si="1"/>
        <v>55</v>
      </c>
      <c r="M23" s="4">
        <f t="shared" si="1"/>
        <v>55</v>
      </c>
      <c r="N23" s="4">
        <f t="shared" si="1"/>
        <v>55</v>
      </c>
      <c r="O23" s="4">
        <f t="shared" si="1"/>
        <v>55</v>
      </c>
      <c r="P23" s="4">
        <f t="shared" si="1"/>
        <v>55</v>
      </c>
      <c r="Q23" s="4">
        <f t="shared" si="1"/>
        <v>55</v>
      </c>
      <c r="R23" s="4">
        <f t="shared" si="1"/>
        <v>55</v>
      </c>
      <c r="S23" s="4">
        <f t="shared" si="1"/>
        <v>55</v>
      </c>
      <c r="T23" s="4">
        <f t="shared" si="1"/>
        <v>55</v>
      </c>
      <c r="U23" s="4">
        <f t="shared" si="1"/>
        <v>55</v>
      </c>
      <c r="V23" s="4">
        <f t="shared" si="1"/>
        <v>55</v>
      </c>
      <c r="W23" s="4">
        <f t="shared" si="1"/>
        <v>55</v>
      </c>
      <c r="X23" s="4">
        <f t="shared" si="1"/>
        <v>55</v>
      </c>
      <c r="Y23" s="4">
        <f t="shared" si="1"/>
        <v>55</v>
      </c>
      <c r="Z23" s="4">
        <f t="shared" si="1"/>
        <v>55</v>
      </c>
      <c r="AA23" s="4">
        <f t="shared" si="1"/>
        <v>55</v>
      </c>
      <c r="AB23" s="4">
        <f t="shared" si="1"/>
        <v>55</v>
      </c>
      <c r="AC23" s="4">
        <f t="shared" si="1"/>
        <v>55</v>
      </c>
      <c r="AD23" s="4">
        <f t="shared" si="1"/>
        <v>55</v>
      </c>
    </row>
    <row r="24" spans="2:30" x14ac:dyDescent="0.25">
      <c r="F24" s="37"/>
    </row>
    <row r="25" spans="2:30" x14ac:dyDescent="0.25">
      <c r="B25" s="7" t="s">
        <v>113</v>
      </c>
      <c r="E25" s="35">
        <v>35.597936039747921</v>
      </c>
      <c r="F25" s="58">
        <f>E25</f>
        <v>35.597936039747921</v>
      </c>
      <c r="G25" s="4">
        <f t="shared" ref="G25:AD25" si="2">F25</f>
        <v>35.597936039747921</v>
      </c>
      <c r="H25" s="4">
        <f t="shared" si="2"/>
        <v>35.597936039747921</v>
      </c>
      <c r="I25" s="4">
        <f t="shared" si="2"/>
        <v>35.597936039747921</v>
      </c>
      <c r="J25" s="4">
        <f t="shared" si="2"/>
        <v>35.597936039747921</v>
      </c>
      <c r="K25" s="4">
        <f t="shared" si="2"/>
        <v>35.597936039747921</v>
      </c>
      <c r="L25" s="4">
        <f t="shared" si="2"/>
        <v>35.597936039747921</v>
      </c>
      <c r="M25" s="4">
        <f t="shared" si="2"/>
        <v>35.597936039747921</v>
      </c>
      <c r="N25" s="4">
        <f t="shared" si="2"/>
        <v>35.597936039747921</v>
      </c>
      <c r="O25" s="4">
        <f t="shared" si="2"/>
        <v>35.597936039747921</v>
      </c>
      <c r="P25" s="4">
        <f t="shared" si="2"/>
        <v>35.597936039747921</v>
      </c>
      <c r="Q25" s="4">
        <f t="shared" si="2"/>
        <v>35.597936039747921</v>
      </c>
      <c r="R25" s="4">
        <f t="shared" si="2"/>
        <v>35.597936039747921</v>
      </c>
      <c r="S25" s="4">
        <f t="shared" si="2"/>
        <v>35.597936039747921</v>
      </c>
      <c r="T25" s="4">
        <f t="shared" si="2"/>
        <v>35.597936039747921</v>
      </c>
      <c r="U25" s="4">
        <f t="shared" si="2"/>
        <v>35.597936039747921</v>
      </c>
      <c r="V25" s="4">
        <f t="shared" si="2"/>
        <v>35.597936039747921</v>
      </c>
      <c r="W25" s="4">
        <f t="shared" si="2"/>
        <v>35.597936039747921</v>
      </c>
      <c r="X25" s="4">
        <f t="shared" si="2"/>
        <v>35.597936039747921</v>
      </c>
      <c r="Y25" s="4">
        <f t="shared" si="2"/>
        <v>35.597936039747921</v>
      </c>
      <c r="Z25" s="4">
        <f t="shared" si="2"/>
        <v>35.597936039747921</v>
      </c>
      <c r="AA25" s="4">
        <f t="shared" si="2"/>
        <v>35.597936039747921</v>
      </c>
      <c r="AB25" s="4">
        <f t="shared" si="2"/>
        <v>35.597936039747921</v>
      </c>
      <c r="AC25" s="4">
        <f t="shared" si="2"/>
        <v>35.597936039747921</v>
      </c>
      <c r="AD25" s="4">
        <f t="shared" si="2"/>
        <v>35.597936039747921</v>
      </c>
    </row>
    <row r="26" spans="2:30" x14ac:dyDescent="0.25">
      <c r="F26" s="37"/>
    </row>
    <row r="27" spans="2:30" x14ac:dyDescent="0.25">
      <c r="B27" s="7" t="s">
        <v>115</v>
      </c>
      <c r="E27" s="35">
        <f>NPV(8%,F25:AD25)-E15</f>
        <v>0</v>
      </c>
      <c r="F27" s="44" t="str">
        <f ca="1">_xlfn.FORMULATEXT(E27)</f>
        <v>=NPV(8%,F25:AD25)-E15</v>
      </c>
    </row>
    <row r="28" spans="2:30" x14ac:dyDescent="0.25">
      <c r="E28" s="4"/>
      <c r="G28" s="7" t="s">
        <v>119</v>
      </c>
      <c r="L28" s="59">
        <f>E25-E21</f>
        <v>13.597936039747921</v>
      </c>
      <c r="M28" s="1" t="str">
        <f ca="1">_xlfn.FORMULATEXT(L28)</f>
        <v>=E25-E21</v>
      </c>
    </row>
    <row r="29" spans="2:30" x14ac:dyDescent="0.25">
      <c r="B29" s="1" t="s">
        <v>117</v>
      </c>
      <c r="E29" s="4">
        <f>NPV(8%,F23:AD23)</f>
        <v>587.1126903723715</v>
      </c>
    </row>
    <row r="30" spans="2:30" x14ac:dyDescent="0.25">
      <c r="B30" s="1" t="s">
        <v>118</v>
      </c>
      <c r="E30" s="4">
        <f>NPV(8%,F16:AD16)+E15</f>
        <v>582.82074758318288</v>
      </c>
    </row>
    <row r="31" spans="2:30" x14ac:dyDescent="0.25">
      <c r="B31" s="7" t="s">
        <v>116</v>
      </c>
      <c r="C31" s="7"/>
      <c r="D31" s="7"/>
      <c r="E31" s="60">
        <f>E29/E30</f>
        <v>1.0073640871691447</v>
      </c>
      <c r="F31" s="44" t="str">
        <f ca="1">_xlfn.FORMULATEXT(E31)</f>
        <v>=E29/E30</v>
      </c>
    </row>
    <row r="32" spans="2:30" x14ac:dyDescent="0.25">
      <c r="C32" s="7"/>
      <c r="D32" s="7"/>
      <c r="E32" s="4"/>
    </row>
    <row r="33" spans="1:25" x14ac:dyDescent="0.25">
      <c r="B33" s="7"/>
      <c r="E33" s="60"/>
    </row>
    <row r="34" spans="1:25" x14ac:dyDescent="0.25">
      <c r="A34" s="1" t="s">
        <v>73</v>
      </c>
      <c r="B34" s="7" t="s">
        <v>120</v>
      </c>
    </row>
    <row r="35" spans="1:25" x14ac:dyDescent="0.25">
      <c r="B35" s="1" t="s">
        <v>121</v>
      </c>
    </row>
    <row r="36" spans="1:25" x14ac:dyDescent="0.25">
      <c r="B36" s="1" t="s">
        <v>122</v>
      </c>
    </row>
    <row r="37" spans="1:25" x14ac:dyDescent="0.25">
      <c r="B37" s="1" t="s">
        <v>123</v>
      </c>
    </row>
    <row r="38" spans="1:25" x14ac:dyDescent="0.25">
      <c r="B38" s="1" t="s">
        <v>124</v>
      </c>
    </row>
    <row r="40" spans="1:25" x14ac:dyDescent="0.25">
      <c r="B40" s="1" t="s">
        <v>126</v>
      </c>
      <c r="E40" s="6">
        <v>0.1</v>
      </c>
    </row>
    <row r="41" spans="1:25" x14ac:dyDescent="0.25">
      <c r="B41" s="20" t="s">
        <v>21</v>
      </c>
      <c r="E41" s="26">
        <v>0</v>
      </c>
      <c r="F41" s="57">
        <v>1</v>
      </c>
      <c r="G41" s="26">
        <v>2</v>
      </c>
      <c r="H41" s="26">
        <v>3</v>
      </c>
      <c r="I41" s="26">
        <v>4</v>
      </c>
      <c r="J41" s="26">
        <v>5</v>
      </c>
      <c r="K41" s="26">
        <v>6</v>
      </c>
      <c r="L41" s="26">
        <v>7</v>
      </c>
      <c r="M41" s="26">
        <v>8</v>
      </c>
      <c r="N41" s="26">
        <v>9</v>
      </c>
      <c r="O41" s="26">
        <v>10</v>
      </c>
      <c r="P41" s="26">
        <v>11</v>
      </c>
      <c r="Q41" s="26">
        <v>12</v>
      </c>
      <c r="R41" s="26">
        <v>13</v>
      </c>
      <c r="S41" s="26">
        <v>14</v>
      </c>
      <c r="T41" s="26">
        <v>15</v>
      </c>
      <c r="U41" s="26">
        <v>16</v>
      </c>
      <c r="V41" s="26">
        <v>17</v>
      </c>
      <c r="W41" s="26">
        <v>18</v>
      </c>
      <c r="X41" s="26">
        <v>19</v>
      </c>
      <c r="Y41" s="26">
        <v>20</v>
      </c>
    </row>
    <row r="42" spans="1:25" x14ac:dyDescent="0.25">
      <c r="B42" s="1" t="s">
        <v>136</v>
      </c>
      <c r="E42" s="4">
        <v>1600</v>
      </c>
      <c r="F42" s="61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x14ac:dyDescent="0.25">
      <c r="B43" s="1" t="s">
        <v>127</v>
      </c>
      <c r="E43" s="4">
        <f>210/0.18</f>
        <v>1166.6666666666667</v>
      </c>
      <c r="F43" s="37"/>
    </row>
    <row r="44" spans="1:25" x14ac:dyDescent="0.25">
      <c r="B44" s="1" t="s">
        <v>132</v>
      </c>
      <c r="D44" s="6">
        <v>0.18</v>
      </c>
      <c r="E44" s="4">
        <f>E43*D44</f>
        <v>210</v>
      </c>
      <c r="F44" s="37"/>
    </row>
    <row r="45" spans="1:25" x14ac:dyDescent="0.25">
      <c r="B45" s="1" t="s">
        <v>133</v>
      </c>
      <c r="D45" s="6">
        <v>0.09</v>
      </c>
      <c r="E45" s="4">
        <f>E43*D45</f>
        <v>105</v>
      </c>
      <c r="F45" s="37"/>
    </row>
    <row r="46" spans="1:25" x14ac:dyDescent="0.25">
      <c r="E46" s="4"/>
      <c r="F46" s="37"/>
    </row>
    <row r="47" spans="1:25" x14ac:dyDescent="0.25">
      <c r="B47" s="1" t="s">
        <v>131</v>
      </c>
      <c r="E47" s="4">
        <f>E44-E45</f>
        <v>105</v>
      </c>
      <c r="F47" s="37"/>
    </row>
    <row r="48" spans="1:25" x14ac:dyDescent="0.25">
      <c r="B48" s="1" t="s">
        <v>128</v>
      </c>
      <c r="E48" s="4">
        <v>45</v>
      </c>
      <c r="F48" s="37"/>
    </row>
    <row r="49" spans="1:25" x14ac:dyDescent="0.25">
      <c r="B49" s="1" t="s">
        <v>129</v>
      </c>
      <c r="E49" s="4">
        <v>130</v>
      </c>
      <c r="F49" s="37"/>
    </row>
    <row r="50" spans="1:25" x14ac:dyDescent="0.25">
      <c r="B50" s="7" t="s">
        <v>134</v>
      </c>
      <c r="C50" s="7"/>
      <c r="D50" s="7"/>
      <c r="E50" s="35">
        <f>SUM(E47:E49)</f>
        <v>280</v>
      </c>
      <c r="F50" s="37"/>
    </row>
    <row r="51" spans="1:25" x14ac:dyDescent="0.25">
      <c r="E51" s="4"/>
      <c r="F51" s="37"/>
    </row>
    <row r="52" spans="1:25" x14ac:dyDescent="0.25">
      <c r="B52" s="1" t="s">
        <v>130</v>
      </c>
      <c r="E52" s="4">
        <v>65</v>
      </c>
      <c r="F52" s="37"/>
    </row>
    <row r="53" spans="1:25" x14ac:dyDescent="0.25">
      <c r="B53" s="1" t="s">
        <v>135</v>
      </c>
      <c r="E53" s="4">
        <f>E50-E52</f>
        <v>215</v>
      </c>
      <c r="F53" s="37">
        <f>E53</f>
        <v>215</v>
      </c>
      <c r="G53" s="1">
        <f t="shared" ref="G53:Y53" si="3">F53</f>
        <v>215</v>
      </c>
      <c r="H53" s="1">
        <f t="shared" si="3"/>
        <v>215</v>
      </c>
      <c r="I53" s="1">
        <f t="shared" si="3"/>
        <v>215</v>
      </c>
      <c r="J53" s="1">
        <f t="shared" si="3"/>
        <v>215</v>
      </c>
      <c r="K53" s="1">
        <f t="shared" si="3"/>
        <v>215</v>
      </c>
      <c r="L53" s="1">
        <f t="shared" si="3"/>
        <v>215</v>
      </c>
      <c r="M53" s="1">
        <f t="shared" si="3"/>
        <v>215</v>
      </c>
      <c r="N53" s="1">
        <f t="shared" si="3"/>
        <v>215</v>
      </c>
      <c r="O53" s="1">
        <f t="shared" si="3"/>
        <v>215</v>
      </c>
      <c r="P53" s="1">
        <f t="shared" si="3"/>
        <v>215</v>
      </c>
      <c r="Q53" s="1">
        <f t="shared" si="3"/>
        <v>215</v>
      </c>
      <c r="R53" s="1">
        <f t="shared" si="3"/>
        <v>215</v>
      </c>
      <c r="S53" s="1">
        <f t="shared" si="3"/>
        <v>215</v>
      </c>
      <c r="T53" s="1">
        <f t="shared" si="3"/>
        <v>215</v>
      </c>
      <c r="U53" s="1">
        <f t="shared" si="3"/>
        <v>215</v>
      </c>
      <c r="V53" s="1">
        <f t="shared" si="3"/>
        <v>215</v>
      </c>
      <c r="W53" s="1">
        <f t="shared" si="3"/>
        <v>215</v>
      </c>
      <c r="X53" s="1">
        <f t="shared" si="3"/>
        <v>215</v>
      </c>
      <c r="Y53" s="1">
        <f t="shared" si="3"/>
        <v>215</v>
      </c>
    </row>
    <row r="54" spans="1:25" x14ac:dyDescent="0.25">
      <c r="F54" s="37"/>
    </row>
    <row r="55" spans="1:25" x14ac:dyDescent="0.25">
      <c r="B55" s="7" t="s">
        <v>115</v>
      </c>
      <c r="E55" s="4">
        <f>NPV($E$40,F53:Y53)-E42</f>
        <v>230.41619974808964</v>
      </c>
      <c r="F55" s="37"/>
    </row>
    <row r="56" spans="1:25" x14ac:dyDescent="0.25">
      <c r="E56" s="4"/>
      <c r="G56" s="4">
        <f>E55</f>
        <v>230.41619974808964</v>
      </c>
      <c r="H56" s="62">
        <v>0.05</v>
      </c>
      <c r="I56" s="6">
        <f>H56+1%</f>
        <v>6.0000000000000005E-2</v>
      </c>
      <c r="J56" s="6">
        <f t="shared" ref="J56:R56" si="4">I56+1%</f>
        <v>7.0000000000000007E-2</v>
      </c>
      <c r="K56" s="6">
        <f t="shared" si="4"/>
        <v>0.08</v>
      </c>
      <c r="L56" s="6">
        <f t="shared" si="4"/>
        <v>0.09</v>
      </c>
      <c r="M56" s="6">
        <f t="shared" si="4"/>
        <v>9.9999999999999992E-2</v>
      </c>
      <c r="N56" s="6">
        <f t="shared" si="4"/>
        <v>0.10999999999999999</v>
      </c>
      <c r="O56" s="63">
        <f t="shared" si="4"/>
        <v>0.11999999999999998</v>
      </c>
      <c r="P56" s="6">
        <f t="shared" si="4"/>
        <v>0.12999999999999998</v>
      </c>
      <c r="Q56" s="6">
        <f t="shared" si="4"/>
        <v>0.13999999999999999</v>
      </c>
      <c r="R56" s="6">
        <f t="shared" si="4"/>
        <v>0.15</v>
      </c>
    </row>
    <row r="57" spans="1:25" x14ac:dyDescent="0.25">
      <c r="E57" s="4"/>
      <c r="G57" s="64">
        <v>0.1</v>
      </c>
      <c r="H57" s="65">
        <f t="dataTable" ref="H57:R57" dt2D="1" dtr="1" r1="D45" r2="E40"/>
        <v>627.71584000348912</v>
      </c>
      <c r="I57" s="30">
        <v>528.39092993963959</v>
      </c>
      <c r="J57" s="30">
        <v>429.06601987578915</v>
      </c>
      <c r="K57" s="30">
        <v>329.7411098119394</v>
      </c>
      <c r="L57" s="30">
        <v>230.41619974808964</v>
      </c>
      <c r="M57" s="30">
        <v>131.09128968423988</v>
      </c>
      <c r="N57" s="30">
        <v>31.766379620390126</v>
      </c>
      <c r="O57" s="66">
        <v>-67.558530443459631</v>
      </c>
      <c r="P57" s="30">
        <v>-166.88344050730939</v>
      </c>
      <c r="Q57" s="30">
        <v>-266.20835057115892</v>
      </c>
      <c r="R57" s="30">
        <v>-365.53326063500913</v>
      </c>
    </row>
    <row r="60" spans="1:25" x14ac:dyDescent="0.25">
      <c r="A60" s="1" t="s">
        <v>73</v>
      </c>
      <c r="B60" s="7" t="s">
        <v>137</v>
      </c>
    </row>
    <row r="61" spans="1:25" x14ac:dyDescent="0.25">
      <c r="B61" s="1" t="s">
        <v>138</v>
      </c>
    </row>
    <row r="62" spans="1:25" x14ac:dyDescent="0.25">
      <c r="B62" s="1" t="s">
        <v>139</v>
      </c>
    </row>
    <row r="63" spans="1:25" x14ac:dyDescent="0.25">
      <c r="B63" s="1" t="s">
        <v>140</v>
      </c>
    </row>
    <row r="65" spans="2:35" x14ac:dyDescent="0.25">
      <c r="B65" s="1" t="s">
        <v>159</v>
      </c>
    </row>
    <row r="67" spans="2:35" x14ac:dyDescent="0.25">
      <c r="B67" s="20" t="s">
        <v>21</v>
      </c>
      <c r="E67" s="26">
        <v>0</v>
      </c>
      <c r="F67" s="57">
        <v>1</v>
      </c>
      <c r="G67" s="26">
        <v>2</v>
      </c>
      <c r="H67" s="26">
        <v>3</v>
      </c>
      <c r="I67" s="26">
        <v>4</v>
      </c>
      <c r="J67" s="26">
        <v>5</v>
      </c>
      <c r="K67" s="26">
        <v>6</v>
      </c>
      <c r="L67" s="26">
        <v>7</v>
      </c>
      <c r="M67" s="26">
        <v>8</v>
      </c>
      <c r="N67" s="26">
        <v>9</v>
      </c>
      <c r="O67" s="26">
        <v>10</v>
      </c>
      <c r="P67" s="26">
        <v>11</v>
      </c>
      <c r="Q67" s="26">
        <v>12</v>
      </c>
      <c r="R67" s="26">
        <v>13</v>
      </c>
      <c r="S67" s="26">
        <v>14</v>
      </c>
      <c r="T67" s="26">
        <v>15</v>
      </c>
      <c r="U67" s="26">
        <v>16</v>
      </c>
      <c r="V67" s="26">
        <v>17</v>
      </c>
      <c r="W67" s="26">
        <v>18</v>
      </c>
      <c r="X67" s="26">
        <v>19</v>
      </c>
      <c r="Y67" s="26">
        <v>20</v>
      </c>
      <c r="Z67" s="26">
        <v>21</v>
      </c>
      <c r="AA67" s="57">
        <v>22</v>
      </c>
      <c r="AB67" s="26">
        <v>23</v>
      </c>
      <c r="AC67" s="26">
        <v>24</v>
      </c>
      <c r="AD67" s="26">
        <v>25</v>
      </c>
      <c r="AE67" s="26">
        <v>26</v>
      </c>
      <c r="AF67" s="26">
        <v>27</v>
      </c>
      <c r="AG67" s="26">
        <v>28</v>
      </c>
      <c r="AH67" s="26">
        <v>29</v>
      </c>
      <c r="AI67" s="26">
        <v>30</v>
      </c>
    </row>
    <row r="68" spans="2:35" x14ac:dyDescent="0.25">
      <c r="B68" s="1" t="s">
        <v>141</v>
      </c>
      <c r="E68" s="4">
        <v>2100</v>
      </c>
      <c r="F68" s="37"/>
    </row>
    <row r="69" spans="2:35" x14ac:dyDescent="0.25">
      <c r="B69" s="1" t="s">
        <v>142</v>
      </c>
      <c r="E69" s="4">
        <v>95</v>
      </c>
      <c r="F69" s="58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2:35" x14ac:dyDescent="0.25">
      <c r="B70" s="1" t="s">
        <v>143</v>
      </c>
      <c r="E70" s="4">
        <v>62</v>
      </c>
      <c r="F70" s="37"/>
    </row>
    <row r="71" spans="2:35" x14ac:dyDescent="0.25">
      <c r="B71" s="7" t="s">
        <v>152</v>
      </c>
      <c r="E71" s="35">
        <f>E69-E70</f>
        <v>33</v>
      </c>
      <c r="F71" s="58">
        <f>E71</f>
        <v>33</v>
      </c>
      <c r="G71" s="4">
        <f t="shared" ref="G71:AI71" si="5">F71</f>
        <v>33</v>
      </c>
      <c r="H71" s="4">
        <f t="shared" si="5"/>
        <v>33</v>
      </c>
      <c r="I71" s="4">
        <f t="shared" si="5"/>
        <v>33</v>
      </c>
      <c r="J71" s="4">
        <f t="shared" si="5"/>
        <v>33</v>
      </c>
      <c r="K71" s="4">
        <f t="shared" si="5"/>
        <v>33</v>
      </c>
      <c r="L71" s="4">
        <f t="shared" si="5"/>
        <v>33</v>
      </c>
      <c r="M71" s="4">
        <f t="shared" si="5"/>
        <v>33</v>
      </c>
      <c r="N71" s="4">
        <f t="shared" si="5"/>
        <v>33</v>
      </c>
      <c r="O71" s="4">
        <f t="shared" si="5"/>
        <v>33</v>
      </c>
      <c r="P71" s="4">
        <f t="shared" si="5"/>
        <v>33</v>
      </c>
      <c r="Q71" s="4">
        <f t="shared" si="5"/>
        <v>33</v>
      </c>
      <c r="R71" s="4">
        <f t="shared" si="5"/>
        <v>33</v>
      </c>
      <c r="S71" s="4">
        <f t="shared" si="5"/>
        <v>33</v>
      </c>
      <c r="T71" s="4">
        <f t="shared" si="5"/>
        <v>33</v>
      </c>
      <c r="U71" s="4">
        <f t="shared" si="5"/>
        <v>33</v>
      </c>
      <c r="V71" s="4">
        <f t="shared" si="5"/>
        <v>33</v>
      </c>
      <c r="W71" s="4">
        <f t="shared" si="5"/>
        <v>33</v>
      </c>
      <c r="X71" s="4">
        <f t="shared" si="5"/>
        <v>33</v>
      </c>
      <c r="Y71" s="4">
        <f t="shared" si="5"/>
        <v>33</v>
      </c>
      <c r="Z71" s="4">
        <f t="shared" si="5"/>
        <v>33</v>
      </c>
      <c r="AA71" s="4">
        <f t="shared" si="5"/>
        <v>33</v>
      </c>
      <c r="AB71" s="4">
        <f t="shared" si="5"/>
        <v>33</v>
      </c>
      <c r="AC71" s="4">
        <f t="shared" si="5"/>
        <v>33</v>
      </c>
      <c r="AD71" s="4">
        <f t="shared" si="5"/>
        <v>33</v>
      </c>
      <c r="AE71" s="4">
        <f t="shared" si="5"/>
        <v>33</v>
      </c>
      <c r="AF71" s="4">
        <f t="shared" si="5"/>
        <v>33</v>
      </c>
      <c r="AG71" s="4">
        <f t="shared" si="5"/>
        <v>33</v>
      </c>
      <c r="AH71" s="4">
        <f t="shared" si="5"/>
        <v>33</v>
      </c>
      <c r="AI71" s="4">
        <f t="shared" si="5"/>
        <v>33</v>
      </c>
    </row>
    <row r="72" spans="2:35" x14ac:dyDescent="0.25">
      <c r="E72" s="4"/>
      <c r="F72" s="37"/>
    </row>
    <row r="73" spans="2:35" x14ac:dyDescent="0.25">
      <c r="B73" s="1" t="s">
        <v>144</v>
      </c>
      <c r="E73" s="4">
        <v>180</v>
      </c>
      <c r="F73" s="37"/>
    </row>
    <row r="74" spans="2:35" x14ac:dyDescent="0.25">
      <c r="B74" s="1" t="s">
        <v>145</v>
      </c>
      <c r="E74" s="4">
        <v>28</v>
      </c>
      <c r="F74" s="37"/>
    </row>
    <row r="75" spans="2:35" x14ac:dyDescent="0.25">
      <c r="B75" s="1" t="s">
        <v>146</v>
      </c>
      <c r="E75" s="4">
        <v>41</v>
      </c>
      <c r="F75" s="37"/>
    </row>
    <row r="76" spans="2:35" x14ac:dyDescent="0.25">
      <c r="B76" s="1" t="s">
        <v>147</v>
      </c>
      <c r="E76" s="4">
        <v>9</v>
      </c>
      <c r="F76" s="37"/>
    </row>
    <row r="77" spans="2:35" x14ac:dyDescent="0.25">
      <c r="B77" s="7" t="s">
        <v>148</v>
      </c>
      <c r="C77" s="7"/>
      <c r="D77" s="7"/>
      <c r="E77" s="35">
        <f>SUM(E73:E76)</f>
        <v>258</v>
      </c>
      <c r="F77" s="58">
        <f>E77</f>
        <v>258</v>
      </c>
      <c r="G77" s="4">
        <f t="shared" ref="G77:AI77" si="6">F77</f>
        <v>258</v>
      </c>
      <c r="H77" s="4">
        <f t="shared" si="6"/>
        <v>258</v>
      </c>
      <c r="I77" s="4">
        <f t="shared" si="6"/>
        <v>258</v>
      </c>
      <c r="J77" s="4">
        <f t="shared" si="6"/>
        <v>258</v>
      </c>
      <c r="K77" s="4">
        <f t="shared" si="6"/>
        <v>258</v>
      </c>
      <c r="L77" s="4">
        <f t="shared" si="6"/>
        <v>258</v>
      </c>
      <c r="M77" s="4">
        <f t="shared" si="6"/>
        <v>258</v>
      </c>
      <c r="N77" s="4">
        <f t="shared" si="6"/>
        <v>258</v>
      </c>
      <c r="O77" s="4">
        <f t="shared" si="6"/>
        <v>258</v>
      </c>
      <c r="P77" s="4">
        <f t="shared" si="6"/>
        <v>258</v>
      </c>
      <c r="Q77" s="4">
        <f t="shared" si="6"/>
        <v>258</v>
      </c>
      <c r="R77" s="4">
        <f t="shared" si="6"/>
        <v>258</v>
      </c>
      <c r="S77" s="4">
        <f t="shared" si="6"/>
        <v>258</v>
      </c>
      <c r="T77" s="4">
        <f t="shared" si="6"/>
        <v>258</v>
      </c>
      <c r="U77" s="4">
        <f t="shared" si="6"/>
        <v>258</v>
      </c>
      <c r="V77" s="4">
        <f t="shared" si="6"/>
        <v>258</v>
      </c>
      <c r="W77" s="4">
        <f t="shared" si="6"/>
        <v>258</v>
      </c>
      <c r="X77" s="4">
        <f t="shared" si="6"/>
        <v>258</v>
      </c>
      <c r="Y77" s="4">
        <f t="shared" si="6"/>
        <v>258</v>
      </c>
      <c r="Z77" s="4">
        <f t="shared" si="6"/>
        <v>258</v>
      </c>
      <c r="AA77" s="4">
        <f t="shared" si="6"/>
        <v>258</v>
      </c>
      <c r="AB77" s="4">
        <f t="shared" si="6"/>
        <v>258</v>
      </c>
      <c r="AC77" s="4">
        <f t="shared" si="6"/>
        <v>258</v>
      </c>
      <c r="AD77" s="4">
        <f t="shared" si="6"/>
        <v>258</v>
      </c>
      <c r="AE77" s="4">
        <f t="shared" si="6"/>
        <v>258</v>
      </c>
      <c r="AF77" s="4">
        <f t="shared" si="6"/>
        <v>258</v>
      </c>
      <c r="AG77" s="4">
        <f t="shared" si="6"/>
        <v>258</v>
      </c>
      <c r="AH77" s="4">
        <f t="shared" si="6"/>
        <v>258</v>
      </c>
      <c r="AI77" s="4">
        <f t="shared" si="6"/>
        <v>258</v>
      </c>
    </row>
    <row r="78" spans="2:35" x14ac:dyDescent="0.25">
      <c r="F78" s="37"/>
    </row>
    <row r="79" spans="2:35" x14ac:dyDescent="0.25">
      <c r="B79" s="1" t="s">
        <v>149</v>
      </c>
      <c r="E79" s="6">
        <v>7.0000000000000007E-2</v>
      </c>
      <c r="F79" s="37"/>
    </row>
    <row r="80" spans="2:35" x14ac:dyDescent="0.25">
      <c r="F80" s="37"/>
    </row>
    <row r="81" spans="2:35" x14ac:dyDescent="0.25">
      <c r="B81" s="7" t="s">
        <v>150</v>
      </c>
      <c r="E81" s="35">
        <f>E77-E71</f>
        <v>225</v>
      </c>
      <c r="F81" s="58">
        <f>E81</f>
        <v>225</v>
      </c>
      <c r="G81" s="4">
        <f t="shared" ref="G81:AI81" si="7">F81</f>
        <v>225</v>
      </c>
      <c r="H81" s="4">
        <f t="shared" si="7"/>
        <v>225</v>
      </c>
      <c r="I81" s="4">
        <f t="shared" si="7"/>
        <v>225</v>
      </c>
      <c r="J81" s="4">
        <f t="shared" si="7"/>
        <v>225</v>
      </c>
      <c r="K81" s="4">
        <f t="shared" si="7"/>
        <v>225</v>
      </c>
      <c r="L81" s="4">
        <f t="shared" si="7"/>
        <v>225</v>
      </c>
      <c r="M81" s="4">
        <f t="shared" si="7"/>
        <v>225</v>
      </c>
      <c r="N81" s="4">
        <f t="shared" si="7"/>
        <v>225</v>
      </c>
      <c r="O81" s="4">
        <f t="shared" si="7"/>
        <v>225</v>
      </c>
      <c r="P81" s="4">
        <f t="shared" si="7"/>
        <v>225</v>
      </c>
      <c r="Q81" s="4">
        <f t="shared" si="7"/>
        <v>225</v>
      </c>
      <c r="R81" s="4">
        <f t="shared" si="7"/>
        <v>225</v>
      </c>
      <c r="S81" s="4">
        <f t="shared" si="7"/>
        <v>225</v>
      </c>
      <c r="T81" s="4">
        <f t="shared" si="7"/>
        <v>225</v>
      </c>
      <c r="U81" s="4">
        <f t="shared" si="7"/>
        <v>225</v>
      </c>
      <c r="V81" s="4">
        <f t="shared" si="7"/>
        <v>225</v>
      </c>
      <c r="W81" s="4">
        <f t="shared" si="7"/>
        <v>225</v>
      </c>
      <c r="X81" s="4">
        <f t="shared" si="7"/>
        <v>225</v>
      </c>
      <c r="Y81" s="4">
        <f t="shared" si="7"/>
        <v>225</v>
      </c>
      <c r="Z81" s="4">
        <f t="shared" si="7"/>
        <v>225</v>
      </c>
      <c r="AA81" s="4">
        <f t="shared" si="7"/>
        <v>225</v>
      </c>
      <c r="AB81" s="4">
        <f t="shared" si="7"/>
        <v>225</v>
      </c>
      <c r="AC81" s="4">
        <f t="shared" si="7"/>
        <v>225</v>
      </c>
      <c r="AD81" s="4">
        <f t="shared" si="7"/>
        <v>225</v>
      </c>
      <c r="AE81" s="4">
        <f t="shared" si="7"/>
        <v>225</v>
      </c>
      <c r="AF81" s="4">
        <f t="shared" si="7"/>
        <v>225</v>
      </c>
      <c r="AG81" s="4">
        <f t="shared" si="7"/>
        <v>225</v>
      </c>
      <c r="AH81" s="4">
        <f t="shared" si="7"/>
        <v>225</v>
      </c>
      <c r="AI81" s="4">
        <f t="shared" si="7"/>
        <v>225</v>
      </c>
    </row>
    <row r="82" spans="2:35" x14ac:dyDescent="0.25">
      <c r="F82" s="37"/>
    </row>
    <row r="83" spans="2:35" x14ac:dyDescent="0.25">
      <c r="B83" s="7" t="s">
        <v>115</v>
      </c>
      <c r="C83" s="7"/>
      <c r="D83" s="7"/>
      <c r="E83" s="35">
        <f>NPV($E$79,F81:AI81)-E68</f>
        <v>692.03426628881653</v>
      </c>
      <c r="F83" s="37"/>
    </row>
    <row r="85" spans="2:35" x14ac:dyDescent="0.25">
      <c r="B85" s="1" t="s">
        <v>117</v>
      </c>
      <c r="E85" s="67">
        <f>NPV($E$79,F77:AI77)</f>
        <v>3201.5326253445105</v>
      </c>
    </row>
    <row r="86" spans="2:35" x14ac:dyDescent="0.25">
      <c r="B86" s="1" t="s">
        <v>151</v>
      </c>
      <c r="E86" s="67">
        <f>NPV($E$79,F71:AI71)+E68</f>
        <v>2509.4983590556931</v>
      </c>
    </row>
    <row r="87" spans="2:35" x14ac:dyDescent="0.25">
      <c r="B87" s="7" t="s">
        <v>116</v>
      </c>
      <c r="E87" s="60">
        <f>E85/E86</f>
        <v>1.2757659768102918</v>
      </c>
      <c r="F87" s="20" t="s">
        <v>153</v>
      </c>
    </row>
    <row r="89" spans="2:35" x14ac:dyDescent="0.25">
      <c r="B89" s="7" t="s">
        <v>154</v>
      </c>
      <c r="E89" s="12">
        <v>0.18</v>
      </c>
    </row>
    <row r="90" spans="2:35" x14ac:dyDescent="0.25">
      <c r="E90" s="7" t="s">
        <v>155</v>
      </c>
    </row>
    <row r="91" spans="2:35" x14ac:dyDescent="0.25">
      <c r="B91" s="1" t="s">
        <v>144</v>
      </c>
      <c r="E91" s="4">
        <f>E73/($E$89*365)</f>
        <v>2.7397260273972601</v>
      </c>
    </row>
    <row r="92" spans="2:35" x14ac:dyDescent="0.25">
      <c r="B92" s="1" t="s">
        <v>145</v>
      </c>
      <c r="E92" s="4">
        <f>E74/($E$89*365)</f>
        <v>0.42617960426179602</v>
      </c>
    </row>
    <row r="93" spans="2:35" x14ac:dyDescent="0.25">
      <c r="B93" s="1" t="s">
        <v>146</v>
      </c>
      <c r="E93" s="4">
        <f>E75/($E$89*365)</f>
        <v>0.62404870624048703</v>
      </c>
    </row>
    <row r="94" spans="2:35" x14ac:dyDescent="0.25">
      <c r="B94" s="1" t="s">
        <v>147</v>
      </c>
      <c r="E94" s="4">
        <f>E76/($E$89*365)</f>
        <v>0.13698630136986301</v>
      </c>
    </row>
    <row r="95" spans="2:35" x14ac:dyDescent="0.25">
      <c r="B95" s="7" t="s">
        <v>148</v>
      </c>
      <c r="E95" s="35">
        <f>SUM(E91:E94)</f>
        <v>3.9269406392694064</v>
      </c>
      <c r="F95" s="4">
        <f>E95</f>
        <v>3.9269406392694064</v>
      </c>
      <c r="G95" s="4">
        <f t="shared" ref="G95:AI95" si="8">F95</f>
        <v>3.9269406392694064</v>
      </c>
      <c r="H95" s="4">
        <f t="shared" si="8"/>
        <v>3.9269406392694064</v>
      </c>
      <c r="I95" s="4">
        <f t="shared" si="8"/>
        <v>3.9269406392694064</v>
      </c>
      <c r="J95" s="4">
        <f t="shared" si="8"/>
        <v>3.9269406392694064</v>
      </c>
      <c r="K95" s="4">
        <f t="shared" si="8"/>
        <v>3.9269406392694064</v>
      </c>
      <c r="L95" s="4">
        <f t="shared" si="8"/>
        <v>3.9269406392694064</v>
      </c>
      <c r="M95" s="4">
        <f t="shared" si="8"/>
        <v>3.9269406392694064</v>
      </c>
      <c r="N95" s="4">
        <f t="shared" si="8"/>
        <v>3.9269406392694064</v>
      </c>
      <c r="O95" s="4">
        <f t="shared" si="8"/>
        <v>3.9269406392694064</v>
      </c>
      <c r="P95" s="4">
        <f t="shared" si="8"/>
        <v>3.9269406392694064</v>
      </c>
      <c r="Q95" s="4">
        <f t="shared" si="8"/>
        <v>3.9269406392694064</v>
      </c>
      <c r="R95" s="4">
        <f t="shared" si="8"/>
        <v>3.9269406392694064</v>
      </c>
      <c r="S95" s="4">
        <f t="shared" si="8"/>
        <v>3.9269406392694064</v>
      </c>
      <c r="T95" s="4">
        <f t="shared" si="8"/>
        <v>3.9269406392694064</v>
      </c>
      <c r="U95" s="4">
        <f t="shared" si="8"/>
        <v>3.9269406392694064</v>
      </c>
      <c r="V95" s="4">
        <f t="shared" si="8"/>
        <v>3.9269406392694064</v>
      </c>
      <c r="W95" s="4">
        <f t="shared" si="8"/>
        <v>3.9269406392694064</v>
      </c>
      <c r="X95" s="4">
        <f t="shared" si="8"/>
        <v>3.9269406392694064</v>
      </c>
      <c r="Y95" s="4">
        <f t="shared" si="8"/>
        <v>3.9269406392694064</v>
      </c>
      <c r="Z95" s="4">
        <f t="shared" si="8"/>
        <v>3.9269406392694064</v>
      </c>
      <c r="AA95" s="4">
        <f t="shared" si="8"/>
        <v>3.9269406392694064</v>
      </c>
      <c r="AB95" s="4">
        <f t="shared" si="8"/>
        <v>3.9269406392694064</v>
      </c>
      <c r="AC95" s="4">
        <f t="shared" si="8"/>
        <v>3.9269406392694064</v>
      </c>
      <c r="AD95" s="4">
        <f t="shared" si="8"/>
        <v>3.9269406392694064</v>
      </c>
      <c r="AE95" s="4">
        <f t="shared" si="8"/>
        <v>3.9269406392694064</v>
      </c>
      <c r="AF95" s="4">
        <f t="shared" si="8"/>
        <v>3.9269406392694064</v>
      </c>
      <c r="AG95" s="4">
        <f t="shared" si="8"/>
        <v>3.9269406392694064</v>
      </c>
      <c r="AH95" s="4">
        <f t="shared" si="8"/>
        <v>3.9269406392694064</v>
      </c>
      <c r="AI95" s="4">
        <f t="shared" si="8"/>
        <v>3.9269406392694064</v>
      </c>
    </row>
    <row r="97" spans="2:10" x14ac:dyDescent="0.25">
      <c r="B97" s="1" t="s">
        <v>117</v>
      </c>
      <c r="E97" s="67">
        <f>NPV($E$79,F95:AI95)*365</f>
        <v>17786.292363025055</v>
      </c>
      <c r="F97" s="1" t="str">
        <f ca="1">_xlfn.FORMULATEXT(E97)</f>
        <v>=NPV($E$79,F95:AI95)*365</v>
      </c>
      <c r="J97" s="1" t="s">
        <v>157</v>
      </c>
    </row>
    <row r="98" spans="2:10" x14ac:dyDescent="0.25">
      <c r="B98" s="1" t="s">
        <v>118</v>
      </c>
      <c r="E98" s="67">
        <f>E86*1.5</f>
        <v>3764.2475385835396</v>
      </c>
      <c r="F98" s="1" t="str">
        <f ca="1">_xlfn.FORMULATEXT(E98)</f>
        <v>=E86*1.5</v>
      </c>
      <c r="J98" s="1" t="s">
        <v>158</v>
      </c>
    </row>
    <row r="99" spans="2:10" x14ac:dyDescent="0.25">
      <c r="B99" s="7" t="s">
        <v>156</v>
      </c>
      <c r="C99" s="7"/>
      <c r="D99" s="7"/>
      <c r="E99" s="68">
        <f>E98/E97*10^6</f>
        <v>211637.56120465143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1755-8D13-4FB1-B06F-EBF0B8C36409}">
  <dimension ref="A2:AD46"/>
  <sheetViews>
    <sheetView showGridLines="0" zoomScale="85" zoomScaleNormal="85" workbookViewId="0">
      <selection activeCell="K20" sqref="K20"/>
    </sheetView>
  </sheetViews>
  <sheetFormatPr defaultRowHeight="13.2" x14ac:dyDescent="0.25"/>
  <cols>
    <col min="1" max="1" width="2.88671875" style="1" customWidth="1"/>
    <col min="2" max="3" width="8.88671875" style="1"/>
    <col min="4" max="4" width="10.44140625" style="1" bestFit="1" customWidth="1"/>
    <col min="5" max="19" width="13.44140625" style="18" customWidth="1"/>
    <col min="20" max="30" width="13.88671875" style="1" customWidth="1"/>
    <col min="31" max="16384" width="8.88671875" style="1"/>
  </cols>
  <sheetData>
    <row r="2" spans="1:12" x14ac:dyDescent="0.25">
      <c r="B2" s="1" t="s">
        <v>160</v>
      </c>
    </row>
    <row r="3" spans="1:12" x14ac:dyDescent="0.25">
      <c r="C3" s="1" t="s">
        <v>77</v>
      </c>
    </row>
    <row r="4" spans="1:12" x14ac:dyDescent="0.25">
      <c r="C4" s="20" t="s">
        <v>125</v>
      </c>
    </row>
    <row r="7" spans="1:12" x14ac:dyDescent="0.25">
      <c r="A7" s="1" t="s">
        <v>73</v>
      </c>
      <c r="B7" s="7" t="s">
        <v>188</v>
      </c>
    </row>
    <row r="8" spans="1:12" x14ac:dyDescent="0.25">
      <c r="B8" s="1" t="s">
        <v>161</v>
      </c>
    </row>
    <row r="9" spans="1:12" x14ac:dyDescent="0.25">
      <c r="B9" s="1" t="s">
        <v>162</v>
      </c>
    </row>
    <row r="10" spans="1:12" x14ac:dyDescent="0.25">
      <c r="B10" s="1" t="s">
        <v>163</v>
      </c>
    </row>
    <row r="11" spans="1:12" x14ac:dyDescent="0.25">
      <c r="B11" s="1" t="s">
        <v>164</v>
      </c>
    </row>
    <row r="13" spans="1:12" x14ac:dyDescent="0.25">
      <c r="B13" s="1" t="s">
        <v>165</v>
      </c>
    </row>
    <row r="14" spans="1:12" x14ac:dyDescent="0.25">
      <c r="B14" s="20" t="s">
        <v>21</v>
      </c>
      <c r="L14" s="78"/>
    </row>
    <row r="15" spans="1:12" x14ac:dyDescent="0.25">
      <c r="B15" s="1" t="s">
        <v>166</v>
      </c>
      <c r="D15" s="1">
        <v>1800</v>
      </c>
      <c r="F15" s="73" t="s">
        <v>177</v>
      </c>
      <c r="G15" s="74" t="s">
        <v>178</v>
      </c>
      <c r="H15" s="72">
        <v>65</v>
      </c>
    </row>
    <row r="16" spans="1:12" x14ac:dyDescent="0.25">
      <c r="B16" s="1" t="s">
        <v>168</v>
      </c>
      <c r="D16" s="69">
        <v>500</v>
      </c>
      <c r="F16" s="73" t="s">
        <v>175</v>
      </c>
      <c r="G16" s="5">
        <v>0.7</v>
      </c>
      <c r="H16" s="72">
        <f>G16*$D$15</f>
        <v>1260</v>
      </c>
    </row>
    <row r="17" spans="2:30" x14ac:dyDescent="0.25">
      <c r="B17" s="1" t="s">
        <v>167</v>
      </c>
      <c r="D17" s="70">
        <v>82</v>
      </c>
      <c r="F17" s="73" t="s">
        <v>176</v>
      </c>
      <c r="G17" s="5">
        <v>0.3</v>
      </c>
      <c r="H17" s="72">
        <f>G17*$D$15</f>
        <v>540</v>
      </c>
    </row>
    <row r="18" spans="2:30" x14ac:dyDescent="0.25">
      <c r="D18" s="70"/>
      <c r="F18" s="73" t="s">
        <v>191</v>
      </c>
      <c r="G18" s="74"/>
      <c r="H18" s="34">
        <v>5.5E-2</v>
      </c>
    </row>
    <row r="19" spans="2:30" x14ac:dyDescent="0.25">
      <c r="B19" s="7" t="s">
        <v>63</v>
      </c>
      <c r="D19" s="75" t="s">
        <v>182</v>
      </c>
      <c r="E19" s="76" t="s">
        <v>183</v>
      </c>
      <c r="F19" s="73"/>
      <c r="G19" s="74"/>
      <c r="H19" s="72"/>
    </row>
    <row r="20" spans="2:30" x14ac:dyDescent="0.25">
      <c r="B20" s="1" t="s">
        <v>180</v>
      </c>
      <c r="D20" s="70">
        <v>75</v>
      </c>
      <c r="E20" s="5">
        <v>0.4</v>
      </c>
      <c r="F20" s="73"/>
      <c r="H20" s="72"/>
    </row>
    <row r="21" spans="2:30" x14ac:dyDescent="0.25">
      <c r="B21" s="1" t="s">
        <v>181</v>
      </c>
      <c r="D21" s="70">
        <v>95</v>
      </c>
      <c r="E21" s="5">
        <v>0.45</v>
      </c>
      <c r="F21" s="73"/>
      <c r="G21" s="74"/>
      <c r="H21" s="72"/>
    </row>
    <row r="22" spans="2:30" x14ac:dyDescent="0.25">
      <c r="B22" s="1" t="s">
        <v>184</v>
      </c>
      <c r="D22" s="70">
        <v>52</v>
      </c>
      <c r="E22" s="5">
        <v>0.35</v>
      </c>
      <c r="F22" s="73"/>
      <c r="G22" s="74"/>
      <c r="H22" s="72"/>
    </row>
    <row r="23" spans="2:30" x14ac:dyDescent="0.25">
      <c r="D23" s="70"/>
      <c r="F23" s="73"/>
      <c r="G23" s="74"/>
      <c r="H23" s="72"/>
    </row>
    <row r="24" spans="2:30" x14ac:dyDescent="0.25">
      <c r="B24" s="79" t="s">
        <v>189</v>
      </c>
      <c r="C24" s="27"/>
      <c r="D24" s="90" t="s">
        <v>181</v>
      </c>
      <c r="E24" s="84" t="s">
        <v>173</v>
      </c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6"/>
      <c r="T24" s="87" t="s">
        <v>174</v>
      </c>
      <c r="U24" s="88"/>
      <c r="V24" s="88"/>
      <c r="W24" s="88"/>
      <c r="X24" s="88"/>
      <c r="Y24" s="88"/>
      <c r="Z24" s="88"/>
      <c r="AA24" s="88"/>
      <c r="AB24" s="88"/>
      <c r="AC24" s="89"/>
    </row>
    <row r="25" spans="2:30" x14ac:dyDescent="0.25">
      <c r="B25" s="26" t="s">
        <v>169</v>
      </c>
      <c r="C25" s="26"/>
      <c r="D25" s="26"/>
      <c r="E25" s="91">
        <v>1</v>
      </c>
      <c r="F25" s="71">
        <v>2</v>
      </c>
      <c r="G25" s="71">
        <v>3</v>
      </c>
      <c r="H25" s="71">
        <v>4</v>
      </c>
      <c r="I25" s="71">
        <v>5</v>
      </c>
      <c r="J25" s="71">
        <v>6</v>
      </c>
      <c r="K25" s="71">
        <v>7</v>
      </c>
      <c r="L25" s="71">
        <v>8</v>
      </c>
      <c r="M25" s="71">
        <v>9</v>
      </c>
      <c r="N25" s="71">
        <v>10</v>
      </c>
      <c r="O25" s="71">
        <v>11</v>
      </c>
      <c r="P25" s="71">
        <v>12</v>
      </c>
      <c r="Q25" s="71">
        <v>13</v>
      </c>
      <c r="R25" s="71">
        <v>14</v>
      </c>
      <c r="S25" s="71">
        <v>15</v>
      </c>
      <c r="T25" s="26">
        <v>16</v>
      </c>
      <c r="U25" s="26">
        <v>17</v>
      </c>
      <c r="V25" s="26">
        <v>18</v>
      </c>
      <c r="W25" s="26">
        <v>19</v>
      </c>
      <c r="X25" s="26">
        <v>20</v>
      </c>
      <c r="Y25" s="26">
        <v>21</v>
      </c>
      <c r="Z25" s="26">
        <v>22</v>
      </c>
      <c r="AA25" s="26">
        <v>23</v>
      </c>
      <c r="AB25" s="26">
        <v>24</v>
      </c>
      <c r="AC25" s="26">
        <v>25</v>
      </c>
    </row>
    <row r="26" spans="2:30" x14ac:dyDescent="0.25">
      <c r="B26" s="1" t="s">
        <v>170</v>
      </c>
      <c r="E26" s="92">
        <v>12</v>
      </c>
      <c r="F26" s="55">
        <v>12</v>
      </c>
      <c r="G26" s="55">
        <v>12</v>
      </c>
      <c r="H26" s="55">
        <v>12</v>
      </c>
      <c r="I26" s="55">
        <v>12</v>
      </c>
      <c r="J26" s="55">
        <v>12</v>
      </c>
      <c r="K26" s="55">
        <v>12</v>
      </c>
      <c r="L26" s="55">
        <v>12</v>
      </c>
      <c r="M26" s="55">
        <v>12</v>
      </c>
      <c r="N26" s="55">
        <v>12</v>
      </c>
      <c r="O26" s="55">
        <v>12</v>
      </c>
      <c r="P26" s="55">
        <v>12</v>
      </c>
      <c r="Q26" s="55">
        <v>12</v>
      </c>
      <c r="R26" s="55">
        <v>12</v>
      </c>
      <c r="S26" s="55">
        <v>12</v>
      </c>
      <c r="T26" s="18">
        <v>12</v>
      </c>
      <c r="U26" s="18">
        <v>12</v>
      </c>
      <c r="V26" s="18">
        <v>12</v>
      </c>
      <c r="W26" s="18">
        <v>12</v>
      </c>
      <c r="X26" s="18">
        <v>12</v>
      </c>
      <c r="Y26" s="18">
        <v>12</v>
      </c>
      <c r="Z26" s="18">
        <v>12</v>
      </c>
      <c r="AA26" s="18">
        <v>12</v>
      </c>
      <c r="AB26" s="18">
        <v>12</v>
      </c>
      <c r="AC26" s="18">
        <v>12</v>
      </c>
    </row>
    <row r="27" spans="2:30" x14ac:dyDescent="0.25">
      <c r="B27" s="1" t="s">
        <v>179</v>
      </c>
      <c r="E27" s="92">
        <f>$D$16*365*24*40%</f>
        <v>1752000</v>
      </c>
      <c r="F27" s="55">
        <f t="shared" ref="F27:S27" si="0">$D$16*365*24*40%</f>
        <v>1752000</v>
      </c>
      <c r="G27" s="55">
        <f t="shared" si="0"/>
        <v>1752000</v>
      </c>
      <c r="H27" s="55">
        <f t="shared" si="0"/>
        <v>1752000</v>
      </c>
      <c r="I27" s="55">
        <f t="shared" si="0"/>
        <v>1752000</v>
      </c>
      <c r="J27" s="55">
        <f t="shared" si="0"/>
        <v>1752000</v>
      </c>
      <c r="K27" s="55">
        <f t="shared" si="0"/>
        <v>1752000</v>
      </c>
      <c r="L27" s="55">
        <f t="shared" si="0"/>
        <v>1752000</v>
      </c>
      <c r="M27" s="55">
        <f t="shared" si="0"/>
        <v>1752000</v>
      </c>
      <c r="N27" s="55">
        <f t="shared" si="0"/>
        <v>1752000</v>
      </c>
      <c r="O27" s="55">
        <f t="shared" si="0"/>
        <v>1752000</v>
      </c>
      <c r="P27" s="55">
        <f t="shared" si="0"/>
        <v>1752000</v>
      </c>
      <c r="Q27" s="55">
        <f t="shared" si="0"/>
        <v>1752000</v>
      </c>
      <c r="R27" s="55">
        <f t="shared" si="0"/>
        <v>1752000</v>
      </c>
      <c r="S27" s="55">
        <f t="shared" si="0"/>
        <v>1752000</v>
      </c>
      <c r="T27" s="18">
        <f>$D$16*365*24*VLOOKUP($D$24,$B$20:$E$22,4,TRUE)</f>
        <v>1971000</v>
      </c>
      <c r="U27" s="18">
        <f t="shared" ref="U27:AC27" si="1">$D$16*365*24*VLOOKUP($D$24,$B$20:$E$22,4,TRUE)</f>
        <v>1971000</v>
      </c>
      <c r="V27" s="18">
        <f t="shared" si="1"/>
        <v>1971000</v>
      </c>
      <c r="W27" s="18">
        <f t="shared" si="1"/>
        <v>1971000</v>
      </c>
      <c r="X27" s="18">
        <f t="shared" si="1"/>
        <v>1971000</v>
      </c>
      <c r="Y27" s="18">
        <f t="shared" si="1"/>
        <v>1971000</v>
      </c>
      <c r="Z27" s="18">
        <f t="shared" si="1"/>
        <v>1971000</v>
      </c>
      <c r="AA27" s="18">
        <f t="shared" si="1"/>
        <v>1971000</v>
      </c>
      <c r="AB27" s="18">
        <f t="shared" si="1"/>
        <v>1971000</v>
      </c>
      <c r="AC27" s="18">
        <f t="shared" si="1"/>
        <v>1971000</v>
      </c>
    </row>
    <row r="28" spans="2:30" x14ac:dyDescent="0.25">
      <c r="E28" s="93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77"/>
      <c r="U28" s="77"/>
      <c r="V28" s="77"/>
      <c r="W28" s="77"/>
      <c r="X28" s="77"/>
      <c r="Y28" s="77"/>
      <c r="Z28" s="77"/>
      <c r="AA28" s="77"/>
      <c r="AB28" s="77"/>
      <c r="AC28" s="77"/>
    </row>
    <row r="29" spans="2:30" x14ac:dyDescent="0.25">
      <c r="B29" s="7" t="s">
        <v>171</v>
      </c>
      <c r="E29" s="93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77"/>
      <c r="U29" s="77"/>
      <c r="V29" s="77"/>
      <c r="W29" s="77"/>
      <c r="X29" s="77"/>
      <c r="Y29" s="77"/>
      <c r="Z29" s="77"/>
      <c r="AA29" s="77"/>
      <c r="AB29" s="77"/>
      <c r="AC29" s="77"/>
    </row>
    <row r="30" spans="2:30" x14ac:dyDescent="0.25">
      <c r="B30" s="1" t="s">
        <v>67</v>
      </c>
      <c r="E30" s="93">
        <f t="shared" ref="E30:S30" si="2">E27*$D$17/10^6</f>
        <v>143.66399999999999</v>
      </c>
      <c r="F30" s="94">
        <f t="shared" si="2"/>
        <v>143.66399999999999</v>
      </c>
      <c r="G30" s="94">
        <f t="shared" si="2"/>
        <v>143.66399999999999</v>
      </c>
      <c r="H30" s="94">
        <f t="shared" si="2"/>
        <v>143.66399999999999</v>
      </c>
      <c r="I30" s="94">
        <f t="shared" si="2"/>
        <v>143.66399999999999</v>
      </c>
      <c r="J30" s="94">
        <f t="shared" si="2"/>
        <v>143.66399999999999</v>
      </c>
      <c r="K30" s="94">
        <f t="shared" si="2"/>
        <v>143.66399999999999</v>
      </c>
      <c r="L30" s="94">
        <f t="shared" si="2"/>
        <v>143.66399999999999</v>
      </c>
      <c r="M30" s="94">
        <f t="shared" si="2"/>
        <v>143.66399999999999</v>
      </c>
      <c r="N30" s="94">
        <f t="shared" si="2"/>
        <v>143.66399999999999</v>
      </c>
      <c r="O30" s="94">
        <f t="shared" si="2"/>
        <v>143.66399999999999</v>
      </c>
      <c r="P30" s="94">
        <f t="shared" si="2"/>
        <v>143.66399999999999</v>
      </c>
      <c r="Q30" s="94">
        <f t="shared" si="2"/>
        <v>143.66399999999999</v>
      </c>
      <c r="R30" s="94">
        <f t="shared" si="2"/>
        <v>143.66399999999999</v>
      </c>
      <c r="S30" s="94">
        <f t="shared" si="2"/>
        <v>143.66399999999999</v>
      </c>
      <c r="T30" s="72">
        <f>VLOOKUP($D$24,$B$20:$E$22,3,TRUE)*T27/10^6</f>
        <v>187.245</v>
      </c>
      <c r="U30" s="72">
        <f t="shared" ref="U30:AC30" si="3">VLOOKUP($D$24,$B$20:$E$22,3,TRUE)*U27/10^6</f>
        <v>187.245</v>
      </c>
      <c r="V30" s="72">
        <f t="shared" si="3"/>
        <v>187.245</v>
      </c>
      <c r="W30" s="72">
        <f t="shared" si="3"/>
        <v>187.245</v>
      </c>
      <c r="X30" s="72">
        <f t="shared" si="3"/>
        <v>187.245</v>
      </c>
      <c r="Y30" s="72">
        <f t="shared" si="3"/>
        <v>187.245</v>
      </c>
      <c r="Z30" s="72">
        <f t="shared" si="3"/>
        <v>187.245</v>
      </c>
      <c r="AA30" s="72">
        <f t="shared" si="3"/>
        <v>187.245</v>
      </c>
      <c r="AB30" s="72">
        <f t="shared" si="3"/>
        <v>187.245</v>
      </c>
      <c r="AC30" s="72">
        <f t="shared" si="3"/>
        <v>187.245</v>
      </c>
    </row>
    <row r="31" spans="2:30" x14ac:dyDescent="0.25">
      <c r="B31" s="1" t="s">
        <v>177</v>
      </c>
      <c r="E31" s="93">
        <f t="shared" ref="E31:AC31" si="4">$H$15</f>
        <v>65</v>
      </c>
      <c r="F31" s="94">
        <f t="shared" si="4"/>
        <v>65</v>
      </c>
      <c r="G31" s="94">
        <f t="shared" si="4"/>
        <v>65</v>
      </c>
      <c r="H31" s="94">
        <f t="shared" si="4"/>
        <v>65</v>
      </c>
      <c r="I31" s="94">
        <f t="shared" si="4"/>
        <v>65</v>
      </c>
      <c r="J31" s="94">
        <f t="shared" si="4"/>
        <v>65</v>
      </c>
      <c r="K31" s="94">
        <f t="shared" si="4"/>
        <v>65</v>
      </c>
      <c r="L31" s="94">
        <f t="shared" si="4"/>
        <v>65</v>
      </c>
      <c r="M31" s="94">
        <f t="shared" si="4"/>
        <v>65</v>
      </c>
      <c r="N31" s="94">
        <f t="shared" si="4"/>
        <v>65</v>
      </c>
      <c r="O31" s="94">
        <f t="shared" si="4"/>
        <v>65</v>
      </c>
      <c r="P31" s="94">
        <f t="shared" si="4"/>
        <v>65</v>
      </c>
      <c r="Q31" s="94">
        <f t="shared" si="4"/>
        <v>65</v>
      </c>
      <c r="R31" s="94">
        <f t="shared" si="4"/>
        <v>65</v>
      </c>
      <c r="S31" s="94">
        <f t="shared" si="4"/>
        <v>65</v>
      </c>
      <c r="T31" s="72">
        <f t="shared" si="4"/>
        <v>65</v>
      </c>
      <c r="U31" s="72">
        <f t="shared" si="4"/>
        <v>65</v>
      </c>
      <c r="V31" s="72">
        <f t="shared" si="4"/>
        <v>65</v>
      </c>
      <c r="W31" s="72">
        <f t="shared" si="4"/>
        <v>65</v>
      </c>
      <c r="X31" s="72">
        <f t="shared" si="4"/>
        <v>65</v>
      </c>
      <c r="Y31" s="72">
        <f t="shared" si="4"/>
        <v>65</v>
      </c>
      <c r="Z31" s="72">
        <f t="shared" si="4"/>
        <v>65</v>
      </c>
      <c r="AA31" s="72">
        <f t="shared" si="4"/>
        <v>65</v>
      </c>
      <c r="AB31" s="72">
        <f t="shared" si="4"/>
        <v>65</v>
      </c>
      <c r="AC31" s="72">
        <f t="shared" si="4"/>
        <v>65</v>
      </c>
      <c r="AD31" s="17"/>
    </row>
    <row r="32" spans="2:30" x14ac:dyDescent="0.25">
      <c r="B32" s="1" t="s">
        <v>172</v>
      </c>
      <c r="E32" s="93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72">
        <f>IF(D24=B22,120,0)</f>
        <v>0</v>
      </c>
      <c r="U32" s="72"/>
      <c r="V32" s="72"/>
      <c r="W32" s="72"/>
      <c r="X32" s="72"/>
      <c r="Y32" s="72"/>
      <c r="Z32" s="72"/>
      <c r="AA32" s="72"/>
      <c r="AB32" s="72"/>
      <c r="AC32" s="72"/>
      <c r="AD32" s="17"/>
    </row>
    <row r="33" spans="2:29" x14ac:dyDescent="0.25">
      <c r="B33" s="7" t="s">
        <v>185</v>
      </c>
      <c r="C33" s="7"/>
      <c r="D33" s="7"/>
      <c r="E33" s="95">
        <f t="shared" ref="E33:S33" si="5">E30-E31</f>
        <v>78.663999999999987</v>
      </c>
      <c r="F33" s="96">
        <f t="shared" si="5"/>
        <v>78.663999999999987</v>
      </c>
      <c r="G33" s="96">
        <f t="shared" si="5"/>
        <v>78.663999999999987</v>
      </c>
      <c r="H33" s="96">
        <f t="shared" si="5"/>
        <v>78.663999999999987</v>
      </c>
      <c r="I33" s="96">
        <f t="shared" si="5"/>
        <v>78.663999999999987</v>
      </c>
      <c r="J33" s="96">
        <f t="shared" si="5"/>
        <v>78.663999999999987</v>
      </c>
      <c r="K33" s="96">
        <f t="shared" si="5"/>
        <v>78.663999999999987</v>
      </c>
      <c r="L33" s="96">
        <f t="shared" si="5"/>
        <v>78.663999999999987</v>
      </c>
      <c r="M33" s="96">
        <f t="shared" si="5"/>
        <v>78.663999999999987</v>
      </c>
      <c r="N33" s="96">
        <f t="shared" si="5"/>
        <v>78.663999999999987</v>
      </c>
      <c r="O33" s="96">
        <f t="shared" si="5"/>
        <v>78.663999999999987</v>
      </c>
      <c r="P33" s="96">
        <f t="shared" si="5"/>
        <v>78.663999999999987</v>
      </c>
      <c r="Q33" s="96">
        <f t="shared" si="5"/>
        <v>78.663999999999987</v>
      </c>
      <c r="R33" s="96">
        <f t="shared" si="5"/>
        <v>78.663999999999987</v>
      </c>
      <c r="S33" s="96">
        <f t="shared" si="5"/>
        <v>78.663999999999987</v>
      </c>
      <c r="T33" s="80">
        <f>T30-T31-T32</f>
        <v>122.245</v>
      </c>
      <c r="U33" s="80">
        <f t="shared" ref="U33:AC33" si="6">U30-U31</f>
        <v>122.245</v>
      </c>
      <c r="V33" s="80">
        <f t="shared" si="6"/>
        <v>122.245</v>
      </c>
      <c r="W33" s="80">
        <f t="shared" si="6"/>
        <v>122.245</v>
      </c>
      <c r="X33" s="80">
        <f t="shared" si="6"/>
        <v>122.245</v>
      </c>
      <c r="Y33" s="80">
        <f t="shared" si="6"/>
        <v>122.245</v>
      </c>
      <c r="Z33" s="80">
        <f t="shared" si="6"/>
        <v>122.245</v>
      </c>
      <c r="AA33" s="80">
        <f t="shared" si="6"/>
        <v>122.245</v>
      </c>
      <c r="AB33" s="80">
        <f t="shared" si="6"/>
        <v>122.245</v>
      </c>
      <c r="AC33" s="80">
        <f t="shared" si="6"/>
        <v>122.245</v>
      </c>
    </row>
    <row r="34" spans="2:29" x14ac:dyDescent="0.25">
      <c r="B34" s="1" t="s">
        <v>186</v>
      </c>
      <c r="E34" s="93">
        <f>E44</f>
        <v>69.3</v>
      </c>
      <c r="F34" s="94">
        <f t="shared" ref="F34:AC34" si="7">F44</f>
        <v>64.680000000000007</v>
      </c>
      <c r="G34" s="94">
        <f t="shared" si="7"/>
        <v>60.06</v>
      </c>
      <c r="H34" s="94">
        <f t="shared" si="7"/>
        <v>55.44</v>
      </c>
      <c r="I34" s="94">
        <f t="shared" si="7"/>
        <v>50.82</v>
      </c>
      <c r="J34" s="94">
        <f t="shared" si="7"/>
        <v>46.2</v>
      </c>
      <c r="K34" s="94">
        <f t="shared" si="7"/>
        <v>41.58</v>
      </c>
      <c r="L34" s="94">
        <f t="shared" si="7"/>
        <v>36.96</v>
      </c>
      <c r="M34" s="94">
        <f t="shared" si="7"/>
        <v>32.340000000000003</v>
      </c>
      <c r="N34" s="94">
        <f t="shared" si="7"/>
        <v>27.72</v>
      </c>
      <c r="O34" s="94">
        <f t="shared" si="7"/>
        <v>23.1</v>
      </c>
      <c r="P34" s="94">
        <f t="shared" si="7"/>
        <v>18.48</v>
      </c>
      <c r="Q34" s="94">
        <f t="shared" si="7"/>
        <v>13.86</v>
      </c>
      <c r="R34" s="94">
        <f t="shared" si="7"/>
        <v>9.24</v>
      </c>
      <c r="S34" s="94">
        <f t="shared" si="7"/>
        <v>4.62</v>
      </c>
      <c r="T34" s="72">
        <f t="shared" si="7"/>
        <v>0</v>
      </c>
      <c r="U34" s="72">
        <f t="shared" si="7"/>
        <v>0</v>
      </c>
      <c r="V34" s="72">
        <f t="shared" si="7"/>
        <v>0</v>
      </c>
      <c r="W34" s="72">
        <f t="shared" si="7"/>
        <v>0</v>
      </c>
      <c r="X34" s="72">
        <f t="shared" si="7"/>
        <v>0</v>
      </c>
      <c r="Y34" s="72">
        <f t="shared" si="7"/>
        <v>0</v>
      </c>
      <c r="Z34" s="72">
        <f t="shared" si="7"/>
        <v>0</v>
      </c>
      <c r="AA34" s="72">
        <f t="shared" si="7"/>
        <v>0</v>
      </c>
      <c r="AB34" s="72">
        <f t="shared" si="7"/>
        <v>0</v>
      </c>
      <c r="AC34" s="72">
        <f t="shared" si="7"/>
        <v>0</v>
      </c>
    </row>
    <row r="35" spans="2:29" x14ac:dyDescent="0.25">
      <c r="B35" s="7" t="s">
        <v>194</v>
      </c>
      <c r="C35" s="7"/>
      <c r="D35" s="7"/>
      <c r="E35" s="95">
        <f t="shared" ref="E35:AC35" si="8">E33-E34</f>
        <v>9.3639999999999901</v>
      </c>
      <c r="F35" s="96">
        <f t="shared" si="8"/>
        <v>13.98399999999998</v>
      </c>
      <c r="G35" s="96">
        <f t="shared" si="8"/>
        <v>18.603999999999985</v>
      </c>
      <c r="H35" s="96">
        <f t="shared" si="8"/>
        <v>23.22399999999999</v>
      </c>
      <c r="I35" s="96">
        <f t="shared" si="8"/>
        <v>27.843999999999987</v>
      </c>
      <c r="J35" s="96">
        <f t="shared" si="8"/>
        <v>32.463999999999984</v>
      </c>
      <c r="K35" s="96">
        <f t="shared" si="8"/>
        <v>37.083999999999989</v>
      </c>
      <c r="L35" s="96">
        <f t="shared" si="8"/>
        <v>41.703999999999986</v>
      </c>
      <c r="M35" s="96">
        <f t="shared" si="8"/>
        <v>46.323999999999984</v>
      </c>
      <c r="N35" s="96">
        <f t="shared" si="8"/>
        <v>50.943999999999988</v>
      </c>
      <c r="O35" s="96">
        <f t="shared" si="8"/>
        <v>55.563999999999986</v>
      </c>
      <c r="P35" s="96">
        <f t="shared" si="8"/>
        <v>60.183999999999983</v>
      </c>
      <c r="Q35" s="96">
        <f t="shared" si="8"/>
        <v>64.803999999999988</v>
      </c>
      <c r="R35" s="96">
        <f t="shared" si="8"/>
        <v>69.423999999999992</v>
      </c>
      <c r="S35" s="96">
        <f t="shared" si="8"/>
        <v>74.043999999999983</v>
      </c>
      <c r="T35" s="80">
        <f t="shared" si="8"/>
        <v>122.245</v>
      </c>
      <c r="U35" s="80">
        <f t="shared" si="8"/>
        <v>122.245</v>
      </c>
      <c r="V35" s="80">
        <f t="shared" si="8"/>
        <v>122.245</v>
      </c>
      <c r="W35" s="80">
        <f t="shared" si="8"/>
        <v>122.245</v>
      </c>
      <c r="X35" s="80">
        <f t="shared" si="8"/>
        <v>122.245</v>
      </c>
      <c r="Y35" s="80">
        <f t="shared" si="8"/>
        <v>122.245</v>
      </c>
      <c r="Z35" s="80">
        <f t="shared" si="8"/>
        <v>122.245</v>
      </c>
      <c r="AA35" s="80">
        <f t="shared" si="8"/>
        <v>122.245</v>
      </c>
      <c r="AB35" s="80">
        <f t="shared" si="8"/>
        <v>122.245</v>
      </c>
      <c r="AC35" s="80">
        <f t="shared" si="8"/>
        <v>122.245</v>
      </c>
    </row>
    <row r="36" spans="2:29" x14ac:dyDescent="0.25">
      <c r="B36" s="1" t="s">
        <v>195</v>
      </c>
      <c r="E36" s="93">
        <f>IF(E35&gt;0,E35*21%,0%)</f>
        <v>1.9664399999999977</v>
      </c>
      <c r="F36" s="94">
        <f t="shared" ref="F36:AC36" si="9">IF(F35&gt;0,F35*21%,0%)</f>
        <v>2.9366399999999957</v>
      </c>
      <c r="G36" s="94">
        <f t="shared" si="9"/>
        <v>3.9068399999999968</v>
      </c>
      <c r="H36" s="94">
        <f t="shared" si="9"/>
        <v>4.8770399999999974</v>
      </c>
      <c r="I36" s="94">
        <f t="shared" si="9"/>
        <v>5.8472399999999967</v>
      </c>
      <c r="J36" s="94">
        <f t="shared" si="9"/>
        <v>6.8174399999999968</v>
      </c>
      <c r="K36" s="94">
        <f t="shared" si="9"/>
        <v>7.787639999999997</v>
      </c>
      <c r="L36" s="94">
        <f t="shared" si="9"/>
        <v>8.7578399999999963</v>
      </c>
      <c r="M36" s="94">
        <f t="shared" si="9"/>
        <v>9.7280399999999965</v>
      </c>
      <c r="N36" s="94">
        <f t="shared" si="9"/>
        <v>10.698239999999997</v>
      </c>
      <c r="O36" s="94">
        <f t="shared" si="9"/>
        <v>11.668439999999997</v>
      </c>
      <c r="P36" s="94">
        <f t="shared" si="9"/>
        <v>12.638639999999995</v>
      </c>
      <c r="Q36" s="94">
        <f t="shared" si="9"/>
        <v>13.608839999999997</v>
      </c>
      <c r="R36" s="94">
        <f t="shared" si="9"/>
        <v>14.579039999999997</v>
      </c>
      <c r="S36" s="94">
        <f t="shared" si="9"/>
        <v>15.549239999999996</v>
      </c>
      <c r="T36" s="72">
        <f t="shared" si="9"/>
        <v>25.67145</v>
      </c>
      <c r="U36" s="72">
        <f t="shared" si="9"/>
        <v>25.67145</v>
      </c>
      <c r="V36" s="72">
        <f t="shared" si="9"/>
        <v>25.67145</v>
      </c>
      <c r="W36" s="72">
        <f t="shared" si="9"/>
        <v>25.67145</v>
      </c>
      <c r="X36" s="72">
        <f t="shared" si="9"/>
        <v>25.67145</v>
      </c>
      <c r="Y36" s="72">
        <f t="shared" si="9"/>
        <v>25.67145</v>
      </c>
      <c r="Z36" s="72">
        <f t="shared" si="9"/>
        <v>25.67145</v>
      </c>
      <c r="AA36" s="72">
        <f t="shared" si="9"/>
        <v>25.67145</v>
      </c>
      <c r="AB36" s="72">
        <f t="shared" si="9"/>
        <v>25.67145</v>
      </c>
      <c r="AC36" s="72">
        <f t="shared" si="9"/>
        <v>25.67145</v>
      </c>
    </row>
    <row r="37" spans="2:29" x14ac:dyDescent="0.25">
      <c r="B37" s="7" t="s">
        <v>196</v>
      </c>
      <c r="C37" s="7"/>
      <c r="D37" s="83">
        <f>-H17</f>
        <v>-540</v>
      </c>
      <c r="E37" s="97">
        <f>E35-E36</f>
        <v>7.3975599999999924</v>
      </c>
      <c r="F37" s="81">
        <f t="shared" ref="F37:AC37" si="10">F35-F36</f>
        <v>11.047359999999985</v>
      </c>
      <c r="G37" s="81">
        <f t="shared" si="10"/>
        <v>14.697159999999988</v>
      </c>
      <c r="H37" s="81">
        <f t="shared" si="10"/>
        <v>18.346959999999992</v>
      </c>
      <c r="I37" s="81">
        <f t="shared" si="10"/>
        <v>21.996759999999991</v>
      </c>
      <c r="J37" s="81">
        <f t="shared" si="10"/>
        <v>25.646559999999987</v>
      </c>
      <c r="K37" s="81">
        <f t="shared" si="10"/>
        <v>29.296359999999993</v>
      </c>
      <c r="L37" s="81">
        <f t="shared" si="10"/>
        <v>32.946159999999992</v>
      </c>
      <c r="M37" s="81">
        <f t="shared" si="10"/>
        <v>36.595959999999991</v>
      </c>
      <c r="N37" s="81">
        <f t="shared" si="10"/>
        <v>40.24575999999999</v>
      </c>
      <c r="O37" s="81">
        <f t="shared" si="10"/>
        <v>43.895559999999989</v>
      </c>
      <c r="P37" s="81">
        <f t="shared" si="10"/>
        <v>47.545359999999988</v>
      </c>
      <c r="Q37" s="81">
        <f t="shared" si="10"/>
        <v>51.195159999999987</v>
      </c>
      <c r="R37" s="81">
        <f t="shared" si="10"/>
        <v>54.844959999999993</v>
      </c>
      <c r="S37" s="81">
        <f t="shared" si="10"/>
        <v>58.494759999999985</v>
      </c>
      <c r="T37" s="81">
        <f t="shared" si="10"/>
        <v>96.573550000000012</v>
      </c>
      <c r="U37" s="81">
        <f t="shared" si="10"/>
        <v>96.573550000000012</v>
      </c>
      <c r="V37" s="81">
        <f t="shared" si="10"/>
        <v>96.573550000000012</v>
      </c>
      <c r="W37" s="81">
        <f t="shared" si="10"/>
        <v>96.573550000000012</v>
      </c>
      <c r="X37" s="81">
        <f t="shared" si="10"/>
        <v>96.573550000000012</v>
      </c>
      <c r="Y37" s="81">
        <f t="shared" si="10"/>
        <v>96.573550000000012</v>
      </c>
      <c r="Z37" s="81">
        <f t="shared" si="10"/>
        <v>96.573550000000012</v>
      </c>
      <c r="AA37" s="81">
        <f t="shared" si="10"/>
        <v>96.573550000000012</v>
      </c>
      <c r="AB37" s="81">
        <f t="shared" si="10"/>
        <v>96.573550000000012</v>
      </c>
      <c r="AC37" s="81">
        <f t="shared" si="10"/>
        <v>96.573550000000012</v>
      </c>
    </row>
    <row r="38" spans="2:29" x14ac:dyDescent="0.25">
      <c r="E38" s="93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72"/>
      <c r="U38" s="72"/>
      <c r="V38" s="72"/>
      <c r="W38" s="72"/>
      <c r="X38" s="72"/>
      <c r="Y38" s="72"/>
      <c r="Z38" s="72"/>
      <c r="AA38" s="72"/>
      <c r="AB38" s="72"/>
      <c r="AC38" s="72"/>
    </row>
    <row r="39" spans="2:29" x14ac:dyDescent="0.25">
      <c r="B39" s="7" t="s">
        <v>197</v>
      </c>
      <c r="D39" s="82">
        <f>IRR(D37:AC37)</f>
        <v>6.4996395772336069E-2</v>
      </c>
      <c r="E39" s="93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72"/>
      <c r="U39" s="72"/>
      <c r="V39" s="72"/>
      <c r="W39" s="72"/>
      <c r="X39" s="72"/>
      <c r="Y39" s="72"/>
      <c r="Z39" s="72"/>
      <c r="AA39" s="72"/>
      <c r="AB39" s="72"/>
      <c r="AC39" s="72"/>
    </row>
    <row r="40" spans="2:29" x14ac:dyDescent="0.25"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</row>
    <row r="42" spans="2:29" x14ac:dyDescent="0.25">
      <c r="B42" s="78" t="s">
        <v>187</v>
      </c>
    </row>
    <row r="43" spans="2:29" x14ac:dyDescent="0.25">
      <c r="B43" s="1" t="s">
        <v>190</v>
      </c>
      <c r="E43" s="18">
        <f>H16</f>
        <v>1260</v>
      </c>
      <c r="F43" s="18">
        <f>E46</f>
        <v>1176</v>
      </c>
      <c r="G43" s="18">
        <f t="shared" ref="G43:S43" si="11">F46</f>
        <v>1092</v>
      </c>
      <c r="H43" s="18">
        <f t="shared" si="11"/>
        <v>1008</v>
      </c>
      <c r="I43" s="18">
        <f t="shared" si="11"/>
        <v>924</v>
      </c>
      <c r="J43" s="18">
        <f t="shared" si="11"/>
        <v>840</v>
      </c>
      <c r="K43" s="18">
        <f t="shared" si="11"/>
        <v>756</v>
      </c>
      <c r="L43" s="18">
        <f t="shared" si="11"/>
        <v>672</v>
      </c>
      <c r="M43" s="18">
        <f t="shared" si="11"/>
        <v>588</v>
      </c>
      <c r="N43" s="18">
        <f t="shared" si="11"/>
        <v>504</v>
      </c>
      <c r="O43" s="18">
        <f t="shared" si="11"/>
        <v>420</v>
      </c>
      <c r="P43" s="18">
        <f t="shared" si="11"/>
        <v>336</v>
      </c>
      <c r="Q43" s="18">
        <f t="shared" si="11"/>
        <v>252</v>
      </c>
      <c r="R43" s="18">
        <f t="shared" si="11"/>
        <v>168</v>
      </c>
      <c r="S43" s="18">
        <f t="shared" si="11"/>
        <v>84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</row>
    <row r="44" spans="2:29" x14ac:dyDescent="0.25">
      <c r="B44" s="1" t="s">
        <v>186</v>
      </c>
      <c r="E44" s="18">
        <f>E43*$H$18</f>
        <v>69.3</v>
      </c>
      <c r="F44" s="18">
        <f>F43*$H$18</f>
        <v>64.680000000000007</v>
      </c>
      <c r="G44" s="18">
        <f t="shared" ref="G44:S44" si="12">G43*$H$18</f>
        <v>60.06</v>
      </c>
      <c r="H44" s="18">
        <f t="shared" si="12"/>
        <v>55.44</v>
      </c>
      <c r="I44" s="18">
        <f t="shared" si="12"/>
        <v>50.82</v>
      </c>
      <c r="J44" s="18">
        <f t="shared" si="12"/>
        <v>46.2</v>
      </c>
      <c r="K44" s="18">
        <f t="shared" si="12"/>
        <v>41.58</v>
      </c>
      <c r="L44" s="18">
        <f t="shared" si="12"/>
        <v>36.96</v>
      </c>
      <c r="M44" s="18">
        <f t="shared" si="12"/>
        <v>32.340000000000003</v>
      </c>
      <c r="N44" s="18">
        <f t="shared" si="12"/>
        <v>27.72</v>
      </c>
      <c r="O44" s="18">
        <f t="shared" si="12"/>
        <v>23.1</v>
      </c>
      <c r="P44" s="18">
        <f t="shared" si="12"/>
        <v>18.48</v>
      </c>
      <c r="Q44" s="18">
        <f t="shared" si="12"/>
        <v>13.86</v>
      </c>
      <c r="R44" s="18">
        <f t="shared" si="12"/>
        <v>9.24</v>
      </c>
      <c r="S44" s="18">
        <f t="shared" si="12"/>
        <v>4.62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</row>
    <row r="45" spans="2:29" x14ac:dyDescent="0.25">
      <c r="B45" s="1" t="s">
        <v>192</v>
      </c>
      <c r="E45" s="18">
        <v>84</v>
      </c>
      <c r="F45" s="18">
        <v>84</v>
      </c>
      <c r="G45" s="18">
        <v>84</v>
      </c>
      <c r="H45" s="18">
        <v>84</v>
      </c>
      <c r="I45" s="18">
        <v>84</v>
      </c>
      <c r="J45" s="18">
        <v>84</v>
      </c>
      <c r="K45" s="18">
        <v>84</v>
      </c>
      <c r="L45" s="18">
        <v>84</v>
      </c>
      <c r="M45" s="18">
        <v>84</v>
      </c>
      <c r="N45" s="18">
        <v>84</v>
      </c>
      <c r="O45" s="18">
        <v>84</v>
      </c>
      <c r="P45" s="18">
        <v>84</v>
      </c>
      <c r="Q45" s="18">
        <v>84</v>
      </c>
      <c r="R45" s="18">
        <v>84</v>
      </c>
      <c r="S45" s="18">
        <v>84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</row>
    <row r="46" spans="2:29" x14ac:dyDescent="0.25">
      <c r="B46" s="1" t="s">
        <v>193</v>
      </c>
      <c r="E46" s="18">
        <f>E43-E45</f>
        <v>1176</v>
      </c>
      <c r="F46" s="18">
        <f>F43-F45</f>
        <v>1092</v>
      </c>
      <c r="G46" s="18">
        <f t="shared" ref="G46:S46" si="13">G43-G45</f>
        <v>1008</v>
      </c>
      <c r="H46" s="18">
        <f t="shared" si="13"/>
        <v>924</v>
      </c>
      <c r="I46" s="18">
        <f t="shared" si="13"/>
        <v>840</v>
      </c>
      <c r="J46" s="18">
        <f t="shared" si="13"/>
        <v>756</v>
      </c>
      <c r="K46" s="18">
        <f t="shared" si="13"/>
        <v>672</v>
      </c>
      <c r="L46" s="18">
        <f t="shared" si="13"/>
        <v>588</v>
      </c>
      <c r="M46" s="18">
        <f t="shared" si="13"/>
        <v>504</v>
      </c>
      <c r="N46" s="18">
        <f t="shared" si="13"/>
        <v>420</v>
      </c>
      <c r="O46" s="18">
        <f t="shared" si="13"/>
        <v>336</v>
      </c>
      <c r="P46" s="18">
        <f t="shared" si="13"/>
        <v>252</v>
      </c>
      <c r="Q46" s="18">
        <f t="shared" si="13"/>
        <v>168</v>
      </c>
      <c r="R46" s="18">
        <f t="shared" si="13"/>
        <v>84</v>
      </c>
      <c r="S46" s="18">
        <f t="shared" si="13"/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</row>
  </sheetData>
  <mergeCells count="2">
    <mergeCell ref="E24:S24"/>
    <mergeCell ref="T24:AC24"/>
  </mergeCells>
  <dataValidations count="1">
    <dataValidation type="list" allowBlank="1" showInputMessage="1" showErrorMessage="1" sqref="D24" xr:uid="{B98DFB9A-F9F9-486B-AD68-BB3D1F708CDC}">
      <formula1>$B$20:$B$22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Break_even_analysis</vt:lpstr>
      <vt:lpstr>Cost_Benefit_analysis</vt:lpstr>
      <vt:lpstr>Scenario_analysis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cp:lastPrinted>2026-03-19T16:47:19Z</cp:lastPrinted>
  <dcterms:created xsi:type="dcterms:W3CDTF">2026-03-19T13:31:10Z</dcterms:created>
  <dcterms:modified xsi:type="dcterms:W3CDTF">2026-03-20T09:16:24Z</dcterms:modified>
</cp:coreProperties>
</file>